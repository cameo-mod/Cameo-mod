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ants" sheetId="1" state="visible" r:id="rId1"/>
    <sheet xmlns:r="http://schemas.openxmlformats.org/officeDocument/2006/relationships" name="Infantry" sheetId="2" state="visible" r:id="rId2"/>
    <sheet xmlns:r="http://schemas.openxmlformats.org/officeDocument/2006/relationships" name="Tanks" sheetId="3" state="visible" r:id="rId3"/>
    <sheet xmlns:r="http://schemas.openxmlformats.org/officeDocument/2006/relationships" name="Vehicles" sheetId="4" state="visible" r:id="rId4"/>
    <sheet xmlns:r="http://schemas.openxmlformats.org/officeDocument/2006/relationships" name="Aircraft" sheetId="5" state="visible" r:id="rId5"/>
    <sheet xmlns:r="http://schemas.openxmlformats.org/officeDocument/2006/relationships" name="Defenses" sheetId="6" state="visible" r:id="rId6"/>
    <sheet xmlns:r="http://schemas.openxmlformats.org/officeDocument/2006/relationships" name="Nav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/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vertical="center" wrapText="1"/>
    </xf>
    <xf numFmtId="0" fontId="1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0" hidden="0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balance-pipeline</author>
  </authors>
  <commentList>
    <comment ref="L45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5" authorId="0" shapeId="0">
      <text>
        <t>fires when: tkm_upgrade_titanarsenalupgrade</t>
      </text>
    </comment>
    <comment ref="L46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6" authorId="0" shapeId="0">
      <text>
        <t>fires when: tkm_upgrade_titanarsenalupgrade</t>
      </text>
    </comment>
    <comment ref="L47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7" authorId="0" shapeId="0">
      <text>
        <t>fires when: tkm_upgrade_titanarsenalupgrade</t>
      </text>
    </comment>
    <comment ref="L48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8" authorId="0" shapeId="0">
      <text>
        <t>fires when: tkm_upgrade_titanarsenalupgrade</t>
      </text>
    </comment>
    <comment ref="L53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4" authorId="0" shapeId="0">
      <text>
        <t>per-shot TOTAL across 2 main warhead(s).
raw warhead damages: 2000, 3200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0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1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4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5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7" authorId="0" shapeId="0">
      <text>
        <t>per-shot TOTAL across 4 main warhead(s).
raw warhead damages: 2000, 1, 1000, 1, 2000, 1, 600,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8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9" authorId="0" shapeId="0">
      <text>
        <t>per-shot TOTAL across 4 main warhead(s).
raw warhead damages: 2000, 1, 1000, 1, 2000, 1, 600,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3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4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7" authorId="0" shapeId="0">
      <text>
        <t>per-shot TOTAL across 2 main warhead(s).
raw warhead damages: -1600,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0" authorId="0" shapeId="0">
      <text>
        <t>fires when: !td_gdi_upgrade_armorpiercingbullets</t>
      </text>
    </comment>
    <comment ref="AB81" authorId="0" shapeId="0">
      <text>
        <t>fires when: !td_gdi_upgrade_armorpiercingbullets</t>
      </text>
    </comment>
    <comment ref="AB82" authorId="0" shapeId="0">
      <text>
        <t>fires when: td_gdi_upgrade_armorpiercingbullets</t>
      </text>
    </comment>
    <comment ref="AB83" authorId="0" shapeId="0">
      <text>
        <t>fires when: td_gdi_upgrade_armorpiercingbullets</t>
      </text>
    </comment>
    <comment ref="AB85" authorId="0" shapeId="0">
      <text>
        <t>fires when: !td_gdi_upgrade_armorpiercingbullets</t>
      </text>
    </comment>
    <comment ref="AB86" authorId="0" shapeId="0">
      <text>
        <t>fires when: !td_gdi_upgrade_armorpiercingbullets</t>
      </text>
    </comment>
    <comment ref="AB87" authorId="0" shapeId="0">
      <text>
        <t>fires when: td_gdi_upgrade_armorpiercingbullets</t>
      </text>
    </comment>
    <comment ref="AB88" authorId="0" shapeId="0">
      <text>
        <t>fires when: td_gdi_upgrade_armorpiercingbullets</t>
      </text>
    </comment>
    <comment ref="AB90" authorId="0" shapeId="0">
      <text>
        <t>fires when: !td_nod_upgrade_blackmarketupgrades</t>
      </text>
    </comment>
    <comment ref="AB91" authorId="0" shapeId="0">
      <text>
        <t>fires when: !td_nod_upgrade_blackmarketupgrades</t>
      </text>
    </comment>
    <comment ref="L92" authorId="0" shapeId="0">
      <text>
        <t>per-shot TOTAL across 3 main warhead(s).
raw warhead damages: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2" authorId="0" shapeId="0">
      <text>
        <t>fires when: td_nod_upgrade_blackmarketupgrades</t>
      </text>
    </comment>
    <comment ref="L93" authorId="0" shapeId="0">
      <text>
        <t>per-shot TOTAL across 3 main warhead(s).
raw warhead damages: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3" authorId="0" shapeId="0">
      <text>
        <t>fires when: td_nod_upgrade_blackmarketupgrades</t>
      </text>
    </comment>
    <comment ref="AB95" authorId="0" shapeId="0">
      <text>
        <t>fires when: !ra1_allies_upgrade_cryomissiles</t>
      </text>
    </comment>
    <comment ref="AB96" authorId="0" shapeId="0">
      <text>
        <t>fires when: !ra1_allies_upgrade_cryomissiles</t>
      </text>
    </comment>
    <comment ref="AB97" authorId="0" shapeId="0">
      <text>
        <t>fires when: ra1_allies_upgrade_cryomissiles</t>
      </text>
    </comment>
    <comment ref="AB98" authorId="0" shapeId="0">
      <text>
        <t>fires when: ra1_allies_upgrade_cryomissiles</t>
      </text>
    </comment>
    <comment ref="L10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3" authorId="0" shapeId="0">
      <text>
        <t>fires when: !ra1_soviets_upgrade_incendiarybullets</t>
      </text>
    </comment>
    <comment ref="AB104" authorId="0" shapeId="0">
      <text>
        <t>fires when: !ra1_soviets_upgrade_incendiarybullets</t>
      </text>
    </comment>
    <comment ref="L10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5" authorId="0" shapeId="0">
      <text>
        <t>fires when: ra1_soviets_upgrade_incendiarybullets</t>
      </text>
    </comment>
    <comment ref="L106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6" authorId="0" shapeId="0">
      <text>
        <t>fires when: ra1_soviets_upgrade_incendiarybullets</t>
      </text>
    </comment>
    <comment ref="AB110" authorId="0" shapeId="0">
      <text>
        <t>fires when: !ts_nod_upgrade_tiberiumlenses</t>
      </text>
    </comment>
    <comment ref="AB111" authorId="0" shapeId="0">
      <text>
        <t>fires when: !ts_nod_upgrade_tiberiumlenses</t>
      </text>
    </comment>
    <comment ref="L112" authorId="0" shapeId="0">
      <text>
        <t>per-shot TOTAL across 2 main warhead(s).
raw warhead damages: 2000,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2" authorId="0" shapeId="0">
      <text>
        <t>fires when: ts_nod_upgrade_tiberiumlenses</t>
      </text>
    </comment>
    <comment ref="L113" authorId="0" shapeId="0">
      <text>
        <t>per-shot TOTAL across 2 main warhead(s).
raw warhead damages: 2000,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3" authorId="0" shapeId="0">
      <text>
        <t>fires when: ts_nod_upgrade_tiberiumlenses</t>
      </text>
    </comment>
    <comment ref="AB133" authorId="0" shapeId="0">
      <text>
        <t>fires when: !rank-elite</t>
      </text>
    </comment>
    <comment ref="AB134" authorId="0" shapeId="0">
      <text>
        <t>fires when: rank-elite</t>
      </text>
    </comment>
    <comment ref="L13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7" authorId="0" shapeId="0">
      <text>
        <t>fires when: !deployed &amp;&amp; !ra2_allies_upgrade_elitegi</t>
      </text>
    </comment>
    <comment ref="AB138" authorId="0" shapeId="0">
      <text>
        <t>fires when: !deployed &amp;&amp; ra2_allies_upgrade_elitegi</t>
      </text>
    </comment>
    <comment ref="L14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3" authorId="0" shapeId="0">
      <text>
        <t>fires when: !rank-elite</t>
      </text>
    </comment>
    <comment ref="AB144" authorId="0" shapeId="0">
      <text>
        <t>fires when: rank-elite</t>
      </text>
    </comment>
    <comment ref="L14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9" authorId="0" shapeId="0">
      <text>
        <t>fires when: !rank-elite</t>
      </text>
    </comment>
    <comment ref="AB150" authorId="0" shapeId="0">
      <text>
        <t>fires when: rank-elite</t>
      </text>
    </comment>
    <comment ref="L151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1" authorId="0" shapeId="0">
      <text>
        <t>fires when: asianalliance_doctrine_modernizedinfantryequipment &amp;&amp; !rank-elite</t>
      </text>
    </comment>
    <comment ref="L152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2" authorId="0" shapeId="0">
      <text>
        <t>fires when: asianalliance_doctrine_modernizedinfantryequipment &amp;&amp; rank-elite</t>
      </text>
    </comment>
    <comment ref="AB153" authorId="0" shapeId="0">
      <text>
        <t>fires when: !rank-elite</t>
      </text>
    </comment>
    <comment ref="AB154" authorId="0" shapeId="0">
      <text>
        <t>fires when: rank-elite</t>
      </text>
    </comment>
    <comment ref="L155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5" authorId="0" shapeId="0">
      <text>
        <t>fires when: asianalliance_doctrine_modernizedinfantryequipment &amp;&amp; !rank-elite</t>
      </text>
    </comment>
    <comment ref="L156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6" authorId="0" shapeId="0">
      <text>
        <t>fires when: asianalliance_doctrine_modernizedinfantryequipment &amp;&amp; rank-elite</t>
      </text>
    </comment>
    <comment ref="AB158" authorId="0" shapeId="0">
      <text>
        <t>fires when: !rank-elite</t>
      </text>
    </comment>
    <comment ref="AB159" authorId="0" shapeId="0">
      <text>
        <t>fires when: rank-elite</t>
      </text>
    </comment>
    <comment ref="L160" authorId="0" shapeId="0">
      <text>
        <t>per-shot TOTAL across 2 main warhead(s).
raw warhead damages: 6000,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0" authorId="0" shapeId="0">
      <text>
        <t>fires when: latinsyndicate_doctrine_eliteguerillas &amp;&amp; !rank-elite</t>
      </text>
    </comment>
    <comment ref="L161" authorId="0" shapeId="0">
      <text>
        <t>per-shot TOTAL across 2 main warhead(s).
raw warhead damages: 6000,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1" authorId="0" shapeId="0">
      <text>
        <t>fires when: latinsyndicate_doctrine_eliteguerillas &amp;&amp; rank-elite</t>
      </text>
    </comment>
    <comment ref="AB162" authorId="0" shapeId="0">
      <text>
        <t>fires when: !rank-elite</t>
      </text>
    </comment>
    <comment ref="AB163" authorId="0" shapeId="0">
      <text>
        <t>fires when: rank-elite</t>
      </text>
    </comment>
    <comment ref="L164" authorId="0" shapeId="0">
      <text>
        <t>per-shot TOTAL across 2 main warhead(s).
raw warhead damages: 6000,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4" authorId="0" shapeId="0">
      <text>
        <t>fires when: latinsyndicate_doctrine_eliteguerillas &amp;&amp; !rank-elite</t>
      </text>
    </comment>
    <comment ref="L165" authorId="0" shapeId="0">
      <text>
        <t>per-shot TOTAL across 2 main warhead(s).
raw warhead damages: 6000,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5" authorId="0" shapeId="0">
      <text>
        <t>fires when: latinsyndicate_doctrine_eliteguerillas &amp;&amp; rank-elite</t>
      </text>
    </comment>
    <comment ref="L167" authorId="0" shapeId="0">
      <text>
        <t>per-shot TOTAL across 1 main warhead(s).
raw warhead damages: 24000,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7" authorId="0" shapeId="0">
      <text>
        <t>fires when: !rank-elite</t>
      </text>
    </comment>
    <comment ref="L168" authorId="0" shapeId="0">
      <text>
        <t>per-shot TOTAL across 1 main warhead(s).
raw warhead damages: 24000,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8" authorId="0" shapeId="0">
      <text>
        <t>fires when: rank-elite</t>
      </text>
    </comment>
    <comment ref="L169" authorId="0" shapeId="0">
      <text>
        <t>per-shot TOTAL across 1 main warhead(s).
raw warhead damages: 24000,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9" authorId="0" shapeId="0">
      <text>
        <t>fires when: !rank-elite</t>
      </text>
    </comment>
    <comment ref="L170" authorId="0" shapeId="0">
      <text>
        <t>per-shot TOTAL across 1 main warhead(s).
raw warhead damages: 24000,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0" authorId="0" shapeId="0">
      <text>
        <t>fires when: rank-elite</t>
      </text>
    </comment>
    <comment ref="AB173" authorId="0" shapeId="0">
      <text>
        <t>fires when: !rank-elite</t>
      </text>
    </comment>
    <comment ref="AB174" authorId="0" shapeId="0">
      <text>
        <t>fires when: rank-elite</t>
      </text>
    </comment>
    <comment ref="AB176" authorId="0" shapeId="0">
      <text>
        <t>fires when: !rank-elite</t>
      </text>
    </comment>
    <comment ref="AB177" authorId="0" shapeId="0">
      <text>
        <t>fires when: rank-elite</t>
      </text>
    </comment>
    <comment ref="AB178" authorId="0" shapeId="0">
      <text>
        <t>fires when: !rank-elite</t>
      </text>
    </comment>
    <comment ref="AB179" authorId="0" shapeId="0">
      <text>
        <t>fires when: rank-elite</t>
      </text>
    </comment>
    <comment ref="AB181" authorId="0" shapeId="0">
      <text>
        <t>fires when: !rank-elite</t>
      </text>
    </comment>
    <comment ref="AB182" authorId="0" shapeId="0">
      <text>
        <t>fires when: rank-elite</t>
      </text>
    </comment>
    <comment ref="AB183" authorId="0" shapeId="0">
      <text>
        <t>fires when: !rank-elite</t>
      </text>
    </comment>
    <comment ref="AB184" authorId="0" shapeId="0">
      <text>
        <t>fires when: rank-elite</t>
      </text>
    </comment>
    <comment ref="AB187" authorId="0" shapeId="0">
      <text>
        <t>fires when: !rank-elite</t>
      </text>
    </comment>
    <comment ref="AB188" authorId="0" shapeId="0">
      <text>
        <t>fires when: rank-elite</t>
      </text>
    </comment>
    <comment ref="AB189" authorId="0" shapeId="0">
      <text>
        <t>fires when: !rank-elite</t>
      </text>
    </comment>
    <comment ref="AB190" authorId="0" shapeId="0">
      <text>
        <t>fires when: rank-elite</t>
      </text>
    </comment>
    <comment ref="AB192" authorId="0" shapeId="0">
      <text>
        <t>fires when: !rank-elite</t>
      </text>
    </comment>
    <comment ref="AB193" authorId="0" shapeId="0">
      <text>
        <t>fires when: rank-elite</t>
      </text>
    </comment>
    <comment ref="AB194" authorId="0" shapeId="0">
      <text>
        <t>fires when: !rank-elite</t>
      </text>
    </comment>
    <comment ref="AB195" authorId="0" shapeId="0">
      <text>
        <t>fires when: rank-elite</t>
      </text>
    </comment>
    <comment ref="AB198" authorId="0" shapeId="0">
      <text>
        <t>fires when: !tkm_upgrade_titanarmorpiercingbulletsupgrade</t>
      </text>
    </comment>
    <comment ref="AB199" authorId="0" shapeId="0">
      <text>
        <t>fires when: tkm_upgrade_titanarmorpiercingbulletsupgrade</t>
      </text>
    </comment>
    <comment ref="AB200" authorId="0" shapeId="0">
      <text>
        <t>fires when: !tkm_upgrade_titanarmorpiercingbulletsupgrade</t>
      </text>
    </comment>
    <comment ref="AB201" authorId="0" shapeId="0">
      <text>
        <t>fires when: tkm_upgrade_titanarmorpiercingbulletsupgrade</t>
      </text>
    </comment>
    <comment ref="AB203" authorId="0" shapeId="0">
      <text>
        <t>fires when: !tkm_upgrade_semiautoriflesupgrade</t>
      </text>
    </comment>
    <comment ref="AB204" authorId="0" shapeId="0">
      <text>
        <t>fires when: tkm_upgrade_semiautoriflesupgrade</t>
      </text>
    </comment>
    <comment ref="L20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7" authorId="0" shapeId="0">
      <text>
        <t>fires when: !ixian_upgrade_tungstenneedleguns</t>
      </text>
    </comment>
    <comment ref="L208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8" authorId="0" shapeId="0">
      <text>
        <t>fires when: ixian_upgrade_tungstenneedleguns</t>
      </text>
    </comment>
    <comment ref="L20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9" authorId="0" shapeId="0">
      <text>
        <t>fires when: !ixian_upgrade_tungstenneedleguns</t>
      </text>
    </comment>
    <comment ref="L210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0" authorId="0" shapeId="0">
      <text>
        <t>fires when: ixian_upgrade_tungstenneedleguns</t>
      </text>
    </comment>
    <comment ref="L212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2" authorId="0" shapeId="0">
      <text>
        <t>fires when: !ordos_upgrade_lasercartridges</t>
      </text>
    </comment>
    <comment ref="L213" authorId="0" shapeId="0">
      <text>
        <t>per-shot TOTAL across 3 main warhead(s).
raw warhead damages: 2000, 1000,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3" authorId="0" shapeId="0">
      <text>
        <t>fires when: ordos_upgrade_lasercartridges</t>
      </text>
    </comment>
    <comment ref="L21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4" authorId="0" shapeId="0">
      <text>
        <t>fires when: !ordos_upgrade_lasercartridges</t>
      </text>
    </comment>
    <comment ref="L215" authorId="0" shapeId="0">
      <text>
        <t>per-shot TOTAL across 3 main warhead(s).
raw warhead damages: 2000, 1000,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5" authorId="0" shapeId="0">
      <text>
        <t>fires when: ordos_upgrade_lasercartridges</t>
      </text>
    </comment>
    <comment ref="L21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7" authorId="0" shapeId="0">
      <text>
        <t>fires when: !ixian_upgrade_tungstenneedleguns</t>
      </text>
    </comment>
    <comment ref="L218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8" authorId="0" shapeId="0">
      <text>
        <t>fires when: ixian_upgrade_tungstenneedleguns</t>
      </text>
    </comment>
    <comment ref="L21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9" authorId="0" shapeId="0">
      <text>
        <t>fires when: !ixian_upgrade_tungstenneedleguns</t>
      </text>
    </comment>
    <comment ref="L220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0" authorId="0" shapeId="0">
      <text>
        <t>fires when: ixian_upgrade_tungstenneedleguns</t>
      </text>
    </comment>
    <comment ref="L224" authorId="0" shapeId="0">
      <text>
        <t>per-shot TOTAL across 3 main warhead(s).
raw warhead damages: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25" authorId="0" shapeId="0">
      <text>
        <t>per-shot TOTAL across 3 main warhead(s).
raw warhead damages: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28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2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3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1" authorId="0" shapeId="0">
      <text>
        <t>fires when: !rank-elite &amp;&amp; !asianalliance_doctrine_modernizedinfantryequipment</t>
      </text>
    </comment>
    <comment ref="L232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2" authorId="0" shapeId="0">
      <text>
        <t>fires when: (rank-elite &amp;&amp; !asianalliance_doctrine_modernizedinfantryequipment) || (!rank-elite &amp;&amp; asianalliance_doctrine_modernizedinfantryequipment)</t>
      </text>
    </comment>
    <comment ref="L23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3" authorId="0" shapeId="0">
      <text>
        <t>fires when: rank-elite &amp;&amp; asianalliance_doctrine_modernizedinfantryequipment</t>
      </text>
    </comment>
    <comment ref="L23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4" authorId="0" shapeId="0">
      <text>
        <t>fires when: !rank-elite &amp;&amp; !asianalliance_doctrine_modernizedinfantryequipment</t>
      </text>
    </comment>
    <comment ref="L23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5" authorId="0" shapeId="0">
      <text>
        <t>fires when: (rank-elite &amp;&amp; !asianalliance_doctrine_modernizedinfantryequipment) || (!rank-elite &amp;&amp; asianalliance_doctrine_modernizedinfantryequipment)</t>
      </text>
    </comment>
    <comment ref="L236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6" authorId="0" shapeId="0">
      <text>
        <t>fires when: rank-elite &amp;&amp; asianalliance_doctrine_modernizedinfantryequipment</t>
      </text>
    </comment>
    <comment ref="L238" authorId="0" shapeId="0">
      <text>
        <t>per-shot TOTAL across 3 main warhead(s).
raw warhead damages: 8000, 8000, 8000, 8000,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8" authorId="0" shapeId="0">
      <text>
        <t>fires when: !rank-elite</t>
      </text>
    </comment>
    <comment ref="L239" authorId="0" shapeId="0">
      <text>
        <t>per-shot TOTAL across 3 main warhead(s).
raw warhead damages: 8000, 8000, 8000, 8000,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9" authorId="0" shapeId="0">
      <text>
        <t>fires when: rank-elite</t>
      </text>
    </comment>
    <comment ref="L240" authorId="0" shapeId="0">
      <text>
        <t>per-shot TOTAL across 3 main warhead(s).
raw warhead damages: 8000, 8000, 8000, 8000,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0" authorId="0" shapeId="0">
      <text>
        <t>fires when: !rank-elite</t>
      </text>
    </comment>
    <comment ref="L241" authorId="0" shapeId="0">
      <text>
        <t>per-shot TOTAL across 3 main warhead(s).
raw warhead damages: 8000, 8000, 8000, 8000,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1" authorId="0" shapeId="0">
      <text>
        <t>fires when: rank-elite</t>
      </text>
    </comment>
    <comment ref="L24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3" authorId="0" shapeId="0">
      <text>
        <t>fires when: !rank-elite</t>
      </text>
    </comment>
    <comment ref="L24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4" authorId="0" shapeId="0">
      <text>
        <t>fires when: rank-elite</t>
      </text>
    </comment>
    <comment ref="L24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5" authorId="0" shapeId="0">
      <text>
        <t>fires when: !rank-elite</t>
      </text>
    </comment>
    <comment ref="L246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6" authorId="0" shapeId="0">
      <text>
        <t>fires when: rank-elite</t>
      </text>
    </comment>
    <comment ref="L249" authorId="0" shapeId="0">
      <text>
        <t>per-shot TOTAL across 8 main warhead(s).
raw warhead damages: 8000, 4000, 4, 8000, 4000, 4, 8000, 4, 8000, 4000, 4, 8000, 4, 8000, 4, 8000,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50" authorId="0" shapeId="0">
      <text>
        <t>per-shot TOTAL across 8 main warhead(s).
raw warhead damages: 8000, 4000, 4, 8000, 4000, 4, 8000, 4, 8000, 4000, 4, 8000, 4, 8000, 4, 8000,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55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56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58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8" authorId="0" shapeId="0">
      <text>
        <t>fires when: !ra1_soviets_upgrade_scorchedearth</t>
      </text>
    </comment>
    <comment ref="L259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9" authorId="0" shapeId="0">
      <text>
        <t>fires when: !ra1_soviets_upgrade_scorchedearth</t>
      </text>
    </comment>
    <comment ref="L260" authorId="0" shapeId="0">
      <text>
        <t>per-shot TOTAL across 4 main warhead(s).
raw warhead damages: 4000, 2000, 2, 4000, 2,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60" authorId="0" shapeId="0">
      <text>
        <t>fires when: ra1_soviets_upgrade_scorchedearth</t>
      </text>
    </comment>
    <comment ref="L261" authorId="0" shapeId="0">
      <text>
        <t>per-shot TOTAL across 4 main warhead(s).
raw warhead damages: 4000, 2000, 2, 4000, 2,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61" authorId="0" shapeId="0">
      <text>
        <t>fires when: ra1_soviets_upgrade_scorchedearth</t>
      </text>
    </comment>
    <comment ref="L263" authorId="0" shapeId="0">
      <text>
        <t>per-shot TOTAL across 2 main warhead(s).
raw warhead damages: 12000, 12000,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63" authorId="0" shapeId="0">
      <text>
        <t>fires when: !ts_gdi_upgrade_sonicweaponry</t>
      </text>
    </comment>
    <comment ref="L264" authorId="0" shapeId="0">
      <text>
        <t>per-shot TOTAL across 2 main warhead(s).
raw warhead damages: 12000,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64" authorId="0" shapeId="0">
      <text>
        <t>fires when: ts_gdi_upgrade_sonicweaponry</t>
      </text>
    </comment>
    <comment ref="L265" authorId="0" shapeId="0">
      <text>
        <t>per-shot TOTAL across 2 main warhead(s).
raw warhead damages: 12000, 12000,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65" authorId="0" shapeId="0">
      <text>
        <t>fires when: !ts_gdi_upgrade_sonicweaponry</t>
      </text>
    </comment>
    <comment ref="L266" authorId="0" shapeId="0">
      <text>
        <t>per-shot TOTAL across 2 main warhead(s).
raw warhead damages: 12000,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66" authorId="0" shapeId="0">
      <text>
        <t>fires when: ts_gdi_upgrade_sonicweaponry</t>
      </text>
    </comment>
    <comment ref="L268" authorId="0" shapeId="0">
      <text>
        <t>per-shot TOTAL across 4 main warhead(s).
raw warhead damages: 2000, 1, 2000, 2000,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68" authorId="0" shapeId="0">
      <text>
        <t>fires when: !rank-elite &amp;&amp; !steelconsortium_upgrade_quantumweaponpower</t>
      </text>
    </comment>
    <comment ref="L269" authorId="0" shapeId="0">
      <text>
        <t>per-shot TOTAL across 4 main warhead(s).
raw warhead damages: 2000, 1, 2000, 2000,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69" authorId="0" shapeId="0">
      <text>
        <t>fires when: rank-elite &amp;&amp; !steelconsortium_upgrade_quantumweaponpower</t>
      </text>
    </comment>
    <comment ref="L270" authorId="0" shapeId="0">
      <text>
        <t>per-shot TOTAL across 4 main warhead(s).
raw warhead damages: 2000, 1, 2000, 2000,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0" authorId="0" shapeId="0">
      <text>
        <t>fires when: !rank-elite &amp;&amp; !steelconsortium_upgrade_quantumweaponpower</t>
      </text>
    </comment>
    <comment ref="L271" authorId="0" shapeId="0">
      <text>
        <t>per-shot TOTAL across 4 main warhead(s).
raw warhead damages: 2000, 1, 2000, 2000,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1" authorId="0" shapeId="0">
      <text>
        <t>fires when: rank-elite &amp;&amp; !steelconsortium_upgrade_quantumweaponpower</t>
      </text>
    </comment>
    <comment ref="L272" authorId="0" shapeId="0">
      <text>
        <t>per-shot TOTAL across 6 main warhead(s).
raw warhead damages: 2000, 1, 2000, 1000, 1, 2000, 1, 2000, 2000,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2" authorId="0" shapeId="0">
      <text>
        <t>fires when: !rank-elite &amp;&amp; steelconsortium_upgrade_quantumweaponpower</t>
      </text>
    </comment>
    <comment ref="L273" authorId="0" shapeId="0">
      <text>
        <t>per-shot TOTAL across 6 main warhead(s).
raw warhead damages: 2000, 1, 2000, 1000, 1, 2000, 1, 2000, 2000,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3" authorId="0" shapeId="0">
      <text>
        <t>fires when: rank-elite &amp;&amp; steelconsortium_upgrade_quantumweaponpower</t>
      </text>
    </comment>
    <comment ref="L274" authorId="0" shapeId="0">
      <text>
        <t>per-shot TOTAL across 6 main warhead(s).
raw warhead damages: 2000, 1, 2000, 1000, 1, 2000, 1, 2000, 2000,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4" authorId="0" shapeId="0">
      <text>
        <t>fires when: !rank-elite &amp;&amp; steelconsortium_upgrade_quantumweaponpower</t>
      </text>
    </comment>
    <comment ref="L275" authorId="0" shapeId="0">
      <text>
        <t>per-shot TOTAL across 6 main warhead(s).
raw warhead damages: 2000, 1, 2000, 1000, 1, 2000, 1, 2000, 2000,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5" authorId="0" shapeId="0">
      <text>
        <t>fires when: rank-elite &amp;&amp; steelconsortium_upgrade_quantumweaponpower</t>
      </text>
    </comment>
    <comment ref="L277" authorId="0" shapeId="0">
      <text>
        <t>per-shot TOTAL across 3 main warhead(s).
raw warhead damages: 10000,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7" authorId="0" shapeId="0">
      <text>
        <t>fires when: (!latinsyndicate_upgrade_asianalliancestolentechhotfire &amp;&amp; !rank-elite)</t>
      </text>
    </comment>
    <comment ref="L278" authorId="0" shapeId="0">
      <text>
        <t>per-shot TOTAL across 3 main warhead(s).
raw warhead damages: 10000,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8" authorId="0" shapeId="0">
      <text>
        <t>fires when: (latinsyndicate_upgrade_asianalliancestolentechhotfire &amp;&amp; !rank-elite) || (!latinsyndicate_upgrade_asianalliancestolentechhotfire &amp;&amp; rank-elite)</t>
      </text>
    </comment>
    <comment ref="L279" authorId="0" shapeId="0">
      <text>
        <t>per-shot TOTAL across 3 main warhead(s).
raw warhead damages: 10000,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9" authorId="0" shapeId="0">
      <text>
        <t>fires when: (latinsyndicate_upgrade_asianalliancestolentechhotfire &amp;&amp; rank-elite)</t>
      </text>
    </comment>
    <comment ref="L280" authorId="0" shapeId="0">
      <text>
        <t>per-shot TOTAL across 3 main warhead(s).
raw warhead damages: 10000,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80" authorId="0" shapeId="0">
      <text>
        <t>fires when: (!latinsyndicate_upgrade_asianalliancestolentechhotfire &amp;&amp; !rank-elite)</t>
      </text>
    </comment>
    <comment ref="L281" authorId="0" shapeId="0">
      <text>
        <t>per-shot TOTAL across 3 main warhead(s).
raw warhead damages: 10000,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81" authorId="0" shapeId="0">
      <text>
        <t>fires when: (latinsyndicate_upgrade_asianalliancestolentechhotfire &amp;&amp; !rank-elite) || (!latinsyndicate_upgrade_asianalliancestolentechhotfire &amp;&amp; rank-elite)</t>
      </text>
    </comment>
    <comment ref="L282" authorId="0" shapeId="0">
      <text>
        <t>per-shot TOTAL across 3 main warhead(s).
raw warhead damages: 10000,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82" authorId="0" shapeId="0">
      <text>
        <t>fires when: (latinsyndicate_upgrade_asianalliancestolentechhotfire &amp;&amp; rank-elite)</t>
      </text>
    </comment>
    <comment ref="AB285" authorId="0" shapeId="0">
      <text>
        <t>fires when: !ra1_soviets_upgrade_scorchedearth</t>
      </text>
    </comment>
    <comment ref="AB286" authorId="0" shapeId="0">
      <text>
        <t>fires when: !ra1_soviets_upgrade_scorchedearth</t>
      </text>
    </comment>
    <comment ref="AB287" authorId="0" shapeId="0">
      <text>
        <t>fires when: ra1_soviets_upgrade_scorchedearth</t>
      </text>
    </comment>
    <comment ref="AB288" authorId="0" shapeId="0">
      <text>
        <t>fires when: ra1_soviets_upgrade_scorchedearth</t>
      </text>
    </comment>
    <comment ref="L290" authorId="0" shapeId="0">
      <text>
        <t>per-shot TOTAL across 2 main warhead(s).
raw warhead damages: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90" authorId="0" shapeId="0">
      <text>
        <t>fires when: !forgotten_upgrade_chemicalweapons</t>
      </text>
    </comment>
    <comment ref="L291" authorId="0" shapeId="0">
      <text>
        <t>per-shot TOTAL across 3 main warhead(s).
raw warhead damages: 16000,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91" authorId="0" shapeId="0">
      <text>
        <t>fires when: forgotten_upgrade_chemicalweapons</t>
      </text>
    </comment>
    <comment ref="L292" authorId="0" shapeId="0">
      <text>
        <t>per-shot TOTAL across 2 main warhead(s).
raw warhead damages: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92" authorId="0" shapeId="0">
      <text>
        <t>fires when: !forgotten_upgrade_chemicalweapons</t>
      </text>
    </comment>
    <comment ref="L293" authorId="0" shapeId="0">
      <text>
        <t>per-shot TOTAL across 3 main warhead(s).
raw warhead damages: 16000,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93" authorId="0" shapeId="0">
      <text>
        <t>fires when: forgotten_upgrade_chemicalweapons</t>
      </text>
    </comment>
    <comment ref="L295" authorId="0" shapeId="0">
      <text>
        <t>per-shot TOTAL across 6 main warhead(s).
raw warhead damages: 6000, 6000, 3000, 3, 6000, 3000, 3, 6000, 3,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95" authorId="0" shapeId="0">
      <text>
        <t>fires when: !rank-elite</t>
      </text>
    </comment>
    <comment ref="L296" authorId="0" shapeId="0">
      <text>
        <t>per-shot TOTAL across 6 main warhead(s).
raw warhead damages: 6000, 6000, 3000, 3, 6000, 3000, 3, 6000, 3,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96" authorId="0" shapeId="0">
      <text>
        <t>fires when: rank-elite</t>
      </text>
    </comment>
    <comment ref="L298" authorId="0" shapeId="0">
      <text>
        <t>per-shot TOTAL across 4 main warhead(s).
raw warhead damages: 10000, 10000,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99" authorId="0" shapeId="0">
      <text>
        <t>per-shot TOTAL across 4 main warhead(s).
raw warhead damages: 10000, 10000,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01" authorId="0" shapeId="0">
      <text>
        <t>per-shot TOTAL across 4 main warhead(s).
raw warhead damages: 20000, 20000, 10, 20000, 10, 20000, 10000,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02" authorId="0" shapeId="0">
      <text>
        <t>per-shot TOTAL across 4 main warhead(s).
raw warhead damages: 20000, 20000, 10, 20000, 10, 20000, 10000,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05" authorId="0" shapeId="0">
      <text>
        <t>fires when: !td_gdi_upgrade_advancedmissiletargeting</t>
      </text>
    </comment>
    <comment ref="AB306" authorId="0" shapeId="0">
      <text>
        <t>fires when: !td_gdi_upgrade_advancedmissiletargeting</t>
      </text>
    </comment>
    <comment ref="AB307" authorId="0" shapeId="0">
      <text>
        <t>fires when: td_gdi_upgrade_advancedmissiletargeting</t>
      </text>
    </comment>
    <comment ref="AB308" authorId="0" shapeId="0">
      <text>
        <t>fires when: td_gdi_upgrade_advancedmissiletargeting</t>
      </text>
    </comment>
    <comment ref="AB310" authorId="0" shapeId="0">
      <text>
        <t>fires when: !td_gdi_upgrade_advancedmissiletargeting</t>
      </text>
    </comment>
    <comment ref="AB311" authorId="0" shapeId="0">
      <text>
        <t>fires when: !td_gdi_upgrade_advancedmissiletargeting</t>
      </text>
    </comment>
    <comment ref="AB312" authorId="0" shapeId="0">
      <text>
        <t>fires when: td_gdi_upgrade_advancedmissiletargeting</t>
      </text>
    </comment>
    <comment ref="AB313" authorId="0" shapeId="0">
      <text>
        <t>fires when: td_gdi_upgrade_advancedmissiletargeting</t>
      </text>
    </comment>
    <comment ref="L315" authorId="0" shapeId="0">
      <text>
        <t>per-shot TOTAL across 3 main warhead(s).
raw warhead damages: 12000, 6000, 6, 12000, 6, 12000, 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16" authorId="0" shapeId="0">
      <text>
        <t>per-shot TOTAL across 3 main warhead(s).
raw warhead damages: 12000, 6000, 6, 12000, 6, 12000, 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21" authorId="0" shapeId="0">
      <text>
        <t>per-shot TOTAL across 2 main warhead(s).
raw warhead damages: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21" authorId="0" shapeId="0">
      <text>
        <t>fires when: !ra1_allies_upgrade_cryomissiles</t>
      </text>
    </comment>
    <comment ref="L322" authorId="0" shapeId="0">
      <text>
        <t>per-shot TOTAL across 2 main warhead(s).
raw warhead damages: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22" authorId="0" shapeId="0">
      <text>
        <t>fires when: !ra1_allies_upgrade_cryomissiles</t>
      </text>
    </comment>
    <comment ref="AB323" authorId="0" shapeId="0">
      <text>
        <t>fires when: ra1_allies_upgrade_cryomissiles</t>
      </text>
    </comment>
    <comment ref="AB324" authorId="0" shapeId="0">
      <text>
        <t>fires when: ra1_allies_upgrade_cryomissiles</t>
      </text>
    </comment>
    <comment ref="L326" authorId="0" shapeId="0">
      <text>
        <t>per-shot TOTAL across 5 main warhead(s).
raw warhead damages: 80000, 4, 80000, 4, 1000, 80000, 4, 80000, 4, 80000,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27" authorId="0" shapeId="0">
      <text>
        <t>per-shot TOTAL across 5 main warhead(s).
raw warhead damages: 80000, 4, 80000, 4, 1000, 80000, 4, 80000, 4, 80000,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29" authorId="0" shapeId="0">
      <text>
        <t>fires when: !ra1_soviets_upgrade_scorchedearth</t>
      </text>
    </comment>
    <comment ref="AB330" authorId="0" shapeId="0">
      <text>
        <t>fires when: !ra1_soviets_upgrade_scorchedearth</t>
      </text>
    </comment>
    <comment ref="AB331" authorId="0" shapeId="0">
      <text>
        <t>fires when: ra1_soviets_upgrade_scorchedearth</t>
      </text>
    </comment>
    <comment ref="AB332" authorId="0" shapeId="0">
      <text>
        <t>fires when: ra1_soviets_upgrade_scorchedearth</t>
      </text>
    </comment>
    <comment ref="L334" authorId="0" shapeId="0">
      <text>
        <t>per-shot TOTAL across 2 main warhead(s).
raw warhead damages: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35" authorId="0" shapeId="0">
      <text>
        <t>per-shot TOTAL across 2 main warhead(s).
raw warhead damages: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37" authorId="0" shapeId="0">
      <text>
        <t>per-shot TOTAL across 6 main warhead(s).
raw warhead damages: 6000, 3, 6000, 3, 6000, 3, 6000, 3,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38" authorId="0" shapeId="0">
      <text>
        <t>per-shot TOTAL across 6 main warhead(s).
raw warhead damages: 6000, 3, 6000, 3, 6000, 3, 6000, 3,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40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0" authorId="0" shapeId="0">
      <text>
        <t>fires when: !cabal_upgrade_darkarmament</t>
      </text>
    </comment>
    <comment ref="L341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1" authorId="0" shapeId="0">
      <text>
        <t>fires when: cabal_upgrade_darkarmament</t>
      </text>
    </comment>
    <comment ref="L342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44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4" authorId="0" shapeId="0">
      <text>
        <t>fires when: !ts_nod_upgrade_tiberiumlenses</t>
      </text>
    </comment>
    <comment ref="L345" authorId="0" shapeId="0">
      <text>
        <t>per-shot TOTAL across 3 main warhead(s).
raw warhead damages: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5" authorId="0" shapeId="0">
      <text>
        <t>fires when: ts_nod_upgrade_tiberiumlenses</t>
      </text>
    </comment>
    <comment ref="L346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6" authorId="0" shapeId="0">
      <text>
        <t>fires when: !ts_nod_upgrade_tiberiumlenses</t>
      </text>
    </comment>
    <comment ref="L347" authorId="0" shapeId="0">
      <text>
        <t>per-shot TOTAL across 3 main warhead(s).
raw warhead damages: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7" authorId="0" shapeId="0">
      <text>
        <t>fires when: ts_nod_upgrade_tiberiumlenses</t>
      </text>
    </comment>
    <comment ref="AB348" authorId="0" shapeId="0">
      <text>
        <t>fires when: ts_nod_upgrade_auxiliaryweapon</t>
      </text>
    </comment>
    <comment ref="AB349" authorId="0" shapeId="0">
      <text>
        <t>fires when: ts_nod_upgrade_auxiliaryweapon</t>
      </text>
    </comment>
    <comment ref="AB351" authorId="0" shapeId="0">
      <text>
        <t>fires when: !ts_nod_upgrade_tiberiumcoremissiles</t>
      </text>
    </comment>
    <comment ref="AB352" authorId="0" shapeId="0">
      <text>
        <t>fires when: !ts_nod_upgrade_tiberiumcoremissiles</t>
      </text>
    </comment>
    <comment ref="AB353" authorId="0" shapeId="0">
      <text>
        <t>fires when: ts_nod_upgrade_tiberiumcoremissiles</t>
      </text>
    </comment>
    <comment ref="AB354" authorId="0" shapeId="0">
      <text>
        <t>fires when: ts_nod_upgrade_tiberiumcoremissiles</t>
      </text>
    </comment>
    <comment ref="L356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56" authorId="0" shapeId="0">
      <text>
        <t>fires when: !ts_gdi_upgrade_railgunweaponry</t>
      </text>
    </comment>
    <comment ref="L357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57" authorId="0" shapeId="0">
      <text>
        <t>fires when: !ts_gdi_upgrade_railgunweaponry</t>
      </text>
    </comment>
    <comment ref="L358" authorId="0" shapeId="0">
      <text>
        <t>per-shot TOTAL across 3 main warhead(s).
raw warhead damages: 2000, 1, 2000, 1, 2000, 1,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58" authorId="0" shapeId="0">
      <text>
        <t>fires when: ts_gdi_upgrade_railgunweaponry</t>
      </text>
    </comment>
    <comment ref="L359" authorId="0" shapeId="0">
      <text>
        <t>per-shot TOTAL across 3 main warhead(s).
raw warhead damages: 2000, 1, 2000, 1, 2000, 1,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59" authorId="0" shapeId="0">
      <text>
        <t>fires when: ts_gdi_upgrade_railgunweaponry</t>
      </text>
    </comment>
    <comment ref="AB361" authorId="0" shapeId="0">
      <text>
        <t>fires when: !forgotten_upgrade_chemicalweapons</t>
      </text>
    </comment>
    <comment ref="AB362" authorId="0" shapeId="0">
      <text>
        <t>fires when: !forgotten_upgrade_chemicalweapons</t>
      </text>
    </comment>
    <comment ref="AB363" authorId="0" shapeId="0">
      <text>
        <t>fires when: forgotten_upgrade_chemicalweapons</t>
      </text>
    </comment>
    <comment ref="AB364" authorId="0" shapeId="0">
      <text>
        <t>fires when: forgotten_upgrade_chemicalweapons</t>
      </text>
    </comment>
    <comment ref="AB366" authorId="0" shapeId="0">
      <text>
        <t>fires when: !rank-elite</t>
      </text>
    </comment>
    <comment ref="AB367" authorId="0" shapeId="0">
      <text>
        <t>fires when: !rank-elite</t>
      </text>
    </comment>
    <comment ref="AB368" authorId="0" shapeId="0">
      <text>
        <t>fires when: rank-elite</t>
      </text>
    </comment>
    <comment ref="AB369" authorId="0" shapeId="0">
      <text>
        <t>fires when: rank-elite</t>
      </text>
    </comment>
    <comment ref="L37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71" authorId="0" shapeId="0">
      <text>
        <t>fires when: !deployed &amp;&amp; !rank-elite &amp;&amp; !ra2_allies_upgrade_elitegi</t>
      </text>
    </comment>
    <comment ref="AB372" authorId="0" shapeId="0">
      <text>
        <t>fires when: !deployed &amp;&amp; !rank-elite &amp;&amp; ra2_allies_upgrade_elitegi</t>
      </text>
    </comment>
    <comment ref="L37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73" authorId="0" shapeId="0">
      <text>
        <t>fires when: !deployed &amp;&amp; rank-elite &amp;&amp; !ra2_allies_upgrade_elitegi</t>
      </text>
    </comment>
    <comment ref="AB374" authorId="0" shapeId="0">
      <text>
        <t>fires when: !deployed &amp;&amp; rank-elite &amp;&amp; ra2_allies_upgrade_elitegi</t>
      </text>
    </comment>
    <comment ref="AB375" authorId="0" shapeId="0">
      <text>
        <t>fires when: botmicro</t>
      </text>
    </comment>
    <comment ref="AB376" authorId="0" shapeId="0">
      <text>
        <t>fires when: !rank-elite &amp;&amp; deployed</t>
      </text>
    </comment>
    <comment ref="AB377" authorId="0" shapeId="0">
      <text>
        <t>fires when: !rank-elite</t>
      </text>
    </comment>
    <comment ref="AB378" authorId="0" shapeId="0">
      <text>
        <t>fires when: rank-elite &amp;&amp; deployed</t>
      </text>
    </comment>
    <comment ref="AB379" authorId="0" shapeId="0">
      <text>
        <t>fires when: rank-elite</t>
      </text>
    </comment>
    <comment ref="AB381" authorId="0" shapeId="0">
      <text>
        <t>fires when: !rank-elite</t>
      </text>
    </comment>
    <comment ref="AB382" authorId="0" shapeId="0">
      <text>
        <t>fires when: !rank-elite</t>
      </text>
    </comment>
    <comment ref="AB383" authorId="0" shapeId="0">
      <text>
        <t>fires when: !rank-elite</t>
      </text>
    </comment>
    <comment ref="AB384" authorId="0" shapeId="0">
      <text>
        <t>fires when: !rank-elite</t>
      </text>
    </comment>
    <comment ref="AB385" authorId="0" shapeId="0">
      <text>
        <t>fires when: rank-elite</t>
      </text>
    </comment>
    <comment ref="AB386" authorId="0" shapeId="0">
      <text>
        <t>fires when: rank-elite</t>
      </text>
    </comment>
    <comment ref="AB387" authorId="0" shapeId="0">
      <text>
        <t>fires when: rank-elite</t>
      </text>
    </comment>
    <comment ref="AB388" authorId="0" shapeId="0">
      <text>
        <t>fires when: rank-elite</t>
      </text>
    </comment>
    <comment ref="L390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91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93" authorId="0" shapeId="0">
      <text>
        <t>per-shot TOTAL across 4 main warhead(s).
raw warhead damages: 2000,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93" authorId="0" shapeId="0">
      <text>
        <t>fires when: !rank-elite</t>
      </text>
    </comment>
    <comment ref="L394" authorId="0" shapeId="0">
      <text>
        <t>per-shot TOTAL across 4 main warhead(s).
raw warhead damages: 2000,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94" authorId="0" shapeId="0">
      <text>
        <t>fires when: !rank-elite</t>
      </text>
    </comment>
    <comment ref="L395" authorId="0" shapeId="0">
      <text>
        <t>per-shot TOTAL across 4 main warhead(s).
raw warhead damages: 2000,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95" authorId="0" shapeId="0">
      <text>
        <t>fires when: rank-elite</t>
      </text>
    </comment>
    <comment ref="L396" authorId="0" shapeId="0">
      <text>
        <t>per-shot TOTAL across 4 main warhead(s).
raw warhead damages: 2000,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96" authorId="0" shapeId="0">
      <text>
        <t>fires when: rank-elite</t>
      </text>
    </comment>
    <comment ref="AB398" authorId="0" shapeId="0">
      <text>
        <t>fires when: !rank-elite &amp;&amp; !asianalliance_doctrine_modernizedinfantryequipment</t>
      </text>
    </comment>
    <comment ref="AB399" authorId="0" shapeId="0">
      <text>
        <t>fires when: !rank-elite &amp;&amp; asianalliance_doctrine_modernizedinfantryequipment</t>
      </text>
    </comment>
    <comment ref="AB400" authorId="0" shapeId="0">
      <text>
        <t>fires when: rank-elite &amp;&amp; !asianalliance_doctrine_modernizedinfantryequipment</t>
      </text>
    </comment>
    <comment ref="AB401" authorId="0" shapeId="0">
      <text>
        <t>fires when: rank-elite &amp;&amp; asianalliance_doctrine_modernizedinfantryequipment</t>
      </text>
    </comment>
    <comment ref="AB402" authorId="0" shapeId="0">
      <text>
        <t>fires when: !rank-elite &amp;&amp; !asianalliance_doctrine_modernizedinfantryequipment</t>
      </text>
    </comment>
    <comment ref="AB403" authorId="0" shapeId="0">
      <text>
        <t>fires when: !rank-elite &amp;&amp; asianalliance_doctrine_modernizedinfantryequipment</t>
      </text>
    </comment>
    <comment ref="AB404" authorId="0" shapeId="0">
      <text>
        <t>fires when: rank-elite &amp;&amp; !asianalliance_doctrine_modernizedinfantryequipment</t>
      </text>
    </comment>
    <comment ref="AB405" authorId="0" shapeId="0">
      <text>
        <t>fires when: rank-elite &amp;&amp; asianalliance_doctrine_modernizedinfantryequipment</t>
      </text>
    </comment>
    <comment ref="L407" authorId="0" shapeId="0">
      <text>
        <t>per-shot TOTAL across 6 main warhead(s).
raw warhead damages: 2000, 1, 2000, 1, 2000, 1000, 1, 2000, 1, 888, 2000, 1000,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07" authorId="0" shapeId="0">
      <text>
        <t>fires when: !rank-elite</t>
      </text>
    </comment>
    <comment ref="L408" authorId="0" shapeId="0">
      <text>
        <t>per-shot TOTAL across 6 main warhead(s).
raw warhead damages: 2000, 1, 2000, 1, 2000, 1000, 1, 2000, 1, 888, 2000, 1000,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08" authorId="0" shapeId="0">
      <text>
        <t>fires when: rank-elite</t>
      </text>
    </comment>
    <comment ref="L409" authorId="0" shapeId="0">
      <text>
        <t>per-shot TOTAL across 6 main warhead(s).
raw warhead damages: 2000, 1, 2000, 1, 2000, 1000, 1, 2000, 1, 888, 2000, 1000,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09" authorId="0" shapeId="0">
      <text>
        <t>fires when: !rank-elite</t>
      </text>
    </comment>
    <comment ref="L410" authorId="0" shapeId="0">
      <text>
        <t>per-shot TOTAL across 6 main warhead(s).
raw warhead damages: 2000, 1, 2000, 1, 2000, 1000, 1, 2000, 1, 888, 2000, 1000,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10" authorId="0" shapeId="0">
      <text>
        <t>fires when: rank-elite</t>
      </text>
    </comment>
    <comment ref="L412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12" authorId="0" shapeId="0">
      <text>
        <t>fires when: !rank-elite</t>
      </text>
    </comment>
    <comment ref="L413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13" authorId="0" shapeId="0">
      <text>
        <t>fires when: rank-elite</t>
      </text>
    </comment>
    <comment ref="L414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14" authorId="0" shapeId="0">
      <text>
        <t>fires when: !rank-elite</t>
      </text>
    </comment>
    <comment ref="L415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15" authorId="0" shapeId="0">
      <text>
        <t>fires when: rank-elite</t>
      </text>
    </comment>
    <comment ref="L416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16" authorId="0" shapeId="0">
      <text>
        <t>fires when: !rank-elite &amp;&amp; steelconsortium_upgrade_resonanceammo</t>
      </text>
    </comment>
    <comment ref="L417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17" authorId="0" shapeId="0">
      <text>
        <t>fires when: rank-elite &amp;&amp; steelconsortium_upgrade_resonanceammo</t>
      </text>
    </comment>
    <comment ref="L418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18" authorId="0" shapeId="0">
      <text>
        <t>fires when: !rank-elite &amp;&amp; steelconsortium_upgrade_resonanceammo</t>
      </text>
    </comment>
    <comment ref="L419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19" authorId="0" shapeId="0">
      <text>
        <t>fires when: rank-elite &amp;&amp; steelconsortium_upgrade_resonanceammo</t>
      </text>
    </comment>
    <comment ref="AB421" authorId="0" shapeId="0">
      <text>
        <t>fires when: !rank-elite</t>
      </text>
    </comment>
    <comment ref="AB422" authorId="0" shapeId="0">
      <text>
        <t>fires when: !rank-elite</t>
      </text>
    </comment>
    <comment ref="AB423" authorId="0" shapeId="0">
      <text>
        <t>fires when: rank-elite</t>
      </text>
    </comment>
    <comment ref="AB424" authorId="0" shapeId="0">
      <text>
        <t>fires when: rank-elite</t>
      </text>
    </comment>
    <comment ref="AB426" authorId="0" shapeId="0">
      <text>
        <t>fires when: !deployed</t>
      </text>
    </comment>
    <comment ref="L427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27" authorId="0" shapeId="0">
      <text>
        <t>fires when: (deployed || undeployed) &amp;&amp; !rank-elite</t>
      </text>
    </comment>
    <comment ref="L428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28" authorId="0" shapeId="0">
      <text>
        <t>fires when: (deployed || undeployed) &amp;&amp; rank-elite</t>
      </text>
    </comment>
    <comment ref="L429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29" authorId="0" shapeId="0">
      <text>
        <t>fires when: !rank-elite</t>
      </text>
    </comment>
    <comment ref="L430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30" authorId="0" shapeId="0">
      <text>
        <t>fires when: rank-elite</t>
      </text>
    </comment>
    <comment ref="L432" authorId="0" shapeId="0">
      <text>
        <t>per-shot TOTAL across 5 main warhead(s).
raw warhead damages: 2000, 2000, 4000, 4000, 2000,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32" authorId="0" shapeId="0">
      <text>
        <t>fires when: !rank-elite</t>
      </text>
    </comment>
    <comment ref="L433" authorId="0" shapeId="0">
      <text>
        <t>per-shot TOTAL across 5 main warhead(s).
raw warhead damages: 2000, 2000, 4000, 4000, 2000,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33" authorId="0" shapeId="0">
      <text>
        <t>fires when: rank-elite</t>
      </text>
    </comment>
    <comment ref="L434" authorId="0" shapeId="0">
      <text>
        <t>per-shot TOTAL across 5 main warhead(s).
raw warhead damages: 2000, 2000, 4000, 4000, 2000,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34" authorId="0" shapeId="0">
      <text>
        <t>fires when: !rank-elite</t>
      </text>
    </comment>
    <comment ref="L435" authorId="0" shapeId="0">
      <text>
        <t>per-shot TOTAL across 5 main warhead(s).
raw warhead damages: 2000, 2000, 4000, 4000, 2000,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35" authorId="0" shapeId="0">
      <text>
        <t>fires when: rank-elite</t>
      </text>
    </comment>
    <comment ref="AB437" authorId="0" shapeId="0">
      <text>
        <t>fires when: !deployed &amp;&amp; !rank-elite</t>
      </text>
    </comment>
    <comment ref="AB438" authorId="0" shapeId="0">
      <text>
        <t>fires when: deployed &amp;&amp; !rank-elite</t>
      </text>
    </comment>
    <comment ref="AB439" authorId="0" shapeId="0">
      <text>
        <t>fires when: !rank-elite</t>
      </text>
    </comment>
    <comment ref="AB440" authorId="0" shapeId="0">
      <text>
        <t>fires when: !deployed &amp;&amp; rank-elite</t>
      </text>
    </comment>
    <comment ref="AB441" authorId="0" shapeId="0">
      <text>
        <t>fires when: deployed &amp;&amp; rank-elite</t>
      </text>
    </comment>
    <comment ref="AB442" authorId="0" shapeId="0">
      <text>
        <t>fires when: rank-elite</t>
      </text>
    </comment>
    <comment ref="AB443" authorId="0" shapeId="0">
      <text>
        <t>fires when: botmicro</t>
      </text>
    </comment>
    <comment ref="AB445" authorId="0" shapeId="0">
      <text>
        <t>fires when: !tkm_upgrade_cryorocketsupgrade &amp;&amp; !tkm_upgrade_twinrocketsupgrade &amp;&amp; !tkm_upgrade_incendiaryrocketsupgrade</t>
      </text>
    </comment>
    <comment ref="AB446" authorId="0" shapeId="0">
      <text>
        <t>fires when: tkm_upgrade_cryorocketsupgrade</t>
      </text>
    </comment>
    <comment ref="AB447" authorId="0" shapeId="0">
      <text>
        <t>fires when: tkm_upgrade_twinrocketsupgrade</t>
      </text>
    </comment>
    <comment ref="L448" authorId="0" shapeId="0">
      <text>
        <t>per-shot TOTAL across 2 main warhead(s).
raw warhead damages: 18000,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48" authorId="0" shapeId="0">
      <text>
        <t>fires when: tkm_upgrade_incendiaryrocketsupgrade</t>
      </text>
    </comment>
    <comment ref="AB449" authorId="0" shapeId="0">
      <text>
        <t>fires when: !tkm_upgrade_cryorocketsupgrade &amp;&amp; !tkm_upgrade_twinrocketsupgrade &amp;&amp; !tkm_upgrade_incendiaryrocketsupgrade</t>
      </text>
    </comment>
    <comment ref="AB450" authorId="0" shapeId="0">
      <text>
        <t>fires when: tkm_upgrade_cryorocketsupgrade</t>
      </text>
    </comment>
    <comment ref="AB451" authorId="0" shapeId="0">
      <text>
        <t>fires when: tkm_upgrade_twinrocketsupgrade</t>
      </text>
    </comment>
    <comment ref="L452" authorId="0" shapeId="0">
      <text>
        <t>per-shot TOTAL across 2 main warhead(s).
raw warhead damages: 18000,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52" authorId="0" shapeId="0">
      <text>
        <t>fires when: tkm_upgrade_incendiaryrocketsupgrade</t>
      </text>
    </comment>
    <comment ref="L454" authorId="0" shapeId="0">
      <text>
        <t>per-shot TOTAL across 3 main warhead(s).
raw warhead damages: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55" authorId="0" shapeId="0">
      <text>
        <t>per-shot TOTAL across 3 main warhead(s).
raw warhead damages: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57" authorId="0" shapeId="0">
      <text>
        <t>per-shot TOTAL across 3 main warhead(s).
raw warhead damages: 10000,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58" authorId="0" shapeId="0">
      <text>
        <t>per-shot TOTAL across 3 main warhead(s).
raw warhead damages: 10000, 10000, 1000,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59" authorId="0" shapeId="0">
      <text>
        <t>per-shot TOTAL across 3 main warhead(s).
raw warhead damages: 10000,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60" authorId="0" shapeId="0">
      <text>
        <t>per-shot TOTAL across 3 main warhead(s).
raw warhead damages: 10000, 10000, 1000,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62" authorId="0" shapeId="0">
      <text>
        <t>per-shot TOTAL across 3 main warhead(s).
raw warhead damages: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63" authorId="0" shapeId="0">
      <text>
        <t>per-shot TOTAL across 3 main warhead(s).
raw warhead damages: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65" authorId="0" shapeId="0">
      <text>
        <t>per-shot TOTAL across 3 main warhead(s).
raw warhead damages: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66" authorId="0" shapeId="0">
      <text>
        <t>per-shot TOTAL across 3 main warhead(s).
raw warhead damages: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68" authorId="0" shapeId="0">
      <text>
        <t>per-shot TOTAL across 3 main warhead(s).
raw warhead damages: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69" authorId="0" shapeId="0">
      <text>
        <t>per-shot TOTAL across 3 main warhead(s).
raw warhead damages: 8000, 8000, 1000,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70" authorId="0" shapeId="0">
      <text>
        <t>per-shot TOTAL across 3 main warhead(s).
raw warhead damages: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71" authorId="0" shapeId="0">
      <text>
        <t>per-shot TOTAL across 3 main warhead(s).
raw warhead damages: 8000, 8000, 1000,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74" authorId="0" shapeId="0">
      <text>
        <t>per-shot TOTAL across 1 main warhead(s).
raw warhead damages: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75" authorId="0" shapeId="0">
      <text>
        <t>per-shot TOTAL across 1 main warhead(s).
raw warhead damages: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76" authorId="0" shapeId="0">
      <text>
        <t>per-shot TOTAL across 1 main warhead(s).
raw warhead damages: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77" authorId="0" shapeId="0">
      <text>
        <t>per-shot TOTAL across 1 main warhead(s).
raw warhead damages: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78" authorId="0" shapeId="0">
      <text>
        <t>per-shot TOTAL across 1 main warhead(s).
raw warhead damages: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79" authorId="0" shapeId="0">
      <text>
        <t>per-shot TOTAL across 1 main warhead(s).
raw warhead damages: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80" authorId="0" shapeId="0">
      <text>
        <t>per-shot TOTAL across 1 main warhead(s).
raw warhead damages: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81" authorId="0" shapeId="0">
      <text>
        <t>per-shot TOTAL across 1 main warhead(s).
raw warhead damages: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83" authorId="0" shapeId="0">
      <text>
        <t>per-shot TOTAL across 4 main warhead(s).
raw warhead damages: 18000, 1, 18000, 1, 18000, 1, 18000,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84" authorId="0" shapeId="0">
      <text>
        <t>per-shot TOTAL across 4 main warhead(s).
raw warhead damages: 18000, 1, 18000, 1, 18000, 1, 18000,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86" authorId="0" shapeId="0">
      <text>
        <t>per-shot TOTAL across 3 main warhead(s).
raw warhead damages: 12000, 12000,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87" authorId="0" shapeId="0">
      <text>
        <t>per-shot TOTAL across 3 main warhead(s).
raw warhead damages: 12000, 12000,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89" authorId="0" shapeId="0">
      <text>
        <t>per-shot TOTAL across 3 main warhead(s).
raw warhead damages: 12000, 12000,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90" authorId="0" shapeId="0">
      <text>
        <t>per-shot TOTAL across 3 main warhead(s).
raw warhead damages: 12000, 12000,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92" authorId="0" shapeId="0">
      <text>
        <t>per-shot TOTAL across 6 main warhead(s).
raw warhead damages: 4000, 4000, 2, 4000,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93" authorId="0" shapeId="0">
      <text>
        <t>per-shot TOTAL across 6 main warhead(s).
raw warhead damages: 4000, 4000, 2, 4000,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95" authorId="0" shapeId="0">
      <text>
        <t>per-shot TOTAL across 6 main warhead(s).
raw warhead damages: 4000, 4000, 2, 4000,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96" authorId="0" shapeId="0">
      <text>
        <t>per-shot TOTAL across 6 main warhead(s).
raw warhead damages: 4000, 4000, 2, 4000,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98" authorId="0" shapeId="0">
      <text>
        <t>per-shot TOTAL across 6 main warhead(s).
raw warhead damages: 4000, 4000, 2, 4000,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99" authorId="0" shapeId="0">
      <text>
        <t>per-shot TOTAL across 6 main warhead(s).
raw warhead damages: 4000, 4000, 2, 4000,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01" authorId="0" shapeId="0">
      <text>
        <t>per-shot TOTAL across 9 main warhead(s).
raw warhead damages: 1000, 2, 600, 4000, 2, 4000, 2, 4000, 4000, 2, 4000,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02" authorId="0" shapeId="0">
      <text>
        <t>per-shot TOTAL across 9 main warhead(s).
raw warhead damages: 1000, 2, 600, 4000, 2, 4000, 2, 4000, 4000, 2, 4000,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04" authorId="0" shapeId="0">
      <text>
        <t>per-shot TOTAL across 6 main warhead(s).
raw warhead damages: 4000, 4000, 2, 4000,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05" authorId="0" shapeId="0">
      <text>
        <t>per-shot TOTAL across 6 main warhead(s).
raw warhead damages: 4000, 4000, 2, 4000,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07" authorId="0" shapeId="0">
      <text>
        <t>per-shot TOTAL across 6 main warhead(s).
raw warhead damages: 4000, 4000, 2, 4000,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08" authorId="0" shapeId="0">
      <text>
        <t>per-shot TOTAL across 6 main warhead(s).
raw warhead damages: 4000, 4000, 2, 4000,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10" authorId="0" shapeId="0">
      <text>
        <t>per-shot TOTAL across 9 main warhead(s).
raw warhead damages: 1000, 2, 600, 4000, 2, 4000, 2, 4000, 4000, 2, 4000,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11" authorId="0" shapeId="0">
      <text>
        <t>per-shot TOTAL across 9 main warhead(s).
raw warhead damages: 1000, 2, 600, 4000, 2, 4000, 2, 4000, 4000, 2, 4000,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14" authorId="0" shapeId="0">
      <text>
        <t>per-shot TOTAL across 3 main warhead(s).
raw warhead damages: 48000, 4, 48000, 4, 48000, 4,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15" authorId="0" shapeId="0">
      <text>
        <t>per-shot TOTAL across 3 main warhead(s).
raw warhead damages: 48000, 4, 48000, 4, 48000, 4,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17" authorId="0" shapeId="0">
      <text>
        <t>per-shot TOTAL across 3 main warhead(s).
raw warhead damages: 4000, 1, 1000, 4000, 1,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17" authorId="0" shapeId="0">
      <text>
        <t>fires when: !japan_upgrade_waveforcebullets</t>
      </text>
    </comment>
    <comment ref="L518" authorId="0" shapeId="0">
      <text>
        <t>per-shot TOTAL across 3 main warhead(s).
raw warhead damages: 4000, 1, 1000, 4000, 1,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18" authorId="0" shapeId="0">
      <text>
        <t>fires when: !japan_upgrade_waveforcebullets</t>
      </text>
    </comment>
    <comment ref="L519" authorId="0" shapeId="0">
      <text>
        <t>per-shot TOTAL across 4 main warhead(s).
raw warhead damages: 2000, 1000, 4000, 1, 1000, 4000, 1,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19" authorId="0" shapeId="0">
      <text>
        <t>fires when: japan_upgrade_waveforcebullets</t>
      </text>
    </comment>
    <comment ref="L520" authorId="0" shapeId="0">
      <text>
        <t>per-shot TOTAL across 4 main warhead(s).
raw warhead damages: 2000, 1000, 4000, 1, 1000, 4000, 1,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20" authorId="0" shapeId="0">
      <text>
        <t>fires when: japan_upgrade_waveforcebullets</t>
      </text>
    </comment>
    <comment ref="L522" authorId="0" shapeId="0">
      <text>
        <t>per-shot TOTAL across 3 main warhead(s).
raw warhead damages: 8000, 8000, 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22" authorId="0" shapeId="0">
      <text>
        <t>fires when: !rank-elite &amp;&amp; !schwarzermond_upgrade_crystallens &amp;&amp; !schwarzermond_upgrade_amplifiedlens</t>
      </text>
    </comment>
    <comment ref="L523" authorId="0" shapeId="0">
      <text>
        <t>per-shot TOTAL across 3 main warhead(s).
raw warhead damages: 8000, 8000, 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23" authorId="0" shapeId="0">
      <text>
        <t>fires when: rank-elite &amp;&amp; !schwarzermond_upgrade_crystallens &amp;&amp; !schwarzermond_upgrade_amplifiedlens</t>
      </text>
    </comment>
    <comment ref="L524" authorId="0" shapeId="0">
      <text>
        <t>per-shot TOTAL across 3 main warhead(s).
raw warhead damages: 8000, 8000, 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24" authorId="0" shapeId="0">
      <text>
        <t>fires when: !rank-elite &amp;&amp; schwarzermond_upgrade_crystallens &amp;&amp; !schwarzermond_upgrade_amplifiedlens</t>
      </text>
    </comment>
    <comment ref="L525" authorId="0" shapeId="0">
      <text>
        <t>per-shot TOTAL across 3 main warhead(s).
raw warhead damages: 8000, 8000, 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25" authorId="0" shapeId="0">
      <text>
        <t>fires when: rank-elite &amp;&amp; schwarzermond_upgrade_crystallens &amp;&amp; !schwarzermond_upgrade_amplifiedlens</t>
      </text>
    </comment>
    <comment ref="L526" authorId="0" shapeId="0">
      <text>
        <t>per-shot TOTAL across 3 main warhead(s).
raw warhead damages: 8000, 8000, 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26" authorId="0" shapeId="0">
      <text>
        <t>fires when: !rank-elite &amp;&amp; schwarzermond_upgrade_amplifiedlens</t>
      </text>
    </comment>
    <comment ref="L527" authorId="0" shapeId="0">
      <text>
        <t>per-shot TOTAL across 3 main warhead(s).
raw warhead damages: 8000, 8000, 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27" authorId="0" shapeId="0">
      <text>
        <t>fires when: rank-elite &amp;&amp; schwarzermond_upgrade_amplifiedlens</t>
      </text>
    </comment>
    <comment ref="L528" authorId="0" shapeId="0">
      <text>
        <t>per-shot TOTAL across 3 main warhead(s).
raw warhead damages: 8000, 8000, 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28" authorId="0" shapeId="0">
      <text>
        <t>fires when: !rank-elite &amp;&amp; !schwarzermond_upgrade_crystallens &amp;&amp; !schwarzermond_upgrade_amplifiedlens</t>
      </text>
    </comment>
    <comment ref="L529" authorId="0" shapeId="0">
      <text>
        <t>per-shot TOTAL across 3 main warhead(s).
raw warhead damages: 8000, 8000, 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29" authorId="0" shapeId="0">
      <text>
        <t>fires when: rank-elite &amp;&amp; !schwarzermond_upgrade_crystallens &amp;&amp; !schwarzermond_upgrade_amplifiedlens</t>
      </text>
    </comment>
    <comment ref="L530" authorId="0" shapeId="0">
      <text>
        <t>per-shot TOTAL across 3 main warhead(s).
raw warhead damages: 8000, 8000, 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30" authorId="0" shapeId="0">
      <text>
        <t>fires when: !rank-elite &amp;&amp; schwarzermond_upgrade_crystallens &amp;&amp; !schwarzermond_upgrade_amplifiedlens</t>
      </text>
    </comment>
    <comment ref="L531" authorId="0" shapeId="0">
      <text>
        <t>per-shot TOTAL across 3 main warhead(s).
raw warhead damages: 8000, 8000, 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31" authorId="0" shapeId="0">
      <text>
        <t>fires when: rank-elite &amp;&amp; schwarzermond_upgrade_crystallens &amp;&amp; !schwarzermond_upgrade_amplifiedlens</t>
      </text>
    </comment>
    <comment ref="L532" authorId="0" shapeId="0">
      <text>
        <t>per-shot TOTAL across 3 main warhead(s).
raw warhead damages: 8000, 8000, 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32" authorId="0" shapeId="0">
      <text>
        <t>fires when: !rank-elite &amp;&amp; schwarzermond_upgrade_amplifiedlens</t>
      </text>
    </comment>
    <comment ref="L533" authorId="0" shapeId="0">
      <text>
        <t>per-shot TOTAL across 3 main warhead(s).
raw warhead damages: 8000, 8000, 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33" authorId="0" shapeId="0">
      <text>
        <t>fires when: rank-elite &amp;&amp; schwarzermond_upgrade_amplifiedlens</t>
      </text>
    </comment>
    <comment ref="L537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37" authorId="0" shapeId="0">
      <text>
        <t>fires when: tkm_upgrade_gp25upgrade</t>
      </text>
    </comment>
    <comment ref="L538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38" authorId="0" shapeId="0">
      <text>
        <t>fires when: tkm_upgrade_gp25upgrade</t>
      </text>
    </comment>
    <comment ref="L541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41" authorId="0" shapeId="0">
      <text>
        <t>fires when: !td_gdi_upgrade_armorpiercingbullets</t>
      </text>
    </comment>
    <comment ref="L542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42" authorId="0" shapeId="0">
      <text>
        <t>fires when: !td_gdi_upgrade_armorpiercingbullets</t>
      </text>
    </comment>
    <comment ref="AB543" authorId="0" shapeId="0">
      <text>
        <t>fires when: td_gdi_upgrade_armorpiercingbullets</t>
      </text>
    </comment>
    <comment ref="AB544" authorId="0" shapeId="0">
      <text>
        <t>fires when: td_gdi_upgrade_armorpiercingbullets</t>
      </text>
    </comment>
    <comment ref="L546" authorId="0" shapeId="0">
      <text>
        <t>per-shot TOTAL across 5 main warhead(s).
raw warhead damages: 10000, 5, 10000, 5, 10000, 5000, 5, 10000, 5, 1000,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47" authorId="0" shapeId="0">
      <text>
        <t>per-shot TOTAL across 5 main warhead(s).
raw warhead damages: 10000, 5, 10000, 5, 10000, 5000, 5, 10000, 5, 1000,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52" authorId="0" shapeId="0">
      <text>
        <t>per-shot TOTAL across 5 main warhead(s).
raw warhead damages: 4000, 2000, 2, 4000, 2, 4000, 2, 4000, 2000,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53" authorId="0" shapeId="0">
      <text>
        <t>per-shot TOTAL across 5 main warhead(s).
raw warhead damages: 4000, 2000, 2, 4000, 2, 4000, 2, 4000, 2000,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55" authorId="0" shapeId="0">
      <text>
        <t>fires when: !japan_upgrade_advancedplasmaweapons</t>
      </text>
    </comment>
    <comment ref="AB556" authorId="0" shapeId="0">
      <text>
        <t>fires when: !japan_upgrade_advancedplasmaweapons</t>
      </text>
    </comment>
    <comment ref="L557" authorId="0" shapeId="0">
      <text>
        <t>per-shot TOTAL across 2 main warhead(s).
raw warhead damages: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57" authorId="0" shapeId="0">
      <text>
        <t>fires when: japan_upgrade_advancedplasmaweapons</t>
      </text>
    </comment>
    <comment ref="L558" authorId="0" shapeId="0">
      <text>
        <t>per-shot TOTAL across 2 main warhead(s).
raw warhead damages: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58" authorId="0" shapeId="0">
      <text>
        <t>fires when: japan_upgrade_advancedplasmaweapons</t>
      </text>
    </comment>
    <comment ref="L560" authorId="0" shapeId="0">
      <text>
        <t>per-shot TOTAL across 3 main warhead(s).
raw warhead damages: 8000, 4, 8000, 4, 8000, 4,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61" authorId="0" shapeId="0">
      <text>
        <t>per-shot TOTAL across 3 main warhead(s).
raw warhead damages: 8000, 4, 8000, 4, 8000, 4,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62" authorId="0" shapeId="0">
      <text>
        <t>per-shot TOTAL across 1 main warhead(s).
raw warhead damages: 24000,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62" authorId="0" shapeId="0">
      <text>
        <t>fires when: japan_upgrade_advancedplasmaweapons</t>
      </text>
    </comment>
    <comment ref="L563" authorId="0" shapeId="0">
      <text>
        <t>per-shot TOTAL across 1 main warhead(s).
raw warhead damages: 24000,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63" authorId="0" shapeId="0">
      <text>
        <t>fires when: japan_upgrade_advancedplasmaweapons</t>
      </text>
    </comment>
    <comment ref="AB565" authorId="0" shapeId="0">
      <text>
        <t>fires when: !ra1_soviets_upgrade_scorchedearth</t>
      </text>
    </comment>
    <comment ref="AB566" authorId="0" shapeId="0">
      <text>
        <t>fires when: !ra1_soviets_upgrade_scorchedearth</t>
      </text>
    </comment>
    <comment ref="AB567" authorId="0" shapeId="0">
      <text>
        <t>fires when: ra1_soviets_upgrade_scorchedearth</t>
      </text>
    </comment>
    <comment ref="AB568" authorId="0" shapeId="0">
      <text>
        <t>fires when: ra1_soviets_upgrade_scorchedearth</t>
      </text>
    </comment>
    <comment ref="L570" authorId="0" shapeId="0">
      <text>
        <t>per-shot TOTAL across 1 main warhead(s).
raw warhead damages: 20000,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70" authorId="0" shapeId="0">
      <text>
        <t>fires when: !ra1_soviets_doctrine_teslaandexperimentaltech &amp;&amp; !ra1_soviets_upgrade_teslaarcing</t>
      </text>
    </comment>
    <comment ref="L571" authorId="0" shapeId="0">
      <text>
        <t>per-shot TOTAL across 1 main warhead(s).
raw warhead damages: 20000,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71" authorId="0" shapeId="0">
      <text>
        <t>fires when: ra1_soviets_doctrine_teslaandexperimentaltech &amp;&amp; !ra1_soviets_upgrade_teslaarcing</t>
      </text>
    </comment>
    <comment ref="L572" authorId="0" shapeId="0">
      <text>
        <t>per-shot TOTAL across 1 main warhead(s).
raw warhead damages: 20000,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72" authorId="0" shapeId="0">
      <text>
        <t>fires when: ra1_soviets_upgrade_teslaarcing</t>
      </text>
    </comment>
    <comment ref="L573" authorId="0" shapeId="0">
      <text>
        <t>per-shot TOTAL across 1 main warhead(s).
raw warhead damages: 20000,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73" authorId="0" shapeId="0">
      <text>
        <t>fires when: !ra1_soviets_doctrine_teslaandexperimentaltech &amp;&amp; !ra1_soviets_upgrade_teslaarcing</t>
      </text>
    </comment>
    <comment ref="L574" authorId="0" shapeId="0">
      <text>
        <t>per-shot TOTAL across 1 main warhead(s).
raw warhead damages: 20000,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74" authorId="0" shapeId="0">
      <text>
        <t>fires when: ra1_soviets_doctrine_teslaandexperimentaltech &amp;&amp; !ra1_soviets_upgrade_teslaarcing</t>
      </text>
    </comment>
    <comment ref="L575" authorId="0" shapeId="0">
      <text>
        <t>per-shot TOTAL across 1 main warhead(s).
raw warhead damages: 20000,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75" authorId="0" shapeId="0">
      <text>
        <t>fires when: ra1_soviets_upgrade_teslaarcing</t>
      </text>
    </comment>
    <comment ref="L577" authorId="0" shapeId="0">
      <text>
        <t>per-shot TOTAL across 1 main warhead(s).
raw warhead damages: 32000,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77" authorId="0" shapeId="0">
      <text>
        <t>fires when: !ra1_soviets_upgrade_teslaarcing</t>
      </text>
    </comment>
    <comment ref="L578" authorId="0" shapeId="0">
      <text>
        <t>per-shot TOTAL across 1 main warhead(s).
raw warhead damages: 32000,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78" authorId="0" shapeId="0">
      <text>
        <t>fires when: ra1_soviets_upgrade_teslaarcing</t>
      </text>
    </comment>
    <comment ref="L579" authorId="0" shapeId="0">
      <text>
        <t>per-shot TOTAL across 1 main warhead(s).
raw warhead damages: 32000,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79" authorId="0" shapeId="0">
      <text>
        <t>fires when: !ra1_soviets_upgrade_teslaarcing</t>
      </text>
    </comment>
    <comment ref="L580" authorId="0" shapeId="0">
      <text>
        <t>per-shot TOTAL across 1 main warhead(s).
raw warhead damages: 32000,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80" authorId="0" shapeId="0">
      <text>
        <t>fires when: ra1_soviets_upgrade_teslaarcing</t>
      </text>
    </comment>
    <comment ref="L582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82" authorId="0" shapeId="0">
      <text>
        <t>fires when: !ra1_allies_upgrade_cryomissiles</t>
      </text>
    </comment>
    <comment ref="L583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83" authorId="0" shapeId="0">
      <text>
        <t>fires when: !ra1_allies_upgrade_cryomissiles</t>
      </text>
    </comment>
    <comment ref="AB584" authorId="0" shapeId="0">
      <text>
        <t>fires when: ra1_allies_upgrade_cryomissiles</t>
      </text>
    </comment>
    <comment ref="AB585" authorId="0" shapeId="0">
      <text>
        <t>fires when: ra1_allies_upgrade_cryomissiles</t>
      </text>
    </comment>
    <comment ref="L587" authorId="0" shapeId="0">
      <text>
        <t>per-shot TOTAL across 3 main warhead(s).
raw warhead damages: 50000, 25, 50000, 25, 50000, 25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87" authorId="0" shapeId="0">
      <text>
        <t>fires when: !cabal_upgrade_neutronnuclearcatalyst</t>
      </text>
    </comment>
    <comment ref="L588" authorId="0" shapeId="0">
      <text>
        <t>per-shot TOTAL across 6 main warhead(s).
raw warhead damages: 50000, 25, 50000, 25, 50000, 25, 50000, 1000, 25, 50000, 25, 888, 50000, 25,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88" authorId="0" shapeId="0">
      <text>
        <t>fires when: cabal_upgrade_neutronnuclearcatalyst</t>
      </text>
    </comment>
    <comment ref="L589" authorId="0" shapeId="0">
      <text>
        <t>per-shot TOTAL across 3 main warhead(s).
raw warhead damages: 50000, 25, 50000, 25, 50000, 25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89" authorId="0" shapeId="0">
      <text>
        <t>fires when: !cabal_upgrade_neutronnuclearcatalyst</t>
      </text>
    </comment>
    <comment ref="L590" authorId="0" shapeId="0">
      <text>
        <t>per-shot TOTAL across 6 main warhead(s).
raw warhead damages: 50000, 25, 50000, 25, 50000, 25, 50000, 1000, 25, 50000, 25, 888, 50000, 25,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90" authorId="0" shapeId="0">
      <text>
        <t>fires when: cabal_upgrade_neutronnuclearcatalyst</t>
      </text>
    </comment>
    <comment ref="L592" authorId="0" shapeId="0">
      <text>
        <t>per-shot TOTAL across 3 main warhead(s).
raw warhead damages: 50000, 25, 50000, 25, 50000, 25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92" authorId="0" shapeId="0">
      <text>
        <t>fires when: !cabal_upgrade_neutronnuclearcatalyst</t>
      </text>
    </comment>
    <comment ref="L593" authorId="0" shapeId="0">
      <text>
        <t>per-shot TOTAL across 6 main warhead(s).
raw warhead damages: 50000, 25, 50000, 25, 50000, 25, 50000, 1000, 25, 50000, 25, 888, 50000, 25,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93" authorId="0" shapeId="0">
      <text>
        <t>fires when: cabal_upgrade_neutronnuclearcatalyst</t>
      </text>
    </comment>
    <comment ref="L594" authorId="0" shapeId="0">
      <text>
        <t>per-shot TOTAL across 3 main warhead(s).
raw warhead damages: 50000, 25, 50000, 25, 50000, 25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94" authorId="0" shapeId="0">
      <text>
        <t>fires when: !cabal_upgrade_neutronnuclearcatalyst</t>
      </text>
    </comment>
    <comment ref="L595" authorId="0" shapeId="0">
      <text>
        <t>per-shot TOTAL across 6 main warhead(s).
raw warhead damages: 50000, 25, 50000, 25, 50000, 25, 50000, 1000, 25, 50000, 25, 888, 50000, 25,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95" authorId="0" shapeId="0">
      <text>
        <t>fires when: cabal_upgrade_neutronnuclearcatalyst</t>
      </text>
    </comment>
    <comment ref="L597" authorId="0" shapeId="0">
      <text>
        <t>per-shot TOTAL across 2 main warhead(s).
raw warhead damages: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98" authorId="0" shapeId="0">
      <text>
        <t>per-shot TOTAL across 2 main warhead(s).
raw warhead damages: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00" authorId="0" shapeId="0">
      <text>
        <t>per-shot TOTAL across 2 main warhead(s).
raw warhead damages: 12000,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01" authorId="0" shapeId="0">
      <text>
        <t>per-shot TOTAL across 2 main warhead(s).
raw warhead damages: 12000,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03" authorId="0" shapeId="0">
      <text>
        <t>per-shot TOTAL across 2 main warhead(s).
raw warhead damages: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08" authorId="0" shapeId="0">
      <text>
        <t>per-shot TOTAL across 4 main warhead(s).
raw warhead damages: 70000, 35, 70000, 35, 600, 70000, 35, 70000, 35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10" authorId="0" shapeId="0">
      <text>
        <t>per-shot TOTAL across 4 main warhead(s).
raw warhead damages: 70000, 35, 70000, 35, 600, 70000, 35, 70000, 35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12" authorId="0" shapeId="0">
      <text>
        <t>fires when: end_disable == 0</t>
      </text>
    </comment>
    <comment ref="L613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13" authorId="0" shapeId="0">
      <text>
        <t>fires when: end_disable &gt;= 1</t>
      </text>
    </comment>
    <comment ref="L619" authorId="0" shapeId="0">
      <text>
        <t>per-shot TOTAL across 1 main warhead(s).
raw warhead damages: 40000, 1000, 20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19" authorId="0" shapeId="0">
      <text>
        <t>fires when: !ts_gdi_upgrade_railgunweaponry</t>
      </text>
    </comment>
    <comment ref="L620" authorId="0" shapeId="0">
      <text>
        <t>per-shot TOTAL across 1 main warhead(s).
raw warhead damages: 60000, 1000, 30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20" authorId="0" shapeId="0">
      <text>
        <t>fires when: ts_gdi_upgrade_railgunweaponry</t>
      </text>
    </comment>
    <comment ref="L621" authorId="0" shapeId="0">
      <text>
        <t>per-shot TOTAL across 1 main warhead(s).
raw warhead damages: 40000, 1000, 20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21" authorId="0" shapeId="0">
      <text>
        <t>fires when: !ts_gdi_upgrade_railgunweaponry</t>
      </text>
    </comment>
    <comment ref="L622" authorId="0" shapeId="0">
      <text>
        <t>per-shot TOTAL across 1 main warhead(s).
raw warhead damages: 60000, 1000, 30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22" authorId="0" shapeId="0">
      <text>
        <t>fires when: ts_gdi_upgrade_railgunweaponry</t>
      </text>
    </comment>
    <comment ref="L624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25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27" authorId="0" shapeId="0">
      <text>
        <t>fires when: !forgotten_upgrade_chemicalweapons</t>
      </text>
    </comment>
    <comment ref="AB628" authorId="0" shapeId="0">
      <text>
        <t>fires when: !forgotten_upgrade_chemicalweapons</t>
      </text>
    </comment>
    <comment ref="L629" authorId="0" shapeId="0">
      <text>
        <t>per-shot TOTAL across 3 main warhead(s).
raw warhead damages: 6000, 3,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29" authorId="0" shapeId="0">
      <text>
        <t>fires when: forgotten_upgrade_chemicalweapons</t>
      </text>
    </comment>
    <comment ref="L630" authorId="0" shapeId="0">
      <text>
        <t>per-shot TOTAL across 3 main warhead(s).
raw warhead damages: 6000, 3,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30" authorId="0" shapeId="0">
      <text>
        <t>fires when: forgotten_upgrade_chemicalweapons</t>
      </text>
    </comment>
    <comment ref="AB632" authorId="0" shapeId="0">
      <text>
        <t>fires when: !forgotten_upgrade_chemicalweapons</t>
      </text>
    </comment>
    <comment ref="AB633" authorId="0" shapeId="0">
      <text>
        <t>fires when: !forgotten_upgrade_chemicalweapons</t>
      </text>
    </comment>
    <comment ref="L634" authorId="0" shapeId="0">
      <text>
        <t>per-shot TOTAL across 3 main warhead(s).
raw warhead damages: 6000, 3,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34" authorId="0" shapeId="0">
      <text>
        <t>fires when: forgotten_upgrade_chemicalweapons</t>
      </text>
    </comment>
    <comment ref="L635" authorId="0" shapeId="0">
      <text>
        <t>per-shot TOTAL across 3 main warhead(s).
raw warhead damages: 6000, 3,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35" authorId="0" shapeId="0">
      <text>
        <t>fires when: forgotten_upgrade_chemicalweapons</t>
      </text>
    </comment>
    <comment ref="L637" authorId="0" shapeId="0">
      <text>
        <t>per-shot TOTAL across 4 main warhead(s).
raw warhead damages: 6000, 3000, 3, 6000, 3000, 3,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37" authorId="0" shapeId="0">
      <text>
        <t>fires when: !forgotten_upgrade_chemicalweapons</t>
      </text>
    </comment>
    <comment ref="L638" authorId="0" shapeId="0">
      <text>
        <t>per-shot TOTAL across 4 main warhead(s).
raw warhead damages: 6000, 3000, 3, 6000, 3000, 3,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38" authorId="0" shapeId="0">
      <text>
        <t>fires when: !forgotten_upgrade_chemicalweapons</t>
      </text>
    </comment>
    <comment ref="L639" authorId="0" shapeId="0">
      <text>
        <t>per-shot TOTAL across 6 main warhead(s).
raw warhead damages: 6000, 3000, 3, 6000, 3000, 3, 6000, 3, 6000, 3,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39" authorId="0" shapeId="0">
      <text>
        <t>fires when: forgotten_upgrade_chemicalweapons</t>
      </text>
    </comment>
    <comment ref="L640" authorId="0" shapeId="0">
      <text>
        <t>per-shot TOTAL across 6 main warhead(s).
raw warhead damages: 6000, 3000, 3, 6000, 3000, 3, 6000, 3, 6000, 3,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40" authorId="0" shapeId="0">
      <text>
        <t>fires when: forgotten_upgrade_chemicalweapons</t>
      </text>
    </comment>
    <comment ref="L644" authorId="0" shapeId="0">
      <text>
        <t>per-shot TOTAL across 1 main warhead(s).
raw warhead damages: 24000,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44" authorId="0" shapeId="0">
      <text>
        <t>fires when: (!ra2_soviets_upgrade_teslaoverload &amp;&amp; !rank-elite)</t>
      </text>
    </comment>
    <comment ref="L645" authorId="0" shapeId="0">
      <text>
        <t>per-shot TOTAL across 1 main warhead(s).
raw warhead damages: 24000,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45" authorId="0" shapeId="0">
      <text>
        <t>fires when: (ra2_soviets_upgrade_teslaoverload &amp;&amp; !rank-elite) || (!ra2_soviets_upgrade_teslaoverload &amp;&amp; rank-elite)</t>
      </text>
    </comment>
    <comment ref="L646" authorId="0" shapeId="0">
      <text>
        <t>per-shot TOTAL across 1 main warhead(s).
raw warhead damages: 24000,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46" authorId="0" shapeId="0">
      <text>
        <t>fires when: (ra2_soviets_upgrade_teslaoverload &amp;&amp; rank-elite)</t>
      </text>
    </comment>
    <comment ref="L648" authorId="0" shapeId="0">
      <text>
        <t>per-shot TOTAL across 1 main warhead(s).
raw warhead damages: 24000,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48" authorId="0" shapeId="0">
      <text>
        <t>fires when: (!ra2_soviets_upgrade_teslaoverload &amp;&amp; !rank-elite)</t>
      </text>
    </comment>
    <comment ref="L649" authorId="0" shapeId="0">
      <text>
        <t>per-shot TOTAL across 1 main warhead(s).
raw warhead damages: 24000,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49" authorId="0" shapeId="0">
      <text>
        <t>fires when: (ra2_soviets_upgrade_teslaoverload &amp;&amp; !rank-elite) || (!ra2_soviets_upgrade_teslaoverload &amp;&amp; rank-elite)</t>
      </text>
    </comment>
    <comment ref="L650" authorId="0" shapeId="0">
      <text>
        <t>per-shot TOTAL across 1 main warhead(s).
raw warhead damages: 24000,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50" authorId="0" shapeId="0">
      <text>
        <t>fires when: (ra2_soviets_upgrade_teslaoverload &amp;&amp; rank-elite)</t>
      </text>
    </comment>
    <comment ref="AB654" authorId="0" shapeId="0">
      <text>
        <t>fires when: !rank-elite</t>
      </text>
    </comment>
    <comment ref="AB655" authorId="0" shapeId="0">
      <text>
        <t>fires when: rank-elite</t>
      </text>
    </comment>
    <comment ref="AB656" authorId="0" shapeId="0">
      <text>
        <t>fires when: !rank-elite</t>
      </text>
    </comment>
    <comment ref="AB657" authorId="0" shapeId="0">
      <text>
        <t>fires when: rank-elite</t>
      </text>
    </comment>
    <comment ref="AB659" authorId="0" shapeId="0">
      <text>
        <t>fires when: !rank-elite</t>
      </text>
    </comment>
    <comment ref="AB660" authorId="0" shapeId="0">
      <text>
        <t>fires when: rank-elite</t>
      </text>
    </comment>
    <comment ref="L663" authorId="0" shapeId="0">
      <text>
        <t>per-shot TOTAL across 1 main warhead(s).
raw warhead damages: 24000,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63" authorId="0" shapeId="0">
      <text>
        <t>fires when: (!ra2_soviets_upgrade_teslaoverload &amp;&amp; !rank-elite)</t>
      </text>
    </comment>
    <comment ref="L664" authorId="0" shapeId="0">
      <text>
        <t>per-shot TOTAL across 1 main warhead(s).
raw warhead damages: 24000,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64" authorId="0" shapeId="0">
      <text>
        <t>fires when: (ra2_soviets_upgrade_teslaoverload &amp;&amp; !rank-elite) || (!ra2_soviets_upgrade_teslaoverload &amp;&amp; rank-elite)</t>
      </text>
    </comment>
    <comment ref="L665" authorId="0" shapeId="0">
      <text>
        <t>per-shot TOTAL across 1 main warhead(s).
raw warhead damages: 24000,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65" authorId="0" shapeId="0">
      <text>
        <t>fires when: (ra2_soviets_upgrade_teslaoverload &amp;&amp; rank-elite)</t>
      </text>
    </comment>
    <comment ref="L667" authorId="0" shapeId="0">
      <text>
        <t>per-shot TOTAL across 1 main warhead(s).
raw warhead damages: 24000,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67" authorId="0" shapeId="0">
      <text>
        <t>fires when: (!ra2_soviets_upgrade_teslaoverload &amp;&amp; !rank-elite)</t>
      </text>
    </comment>
    <comment ref="L668" authorId="0" shapeId="0">
      <text>
        <t>per-shot TOTAL across 1 main warhead(s).
raw warhead damages: 24000,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68" authorId="0" shapeId="0">
      <text>
        <t>fires when: (ra2_soviets_upgrade_teslaoverload &amp;&amp; !rank-elite) || (!ra2_soviets_upgrade_teslaoverload &amp;&amp; rank-elite)</t>
      </text>
    </comment>
    <comment ref="L669" authorId="0" shapeId="0">
      <text>
        <t>per-shot TOTAL across 1 main warhead(s).
raw warhead damages: 24000,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69" authorId="0" shapeId="0">
      <text>
        <t>fires when: (ra2_soviets_upgrade_teslaoverload &amp;&amp; rank-elite)</t>
      </text>
    </comment>
    <comment ref="AB671" authorId="0" shapeId="0">
      <text>
        <t>fires when: !rank-elite &amp;&amp; !yuri_upgrade_corrosiveammo</t>
      </text>
    </comment>
    <comment ref="L672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72" authorId="0" shapeId="0">
      <text>
        <t>fires when: !rank-elite &amp;&amp; yuri_upgrade_corrosiveammo</t>
      </text>
    </comment>
    <comment ref="L673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73" authorId="0" shapeId="0">
      <text>
        <t>fires when: rank-elite</t>
      </text>
    </comment>
    <comment ref="AB674" authorId="0" shapeId="0">
      <text>
        <t>fires when: !rank-elite &amp;&amp; !yuri_upgrade_corrosiveammo</t>
      </text>
    </comment>
    <comment ref="L675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75" authorId="0" shapeId="0">
      <text>
        <t>fires when: !rank-elite &amp;&amp; yuri_upgrade_corrosiveammo</t>
      </text>
    </comment>
    <comment ref="L676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76" authorId="0" shapeId="0">
      <text>
        <t>fires when: rank-elite</t>
      </text>
    </comment>
    <comment ref="AB678" authorId="0" shapeId="0">
      <text>
        <t>fires when: !rank-elite &amp;&amp; !asianalliance_doctrine_modernizedinfantryequipment</t>
      </text>
    </comment>
    <comment ref="AB679" authorId="0" shapeId="0">
      <text>
        <t>fires when: (rank-elite &amp;&amp; !asianalliance_doctrine_modernizedinfantryequipment) || (!rank-elite &amp;&amp; asianalliance_doctrine_modernizedinfantryequipment)</t>
      </text>
    </comment>
    <comment ref="AB680" authorId="0" shapeId="0">
      <text>
        <t>fires when: rank-elite &amp;&amp; asianalliance_doctrine_modernizedinfantryequipment</t>
      </text>
    </comment>
    <comment ref="AB681" authorId="0" shapeId="0">
      <text>
        <t>fires when: !rank-elite &amp;&amp; !asianalliance_doctrine_modernizedinfantryequipment</t>
      </text>
    </comment>
    <comment ref="AB682" authorId="0" shapeId="0">
      <text>
        <t>fires when: (rank-elite &amp;&amp; !asianalliance_doctrine_modernizedinfantryequipment) || (!rank-elite &amp;&amp; asianalliance_doctrine_modernizedinfantryequipment)</t>
      </text>
    </comment>
    <comment ref="AB683" authorId="0" shapeId="0">
      <text>
        <t>fires when: rank-elite &amp;&amp; asianalliance_doctrine_modernizedinfantryequipment</t>
      </text>
    </comment>
    <comment ref="L685" authorId="0" shapeId="0">
      <text>
        <t>per-shot TOTAL across 8 main warhead(s).
raw warhead damages: 2000, 2000, 1, 2000, 1, 2000, 1, 2000, 1, 2000, 1000,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85" authorId="0" shapeId="0">
      <text>
        <t>fires when: !rank-elite</t>
      </text>
    </comment>
    <comment ref="L686" authorId="0" shapeId="0">
      <text>
        <t>per-shot TOTAL across 8 main warhead(s).
raw warhead damages: 2000, 2000, 1, 2000, 1, 2000, 1, 2000, 1, 2000, 1000,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86" authorId="0" shapeId="0">
      <text>
        <t>fires when: rank-elite</t>
      </text>
    </comment>
    <comment ref="L687" authorId="0" shapeId="0">
      <text>
        <t>per-shot TOTAL across 8 main warhead(s).
raw warhead damages: 2000, 2000, 1, 2000, 1, 2000, 1, 2000, 1, 2000, 1000,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87" authorId="0" shapeId="0">
      <text>
        <t>fires when: !rank-elite</t>
      </text>
    </comment>
    <comment ref="L688" authorId="0" shapeId="0">
      <text>
        <t>per-shot TOTAL across 8 main warhead(s).
raw warhead damages: 2000, 2000, 1, 2000, 1, 2000, 1, 2000, 1, 2000, 1000,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88" authorId="0" shapeId="0">
      <text>
        <t>fires when: rank-elite</t>
      </text>
    </comment>
    <comment ref="L690" authorId="0" shapeId="0">
      <text>
        <t>per-shot TOTAL across 4 main warhead(s).
raw warhead damages: 4000, 1000, 4000,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90" authorId="0" shapeId="0">
      <text>
        <t>fires when: !deployed &amp;&amp; !rank-elite &amp;&amp; !steelconsortium_upgrade_quantumweaponpower</t>
      </text>
    </comment>
    <comment ref="L691" authorId="0" shapeId="0">
      <text>
        <t>per-shot TOTAL across 4 main warhead(s).
raw warhead damages: 4000, 1000, 4000,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91" authorId="0" shapeId="0">
      <text>
        <t>fires when: !deployed &amp;&amp; rank-elite &amp;&amp; !steelconsortium_upgrade_quantumweaponpower</t>
      </text>
    </comment>
    <comment ref="L692" authorId="0" shapeId="0">
      <text>
        <t>per-shot TOTAL across 10 main warhead(s).
raw warhead damages: 2000, 1000, 1, 2000, 1, 2000, 1, 2000, 1000, 1, 2000, 1, 2000, 1000, 1, 2000, 1000,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92" authorId="0" shapeId="0">
      <text>
        <t>fires when: !deployed &amp;&amp; !rank-elite &amp;&amp; steelconsortium_upgrade_quantumweaponpower</t>
      </text>
    </comment>
    <comment ref="L693" authorId="0" shapeId="0">
      <text>
        <t>per-shot TOTAL across 10 main warhead(s).
raw warhead damages: 2000, 1000, 1, 2000, 1, 2000, 1, 2000, 1000, 1, 2000, 1, 2000, 1000, 1, 2000, 1000,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93" authorId="0" shapeId="0">
      <text>
        <t>fires when: !deployed &amp;&amp; rank-elite &amp;&amp; steelconsortium_upgrade_quantumweaponpower</t>
      </text>
    </comment>
    <comment ref="AB694" authorId="0" shapeId="0">
      <text>
        <t>fires when: botmicro</t>
      </text>
    </comment>
    <comment ref="L695" authorId="0" shapeId="0">
      <text>
        <t>per-shot TOTAL across 4 main warhead(s).
raw warhead damages: 4000, 1000, 4000,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95" authorId="0" shapeId="0">
      <text>
        <t>fires when: deployed &amp;&amp; !rank-elite &amp;&amp; !steelconsortium_upgrade_quantumweaponpower</t>
      </text>
    </comment>
    <comment ref="L696" authorId="0" shapeId="0">
      <text>
        <t>per-shot TOTAL across 4 main warhead(s).
raw warhead damages: 4000, 1000, 4000,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96" authorId="0" shapeId="0">
      <text>
        <t>fires when: deployed &amp;&amp; rank-elite &amp;&amp; !steelconsortium_upgrade_quantumweaponpower</t>
      </text>
    </comment>
    <comment ref="L697" authorId="0" shapeId="0">
      <text>
        <t>per-shot TOTAL across 10 main warhead(s).
raw warhead damages: 2000, 1000, 1, 2000, 1, 2000, 1, 2000, 1000, 1, 2000, 1, 2000, 1000, 1, 2000, 1000,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97" authorId="0" shapeId="0">
      <text>
        <t>fires when: deployed &amp;&amp; !rank-elite &amp;&amp; steelconsortium_upgrade_quantumweaponpower</t>
      </text>
    </comment>
    <comment ref="L698" authorId="0" shapeId="0">
      <text>
        <t>per-shot TOTAL across 10 main warhead(s).
raw warhead damages: 2000, 1000, 1, 2000, 1, 2000, 1, 2000, 1000, 1, 2000, 1, 2000, 1000, 1, 2000, 1000,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98" authorId="0" shapeId="0">
      <text>
        <t>fires when: deployed &amp;&amp; rank-elite &amp;&amp; steelconsortium_upgrade_quantumweaponpower</t>
      </text>
    </comment>
    <comment ref="L699" authorId="0" shapeId="0">
      <text>
        <t>per-shot TOTAL across 4 main warhead(s).
raw warhead damages: 4000, 1000, 4000,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99" authorId="0" shapeId="0">
      <text>
        <t>fires when: !rank-elite &amp;&amp; !steelconsortium_upgrade_quantumweaponpower</t>
      </text>
    </comment>
    <comment ref="L700" authorId="0" shapeId="0">
      <text>
        <t>per-shot TOTAL across 4 main warhead(s).
raw warhead damages: 4000, 1000, 4000,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00" authorId="0" shapeId="0">
      <text>
        <t>fires when: rank-elite &amp;&amp; !steelconsortium_upgrade_quantumweaponpower</t>
      </text>
    </comment>
    <comment ref="L701" authorId="0" shapeId="0">
      <text>
        <t>per-shot TOTAL across 10 main warhead(s).
raw warhead damages: 2000, 1000, 1, 2000, 1, 2000, 1, 2000, 1000, 1, 2000, 1, 2000, 1000, 1, 2000, 1000,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01" authorId="0" shapeId="0">
      <text>
        <t>fires when: !rank-elite &amp;&amp; steelconsortium_upgrade_quantumweaponpower</t>
      </text>
    </comment>
    <comment ref="L702" authorId="0" shapeId="0">
      <text>
        <t>per-shot TOTAL across 10 main warhead(s).
raw warhead damages: 2000, 1000, 1, 2000, 1, 2000, 1, 2000, 1000, 1, 2000, 1, 2000, 1000, 1, 2000, 1000,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02" authorId="0" shapeId="0">
      <text>
        <t>fires when: rank-elite &amp;&amp; steelconsortium_upgrade_quantumweaponpower</t>
      </text>
    </comment>
    <comment ref="L704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04" authorId="0" shapeId="0">
      <text>
        <t>fires when: !rank-elite</t>
      </text>
    </comment>
    <comment ref="L705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05" authorId="0" shapeId="0">
      <text>
        <t>fires when: rank-elite</t>
      </text>
    </comment>
    <comment ref="L706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06" authorId="0" shapeId="0">
      <text>
        <t>fires when: !rank-elite</t>
      </text>
    </comment>
    <comment ref="L707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07" authorId="0" shapeId="0">
      <text>
        <t>fires when: rank-elite</t>
      </text>
    </comment>
    <comment ref="AB709" authorId="0" shapeId="0">
      <text>
        <t>fires when: !rank-elite</t>
      </text>
    </comment>
    <comment ref="AB710" authorId="0" shapeId="0">
      <text>
        <t>fires when: rank-elite</t>
      </text>
    </comment>
    <comment ref="AB711" authorId="0" shapeId="0">
      <text>
        <t>fires when: !rank-elite</t>
      </text>
    </comment>
    <comment ref="AB712" authorId="0" shapeId="0">
      <text>
        <t>fires when: rank-elite</t>
      </text>
    </comment>
    <comment ref="AB714" authorId="0" shapeId="0">
      <text>
        <t>fires when: !deployed</t>
      </text>
    </comment>
    <comment ref="L715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15" authorId="0" shapeId="0">
      <text>
        <t>fires when: (deployed || undeployed) &amp;&amp; !rank-elite</t>
      </text>
    </comment>
    <comment ref="L716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16" authorId="0" shapeId="0">
      <text>
        <t>fires when: (deployed || undeployed) &amp;&amp; rank-elite</t>
      </text>
    </comment>
    <comment ref="L717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17" authorId="0" shapeId="0">
      <text>
        <t>fires when: !rank-elite</t>
      </text>
    </comment>
    <comment ref="L718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18" authorId="0" shapeId="0">
      <text>
        <t>fires when: rank-elite</t>
      </text>
    </comment>
    <comment ref="L720" authorId="0" shapeId="0">
      <text>
        <t>per-shot TOTAL across 6 main warhead(s).
raw warhead damages: 6000, 3, 6000, 3, 6000, 3000, 3, 6000, 3, 6000, 3,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20" authorId="0" shapeId="0">
      <text>
        <t>fires when: !rank-elite</t>
      </text>
    </comment>
    <comment ref="L721" authorId="0" shapeId="0">
      <text>
        <t>per-shot TOTAL across 6 main warhead(s).
raw warhead damages: 6000, 3, 6000, 3, 6000, 3000, 3, 6000, 3, 6000, 3,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21" authorId="0" shapeId="0">
      <text>
        <t>fires when: rank-elite</t>
      </text>
    </comment>
    <comment ref="L722" authorId="0" shapeId="0">
      <text>
        <t>per-shot TOTAL across 6 main warhead(s).
raw warhead damages: 6000, 3, 6000, 3, 6000, 3000, 3, 6000, 3, 6000, 3,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22" authorId="0" shapeId="0">
      <text>
        <t>fires when: !rank-elite</t>
      </text>
    </comment>
    <comment ref="L723" authorId="0" shapeId="0">
      <text>
        <t>per-shot TOTAL across 6 main warhead(s).
raw warhead damages: 6000, 3, 6000, 3, 6000, 3000, 3, 6000, 3, 6000, 3,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23" authorId="0" shapeId="0">
      <text>
        <t>fires when: rank-elite</t>
      </text>
    </comment>
    <comment ref="L725" authorId="0" shapeId="0">
      <text>
        <t>per-shot TOTAL across 6 main warhead(s).
raw warhead damages: 8000, 4, 8000, 4, 8000, 4000,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25" authorId="0" shapeId="0">
      <text>
        <t>fires when: !rank-elite</t>
      </text>
    </comment>
    <comment ref="L726" authorId="0" shapeId="0">
      <text>
        <t>per-shot TOTAL across 6 main warhead(s).
raw warhead damages: 8000, 4, 8000, 4, 8000, 4000,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26" authorId="0" shapeId="0">
      <text>
        <t>fires when: rank-elite</t>
      </text>
    </comment>
    <comment ref="L727" authorId="0" shapeId="0">
      <text>
        <t>per-shot TOTAL across 6 main warhead(s).
raw warhead damages: 8000, 4, 8000, 4, 8000, 4000,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27" authorId="0" shapeId="0">
      <text>
        <t>fires when: !rank-elite</t>
      </text>
    </comment>
    <comment ref="L728" authorId="0" shapeId="0">
      <text>
        <t>per-shot TOTAL across 6 main warhead(s).
raw warhead damages: 8000, 4, 8000, 4, 8000, 4000,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28" authorId="0" shapeId="0">
      <text>
        <t>fires when: rank-elite</t>
      </text>
    </comment>
    <comment ref="L730" authorId="0" shapeId="0">
      <text>
        <t>per-shot TOTAL across 6 main warhead(s).
raw warhead damages: 2000, 2000, 2000, 2000, 2000, 1000, 2000, 1000,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30" authorId="0" shapeId="0">
      <text>
        <t>fires when: !rank-elite &amp;&amp; !schwarzermond_upgrade_crystallens &amp;&amp; !schwarzermond_upgrade_amplifiedlens</t>
      </text>
    </comment>
    <comment ref="L731" authorId="0" shapeId="0">
      <text>
        <t>per-shot TOTAL across 6 main warhead(s).
raw warhead damages: 2000, 2000, 2000, 2000, 2000, 1000, 2000, 1000,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31" authorId="0" shapeId="0">
      <text>
        <t>fires when: rank-elite &amp;&amp; !schwarzermond_upgrade_crystallens &amp;&amp; !schwarzermond_upgrade_amplifiedlens</t>
      </text>
    </comment>
    <comment ref="L732" authorId="0" shapeId="0">
      <text>
        <t>per-shot TOTAL across 6 main warhead(s).
raw warhead damages: 2000, 2000, 2000, 2000, 2000, 1000, 2000, 1000,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32" authorId="0" shapeId="0">
      <text>
        <t>fires when: !rank-elite &amp;&amp; schwarzermond_upgrade_crystallens &amp;&amp; !schwarzermond_upgrade_amplifiedlens</t>
      </text>
    </comment>
    <comment ref="L733" authorId="0" shapeId="0">
      <text>
        <t>per-shot TOTAL across 6 main warhead(s).
raw warhead damages: 2000, 2000, 2000, 2000, 2000, 1000, 2000, 1000,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33" authorId="0" shapeId="0">
      <text>
        <t>fires when: rank-elite &amp;&amp; schwarzermond_upgrade_crystallens &amp;&amp; !schwarzermond_upgrade_amplifiedlens</t>
      </text>
    </comment>
    <comment ref="L734" authorId="0" shapeId="0">
      <text>
        <t>per-shot TOTAL across 6 main warhead(s).
raw warhead damages: 2000, 2000, 2000, 2000, 2000, 1000, 2000, 1000,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34" authorId="0" shapeId="0">
      <text>
        <t>fires when: !rank-elite &amp;&amp; schwarzermond_upgrade_amplifiedlens</t>
      </text>
    </comment>
    <comment ref="L735" authorId="0" shapeId="0">
      <text>
        <t>per-shot TOTAL across 6 main warhead(s).
raw warhead damages: 2000, 2000, 2000, 2000, 2000, 1000, 2000, 1000,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35" authorId="0" shapeId="0">
      <text>
        <t>fires when: rank-elite &amp;&amp; schwarzermond_upgrade_amplifiedlens</t>
      </text>
    </comment>
    <comment ref="L737" authorId="0" shapeId="0">
      <text>
        <t>per-shot TOTAL across 3 main warhead(s).
raw warhead damages: 8000, 2000, 4000,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37" authorId="0" shapeId="0">
      <text>
        <t>fires when: !rank-elite &amp;&amp; !schwarzermond_upgrade_crystallens &amp;&amp; !schwarzermond_upgrade_amplifiedlens</t>
      </text>
    </comment>
    <comment ref="L738" authorId="0" shapeId="0">
      <text>
        <t>per-shot TOTAL across 3 main warhead(s).
raw warhead damages: 8000, 2000, 4000,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38" authorId="0" shapeId="0">
      <text>
        <t>fires when: rank-elite &amp;&amp; !schwarzermond_upgrade_crystallens &amp;&amp; !schwarzermond_upgrade_amplifiedlens</t>
      </text>
    </comment>
    <comment ref="L739" authorId="0" shapeId="0">
      <text>
        <t>per-shot TOTAL across 3 main warhead(s).
raw warhead damages: 8000, 2000, 4000,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39" authorId="0" shapeId="0">
      <text>
        <t>fires when: !rank-elite &amp;&amp; !schwarzermond_upgrade_crystallens &amp;&amp; !schwarzermond_upgrade_amplifiedlens</t>
      </text>
    </comment>
    <comment ref="L740" authorId="0" shapeId="0">
      <text>
        <t>per-shot TOTAL across 3 main warhead(s).
raw warhead damages: 8000, 2000, 4000,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40" authorId="0" shapeId="0">
      <text>
        <t>fires when: rank-elite &amp;&amp; !schwarzermond_upgrade_crystallens &amp;&amp; !schwarzermond_upgrade_amplifiedlens</t>
      </text>
    </comment>
    <comment ref="L741" authorId="0" shapeId="0">
      <text>
        <t>per-shot TOTAL across 3 main warhead(s).
raw warhead damages: 8000, 2000, 4000,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41" authorId="0" shapeId="0">
      <text>
        <t>fires when: !rank-elite &amp;&amp; schwarzermond_upgrade_crystallens &amp;&amp; !schwarzermond_upgrade_amplifiedlens</t>
      </text>
    </comment>
    <comment ref="L742" authorId="0" shapeId="0">
      <text>
        <t>per-shot TOTAL across 3 main warhead(s).
raw warhead damages: 8000, 2000, 4000,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42" authorId="0" shapeId="0">
      <text>
        <t>fires when: rank-elite &amp;&amp; schwarzermond_upgrade_crystallens &amp;&amp; !schwarzermond_upgrade_amplifiedlens</t>
      </text>
    </comment>
    <comment ref="L743" authorId="0" shapeId="0">
      <text>
        <t>per-shot TOTAL across 3 main warhead(s).
raw warhead damages: 8000, 2000, 4000,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43" authorId="0" shapeId="0">
      <text>
        <t>fires when: !rank-elite &amp;&amp; schwarzermond_upgrade_crystallens &amp;&amp; !schwarzermond_upgrade_amplifiedlens</t>
      </text>
    </comment>
    <comment ref="L744" authorId="0" shapeId="0">
      <text>
        <t>per-shot TOTAL across 3 main warhead(s).
raw warhead damages: 8000, 2000, 4000,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44" authorId="0" shapeId="0">
      <text>
        <t>fires when: rank-elite &amp;&amp; schwarzermond_upgrade_crystallens &amp;&amp; !schwarzermond_upgrade_amplifiedlens</t>
      </text>
    </comment>
    <comment ref="L745" authorId="0" shapeId="0">
      <text>
        <t>per-shot TOTAL across 3 main warhead(s).
raw warhead damages: 8000, 2000, 4000,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45" authorId="0" shapeId="0">
      <text>
        <t>fires when: !rank-elite &amp;&amp; schwarzermond_upgrade_amplifiedlens</t>
      </text>
    </comment>
    <comment ref="L746" authorId="0" shapeId="0">
      <text>
        <t>per-shot TOTAL across 3 main warhead(s).
raw warhead damages: 8000, 2000, 4000,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46" authorId="0" shapeId="0">
      <text>
        <t>fires when: rank-elite &amp;&amp; schwarzermond_upgrade_amplifiedlens</t>
      </text>
    </comment>
    <comment ref="L747" authorId="0" shapeId="0">
      <text>
        <t>per-shot TOTAL across 3 main warhead(s).
raw warhead damages: 8000, 2000, 4000,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47" authorId="0" shapeId="0">
      <text>
        <t>fires when: !rank-elite &amp;&amp; schwarzermond_upgrade_amplifiedlens</t>
      </text>
    </comment>
    <comment ref="L748" authorId="0" shapeId="0">
      <text>
        <t>per-shot TOTAL across 3 main warhead(s).
raw warhead damages: 8000, 2000, 4000,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48" authorId="0" shapeId="0">
      <text>
        <t>fires when: rank-elite &amp;&amp; schwarzermond_upgrade_amplifiedlens</t>
      </text>
    </comment>
    <comment ref="AB750" authorId="0" shapeId="0">
      <text>
        <t>fires when: !tkm_upgrade_titanarmorpiercingbulletsupgrade</t>
      </text>
    </comment>
    <comment ref="L751" authorId="0" shapeId="0">
      <text>
        <t>per-shot TOTAL across 2 main warhead(s).
raw warhead damages: 6000,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51" authorId="0" shapeId="0">
      <text>
        <t>fires when: tkm_upgrade_titanarmorpiercingbulletsupgrade</t>
      </text>
    </comment>
    <comment ref="AB752" authorId="0" shapeId="0">
      <text>
        <t>fires when: !tkm_upgrade_titanarmorpiercingbulletsupgrade</t>
      </text>
    </comment>
    <comment ref="L753" authorId="0" shapeId="0">
      <text>
        <t>per-shot TOTAL across 2 main warhead(s).
raw warhead damages: 6000,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53" authorId="0" shapeId="0">
      <text>
        <t>fires when: tkm_upgrade_titanarmorpiercingbulletsupgrade</t>
      </text>
    </comment>
    <comment ref="L764" authorId="0" shapeId="0">
      <text>
        <t>per-shot TOTAL across 2 main warhead(s).
raw warhead damages: 8000, 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65" authorId="0" shapeId="0">
      <text>
        <t>per-shot TOTAL across 2 main warhead(s).
raw warhead damages: 8000, 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67" authorId="0" shapeId="0">
      <text>
        <t>per-shot TOTAL across 3 main warhead(s).
raw warhead damages: 10000,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68" authorId="0" shapeId="0">
      <text>
        <t>per-shot TOTAL across 3 main warhead(s).
raw warhead damages: 10000,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70" authorId="0" shapeId="0">
      <text>
        <t>per-shot TOTAL across 3 main warhead(s).
raw warhead damages: 8000, 4, 1000, 8000,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71" authorId="0" shapeId="0">
      <text>
        <t>per-shot TOTAL across 3 main warhead(s).
raw warhead damages: 8000, 4, 1000, 8000,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80" authorId="0" shapeId="0">
      <text>
        <t>fires when: !japan_upgrade_advancedplasmaweapons</t>
      </text>
    </comment>
    <comment ref="AB781" authorId="0" shapeId="0">
      <text>
        <t>fires when: !japan_upgrade_advancedplasmaweapons</t>
      </text>
    </comment>
    <comment ref="L782" authorId="0" shapeId="0">
      <text>
        <t>per-shot TOTAL across 2 main warhead(s).
raw warhead damages: 10000, 5000, 5, 10000, 5000,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82" authorId="0" shapeId="0">
      <text>
        <t>fires when: japan_upgrade_advancedplasmaweapons</t>
      </text>
    </comment>
    <comment ref="L783" authorId="0" shapeId="0">
      <text>
        <t>per-shot TOTAL across 2 main warhead(s).
raw warhead damages: 10000, 5000, 5, 10000, 5000,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83" authorId="0" shapeId="0">
      <text>
        <t>fires when: japan_upgrade_advancedplasmaweapons</t>
      </text>
    </comment>
    <comment ref="L785" authorId="0" shapeId="0">
      <text>
        <t>per-shot TOTAL across 1 main warhead(s).
raw warhead damages: 50000, 25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87" authorId="0" shapeId="0">
      <text>
        <t>per-shot TOTAL across 1 main warhead(s).
raw warhead damages: 7000,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88" authorId="0" shapeId="0">
      <text>
        <t>per-shot TOTAL across 1 main warhead(s).
raw warhead damages: 7000,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91" authorId="0" shapeId="0">
      <text>
        <t>per-shot TOTAL across 6 main warhead(s).
raw warhead damages: 4000, 4000, 2000, 2, 4000, 2000, 2, 4000,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92" authorId="0" shapeId="0">
      <text>
        <t>per-shot TOTAL across 6 main warhead(s).
raw warhead damages: 4000, 4000, 2000, 2, 4000, 2000, 2, 4000,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94" authorId="0" shapeId="0">
      <text>
        <t>fires when: !forgotten_upgrade_chemicalweapons</t>
      </text>
    </comment>
    <comment ref="L795" authorId="0" shapeId="0">
      <text>
        <t>per-shot TOTAL across 3 main warhead(s).
raw warhead damages: 32000, 16, 32000, 16, 32000, 16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95" authorId="0" shapeId="0">
      <text>
        <t>fires when: forgotten_upgrade_chemicalweapons</t>
      </text>
    </comment>
    <comment ref="AB796" authorId="0" shapeId="0">
      <text>
        <t>fires when: !forgotten_upgrade_chemicalweapons</t>
      </text>
    </comment>
    <comment ref="L797" authorId="0" shapeId="0">
      <text>
        <t>per-shot TOTAL across 3 main warhead(s).
raw warhead damages: 32000, 16, 32000, 16, 32000, 16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97" authorId="0" shapeId="0">
      <text>
        <t>fires when: forgotten_upgrade_chemicalweapons</t>
      </text>
    </comment>
    <comment ref="L799" authorId="0" shapeId="0">
      <text>
        <t>per-shot TOTAL across 6 main warhead(s).
raw warhead damages: 4000, 4000, 2000, 2, 4000, 2000, 2, 4000,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00" authorId="0" shapeId="0">
      <text>
        <t>per-shot TOTAL across 6 main warhead(s).
raw warhead damages: 4000, 4000, 2000, 2, 4000, 2000, 2, 4000,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02" authorId="0" shapeId="0">
      <text>
        <t>fires when: !forgotten_upgrade_chemicalweapons</t>
      </text>
    </comment>
    <comment ref="AB803" authorId="0" shapeId="0">
      <text>
        <t>fires when: !forgotten_upgrade_chemicalweapons</t>
      </text>
    </comment>
    <comment ref="L804" authorId="0" shapeId="0">
      <text>
        <t>per-shot TOTAL across 3 main warhead(s).
raw warhead damages: 10000, 5,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04" authorId="0" shapeId="0">
      <text>
        <t>fires when: forgotten_upgrade_chemicalweapons</t>
      </text>
    </comment>
    <comment ref="L805" authorId="0" shapeId="0">
      <text>
        <t>per-shot TOTAL across 3 main warhead(s).
raw warhead damages: 10000, 5,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05" authorId="0" shapeId="0">
      <text>
        <t>fires when: forgotten_upgrade_chemicalweapons</t>
      </text>
    </comment>
    <comment ref="L813" authorId="0" shapeId="0">
      <text>
        <t>per-shot TOTAL across 1 main warhead(s).
raw warhead damages: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13" authorId="0" shapeId="0">
      <text>
        <t>fires when: !rank-elite</t>
      </text>
    </comment>
    <comment ref="L814" authorId="0" shapeId="0">
      <text>
        <t>per-shot TOTAL across 1 main warhead(s).
raw warhead damages: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14" authorId="0" shapeId="0">
      <text>
        <t>fires when: rank-elite</t>
      </text>
    </comment>
    <comment ref="L815" authorId="0" shapeId="0">
      <text>
        <t>per-shot TOTAL across 1 main warhead(s).
raw warhead damages: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15" authorId="0" shapeId="0">
      <text>
        <t>fires when: !rank-elite</t>
      </text>
    </comment>
    <comment ref="L816" authorId="0" shapeId="0">
      <text>
        <t>per-shot TOTAL across 1 main warhead(s).
raw warhead damages: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16" authorId="0" shapeId="0">
      <text>
        <t>fires when: rank-elite</t>
      </text>
    </comment>
    <comment ref="AB822" authorId="0" shapeId="0">
      <text>
        <t>fires when: !rank-elite</t>
      </text>
    </comment>
    <comment ref="AB823" authorId="0" shapeId="0">
      <text>
        <t>fires when: rank-elite</t>
      </text>
    </comment>
    <comment ref="AB825" authorId="0" shapeId="0">
      <text>
        <t>fires when: !rank-elite</t>
      </text>
    </comment>
    <comment ref="AB826" authorId="0" shapeId="0">
      <text>
        <t>fires when: rank-elite</t>
      </text>
    </comment>
    <comment ref="AB828" authorId="0" shapeId="0">
      <text>
        <t>fires when: !rank-elite &amp;&amp; !asianalliance_doctrine_modernizedinfantryequipment</t>
      </text>
    </comment>
    <comment ref="AB829" authorId="0" shapeId="0">
      <text>
        <t>fires when: (rank-elite &amp;&amp; !asianalliance_doctrine_modernizedinfantryequipment) || (!rank-elite &amp;&amp; asianalliance_doctrine_modernizedinfantryequipment)</t>
      </text>
    </comment>
    <comment ref="AB830" authorId="0" shapeId="0">
      <text>
        <t>fires when: rank-elite &amp;&amp; asianalliance_doctrine_modernizedinfantryequipment</t>
      </text>
    </comment>
    <comment ref="AB834" authorId="0" shapeId="0">
      <text>
        <t>fires when: !rank-elite</t>
      </text>
    </comment>
    <comment ref="AB835" authorId="0" shapeId="0">
      <text>
        <t>fires when: rank-elite</t>
      </text>
    </comment>
    <comment ref="L841" authorId="0" shapeId="0">
      <text>
        <t>per-shot TOTAL across 1 main warhead(s).
raw warhead damages: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41" authorId="0" shapeId="0">
      <text>
        <t>fires when: !rank-elite</t>
      </text>
    </comment>
    <comment ref="L842" authorId="0" shapeId="0">
      <text>
        <t>per-shot TOTAL across 1 main warhead(s).
raw warhead damages: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42" authorId="0" shapeId="0">
      <text>
        <t>fires when: rank-elite</t>
      </text>
    </comment>
    <comment ref="L843" authorId="0" shapeId="0">
      <text>
        <t>per-shot TOTAL across 1 main warhead(s).
raw warhead damages: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43" authorId="0" shapeId="0">
      <text>
        <t>fires when: !rank-elite</t>
      </text>
    </comment>
    <comment ref="L844" authorId="0" shapeId="0">
      <text>
        <t>per-shot TOTAL across 1 main warhead(s).
raw warhead damages: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44" authorId="0" shapeId="0">
      <text>
        <t>fires when: rank-elite</t>
      </text>
    </comment>
    <comment ref="L847" authorId="0" shapeId="0">
      <text>
        <t>per-shot TOTAL across 6 main warhead(s).
raw warhead damages: 2000, 2000, 1000, 1, 2000, 1000,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47" authorId="0" shapeId="0">
      <text>
        <t>fires when: !deployed &amp;&amp; !rank-elite</t>
      </text>
    </comment>
    <comment ref="L848" authorId="0" shapeId="0">
      <text>
        <t>per-shot TOTAL across 6 main warhead(s).
raw warhead damages: 2000, 2000, 1000, 1, 2000, 1000,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48" authorId="0" shapeId="0">
      <text>
        <t>fires when: deployed &amp;&amp; !rank-elite</t>
      </text>
    </comment>
    <comment ref="L849" authorId="0" shapeId="0">
      <text>
        <t>per-shot TOTAL across 6 main warhead(s).
raw warhead damages: 2000, 2000, 1000, 1, 2000, 1000,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49" authorId="0" shapeId="0">
      <text>
        <t>fires when: !rank-elite</t>
      </text>
    </comment>
    <comment ref="L850" authorId="0" shapeId="0">
      <text>
        <t>per-shot TOTAL across 6 main warhead(s).
raw warhead damages: 2000, 2000, 1000, 1, 2000, 1000,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50" authorId="0" shapeId="0">
      <text>
        <t>fires when: !deployed &amp;&amp; rank-elite</t>
      </text>
    </comment>
    <comment ref="L851" authorId="0" shapeId="0">
      <text>
        <t>per-shot TOTAL across 6 main warhead(s).
raw warhead damages: 2000, 2000, 1000, 1, 2000, 1000,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51" authorId="0" shapeId="0">
      <text>
        <t>fires when: deployed &amp;&amp; rank-elite</t>
      </text>
    </comment>
    <comment ref="L852" authorId="0" shapeId="0">
      <text>
        <t>per-shot TOTAL across 6 main warhead(s).
raw warhead damages: 2000, 2000, 1000, 1, 2000, 1000,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52" authorId="0" shapeId="0">
      <text>
        <t>fires when: rank-elite</t>
      </text>
    </comment>
    <comment ref="AB853" authorId="0" shapeId="0">
      <text>
        <t>fires when: botmicro</t>
      </text>
    </comment>
    <comment ref="L855" authorId="0" shapeId="0">
      <text>
        <t>per-shot TOTAL across 1 main warhead(s).
raw warhead damages: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56" authorId="0" shapeId="0">
      <text>
        <t>per-shot TOTAL across 1 main warhead(s).
raw warhead damages: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71" authorId="0" shapeId="0">
      <text>
        <t>per-shot TOTAL across 4 main warhead(s).
raw warhead damages: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71" authorId="0" shapeId="0">
      <text>
        <t>fires when: !ixian_upgrade_tungstenneedleguns</t>
      </text>
    </comment>
    <comment ref="L872" authorId="0" shapeId="0">
      <text>
        <t>per-shot TOTAL across 8 main warhead(s).
raw warhead damages: 2000, 2000, 2000, 1, 2000, 1,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72" authorId="0" shapeId="0">
      <text>
        <t>fires when: ixian_upgrade_tungstenneedleguns</t>
      </text>
    </comment>
    <comment ref="L873" authorId="0" shapeId="0">
      <text>
        <t>per-shot TOTAL across 4 main warhead(s).
raw warhead damages: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73" authorId="0" shapeId="0">
      <text>
        <t>fires when: !ixian_upgrade_tungstenneedleguns</t>
      </text>
    </comment>
    <comment ref="L874" authorId="0" shapeId="0">
      <text>
        <t>per-shot TOTAL across 8 main warhead(s).
raw warhead damages: 2000, 2000, 2000, 1, 2000, 1,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74" authorId="0" shapeId="0">
      <text>
        <t>fires when: ixian_upgrade_tungstenneedleguns</t>
      </text>
    </comment>
    <comment ref="L895" authorId="0" shapeId="0">
      <text>
        <t>per-shot TOTAL across 2 main warhead(s).
raw warhead damages: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96" authorId="0" shapeId="0">
      <text>
        <t>per-shot TOTAL across 2 main warhead(s).
raw warhead damages: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97" authorId="0" shapeId="0">
      <text>
        <t>per-shot TOTAL across 2 main warhead(s).
raw warhead damages: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98" authorId="0" shapeId="0">
      <text>
        <t>per-shot TOTAL across 2 main warhead(s).
raw warhead damages: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20" authorId="0" shapeId="0">
      <text>
        <t>per-shot TOTAL across 4 main warhead(s).
raw warhead damages: 8000, 4, 8000, 4000, 4, 8000,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21" authorId="0" shapeId="0">
      <text>
        <t>per-shot TOTAL across 4 main warhead(s).
raw warhead damages: 8000, 4, 8000, 4000, 4, 8000,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23" authorId="0" shapeId="0">
      <text>
        <t>fires when: !japan_upgrade_energizedarrows</t>
      </text>
    </comment>
    <comment ref="AB924" authorId="0" shapeId="0">
      <text>
        <t>fires when: !japan_upgrade_energizedarrows</t>
      </text>
    </comment>
    <comment ref="L925" authorId="0" shapeId="0">
      <text>
        <t>per-shot TOTAL across 7 main warhead(s).
raw warhead damages: 6000, 3, 6000, 3, 6000, 3000, 3, 6000, 3, 6000, 3000, 3, 6000,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25" authorId="0" shapeId="0">
      <text>
        <t>fires when: japan_upgrade_energizedarrows</t>
      </text>
    </comment>
    <comment ref="L926" authorId="0" shapeId="0">
      <text>
        <t>per-shot TOTAL across 7 main warhead(s).
raw warhead damages: 6000, 3, 6000, 3, 6000, 3000, 3, 6000, 3, 6000, 3000, 3, 6000,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26" authorId="0" shapeId="0">
      <text>
        <t>fires when: japan_upgrade_energizedarrows</t>
      </text>
    </comment>
    <comment ref="L928" authorId="0" shapeId="0">
      <text>
        <t>per-shot TOTAL across 1 main warhead(s).
raw warhead damages: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29" authorId="0" shapeId="0">
      <text>
        <t>per-shot TOTAL across 1 main warhead(s).
raw warhead damages: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31" authorId="0" shapeId="0">
      <text>
        <t>per-shot TOTAL across 1 main warhead(s).
raw warhead damages: 30000, 15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31" authorId="0" shapeId="0">
      <text>
        <t>fires when: !ra1_allies_upgrade_cryomissiles</t>
      </text>
    </comment>
    <comment ref="L932" authorId="0" shapeId="0">
      <text>
        <t>per-shot TOTAL across 1 main warhead(s).
raw warhead damages: 30000, 15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32" authorId="0" shapeId="0">
      <text>
        <t>fires when: !ra1_allies_upgrade_cryomissiles</t>
      </text>
    </comment>
    <comment ref="AB933" authorId="0" shapeId="0">
      <text>
        <t>fires when: ra1_allies_upgrade_cryomissiles</t>
      </text>
    </comment>
    <comment ref="AB934" authorId="0" shapeId="0">
      <text>
        <t>fires when: ra1_allies_upgrade_cryomissiles</t>
      </text>
    </comment>
    <comment ref="L938" authorId="0" shapeId="0">
      <text>
        <t>per-shot TOTAL across 1 main warhead(s).
raw warhead damages: 20000,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39" authorId="0" shapeId="0">
      <text>
        <t>per-shot TOTAL across 1 main warhead(s).
raw warhead damages: 20000,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43" authorId="0" shapeId="0">
      <text>
        <t>per-shot TOTAL across 1 main warhead(s).
raw warhead damages: 20000,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44" authorId="0" shapeId="0">
      <text>
        <t>per-shot TOTAL across 1 main warhead(s).
raw warhead damages: 20000,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48" authorId="0" shapeId="0">
      <text>
        <t>per-shot TOTAL across 1 main warhead(s).
raw warhead damages: 20000,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49" authorId="0" shapeId="0">
      <text>
        <t>per-shot TOTAL across 1 main warhead(s).
raw warhead damages: 20000,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51" authorId="0" shapeId="0">
      <text>
        <t>per-shot TOTAL across 1 main warhead(s).
raw warhead damages: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52" authorId="0" shapeId="0">
      <text>
        <t>per-shot TOTAL across 1 main warhead(s).
raw warhead damages: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54" authorId="0" shapeId="0">
      <text>
        <t>per-shot TOTAL across 1 main warhead(s).
raw warhead damages: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55" authorId="0" shapeId="0">
      <text>
        <t>per-shot TOTAL across 1 main warhead(s).
raw warhead damages: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57" authorId="0" shapeId="0">
      <text>
        <t>per-shot TOTAL across 1 main warhead(s).
raw warhead damages: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58" authorId="0" shapeId="0">
      <text>
        <t>per-shot TOTAL across 1 main warhead(s).
raw warhead damages: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60" authorId="0" shapeId="0">
      <text>
        <t>per-shot TOTAL across 1 main warhead(s).
raw warhead damages: 44000, 22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60" authorId="0" shapeId="0">
      <text>
        <t>fires when: !rank-elite</t>
      </text>
    </comment>
    <comment ref="L961" authorId="0" shapeId="0">
      <text>
        <t>per-shot TOTAL across 1 main warhead(s).
raw warhead damages: 88000, 44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61" authorId="0" shapeId="0">
      <text>
        <t>fires when: rank-elite</t>
      </text>
    </comment>
    <comment ref="L962" authorId="0" shapeId="0">
      <text>
        <t>per-shot TOTAL across 1 main warhead(s).
raw warhead damages: 44000, 22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62" authorId="0" shapeId="0">
      <text>
        <t>fires when: !rank-elite</t>
      </text>
    </comment>
    <comment ref="L963" authorId="0" shapeId="0">
      <text>
        <t>per-shot TOTAL across 1 main warhead(s).
raw warhead damages: 88000, 44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63" authorId="0" shapeId="0">
      <text>
        <t>fires when: rank-elite</t>
      </text>
    </comment>
    <comment ref="L965" authorId="0" shapeId="0">
      <text>
        <t>per-shot TOTAL across 2 main warhead(s).
raw warhead damages: 12000, 6, 12000, 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65" authorId="0" shapeId="0">
      <text>
        <t>fires when: !rank-elite &amp;&amp; !yuri_upgrade_meltingvirus</t>
      </text>
    </comment>
    <comment ref="L966" authorId="0" shapeId="0">
      <text>
        <t>per-shot TOTAL across 3 main warhead(s).
raw warhead damages: 12000, 12000, 6, 12000, 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66" authorId="0" shapeId="0">
      <text>
        <t>fires when: !rank-elite &amp;&amp; yuri_upgrade_meltingvirus &amp;&amp; !yuri_upgrade_corrosiveammo</t>
      </text>
    </comment>
    <comment ref="L967" authorId="0" shapeId="0">
      <text>
        <t>per-shot TOTAL across 4 main warhead(s).
raw warhead damages: 12000, 12000, 12000, 6, 12000, 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67" authorId="0" shapeId="0">
      <text>
        <t>fires when: !rank-elite &amp;&amp; yuri_upgrade_corrosiveammo</t>
      </text>
    </comment>
    <comment ref="L968" authorId="0" shapeId="0">
      <text>
        <t>per-shot TOTAL across 4 main warhead(s).
raw warhead damages: 12000, 12000, 12000, 6, 12000, 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68" authorId="0" shapeId="0">
      <text>
        <t>fires when: rank-elite</t>
      </text>
    </comment>
    <comment ref="L969" authorId="0" shapeId="0">
      <text>
        <t>per-shot TOTAL across 2 main warhead(s).
raw warhead damages: 12000, 6, 12000, 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69" authorId="0" shapeId="0">
      <text>
        <t>fires when: !rank-elite &amp;&amp; !yuri_upgrade_meltingvirus</t>
      </text>
    </comment>
    <comment ref="L970" authorId="0" shapeId="0">
      <text>
        <t>per-shot TOTAL across 3 main warhead(s).
raw warhead damages: 12000, 12000, 6, 12000, 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70" authorId="0" shapeId="0">
      <text>
        <t>fires when: !rank-elite &amp;&amp; yuri_upgrade_meltingvirus &amp;&amp; !yuri_upgrade_corrosiveammo</t>
      </text>
    </comment>
    <comment ref="L971" authorId="0" shapeId="0">
      <text>
        <t>per-shot TOTAL across 4 main warhead(s).
raw warhead damages: 12000, 12000, 12000, 6, 12000, 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71" authorId="0" shapeId="0">
      <text>
        <t>fires when: !rank-elite &amp;&amp; yuri_upgrade_corrosiveammo</t>
      </text>
    </comment>
    <comment ref="L972" authorId="0" shapeId="0">
      <text>
        <t>per-shot TOTAL across 4 main warhead(s).
raw warhead damages: 12000, 12000, 12000, 6, 12000, 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72" authorId="0" shapeId="0">
      <text>
        <t>fires when: rank-elite</t>
      </text>
    </comment>
    <comment ref="L97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74" authorId="0" shapeId="0">
      <text>
        <t>fires when: !asianalliance_doctrine_modernizedinfantryequipment</t>
      </text>
    </comment>
    <comment ref="L975" authorId="0" shapeId="0">
      <text>
        <t>per-shot TOTAL across 3 main warhead(s).
raw warhead damages: 2000, 1000,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75" authorId="0" shapeId="0">
      <text>
        <t>fires when: asianalliance_doctrine_modernizedinfantryequipment</t>
      </text>
    </comment>
    <comment ref="AB976" authorId="0" shapeId="0">
      <text>
        <t>fires when: canflare</t>
      </text>
    </comment>
    <comment ref="L97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77" authorId="0" shapeId="0">
      <text>
        <t>fires when: !asianalliance_doctrine_modernizedinfantryequipment</t>
      </text>
    </comment>
    <comment ref="L978" authorId="0" shapeId="0">
      <text>
        <t>per-shot TOTAL across 3 main warhead(s).
raw warhead damages: 2000, 1000,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78" authorId="0" shapeId="0">
      <text>
        <t>fires when: asianalliance_doctrine_modernizedinfantryequipment</t>
      </text>
    </comment>
    <comment ref="AB980" authorId="0" shapeId="0">
      <text>
        <t>fires when: !rank-elite</t>
      </text>
    </comment>
    <comment ref="AB981" authorId="0" shapeId="0">
      <text>
        <t>fires when: rank-elite</t>
      </text>
    </comment>
    <comment ref="AB982" authorId="0" shapeId="0">
      <text>
        <t>fires when: !rank-elite</t>
      </text>
    </comment>
    <comment ref="AB983" authorId="0" shapeId="0">
      <text>
        <t>fires when: rank-elite</t>
      </text>
    </comment>
    <comment ref="AB985" authorId="0" shapeId="0">
      <text>
        <t>fires when: !rank-elite</t>
      </text>
    </comment>
    <comment ref="AB986" authorId="0" shapeId="0">
      <text>
        <t>fires when: rank-elite</t>
      </text>
    </comment>
    <comment ref="L987" authorId="0" shapeId="0">
      <text>
        <t>per-shot TOTAL across 1 main warhead(s).
raw warhead damages: 20000,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87" authorId="0" shapeId="0">
      <text>
        <t>fires when: !rank-elite</t>
      </text>
    </comment>
    <comment ref="L988" authorId="0" shapeId="0">
      <text>
        <t>per-shot TOTAL across 1 main warhead(s).
raw warhead damages: 20000,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88" authorId="0" shapeId="0">
      <text>
        <t>fires when: rank-elite</t>
      </text>
    </comment>
    <comment ref="AB989" authorId="0" shapeId="0">
      <text>
        <t>fires when: !rank-elite</t>
      </text>
    </comment>
    <comment ref="AB990" authorId="0" shapeId="0">
      <text>
        <t>fires when: rank-elite</t>
      </text>
    </comment>
    <comment ref="L991" authorId="0" shapeId="0">
      <text>
        <t>per-shot TOTAL across 1 main warhead(s).
raw warhead damages: 20000,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91" authorId="0" shapeId="0">
      <text>
        <t>fires when: !rank-elite</t>
      </text>
    </comment>
    <comment ref="L992" authorId="0" shapeId="0">
      <text>
        <t>per-shot TOTAL across 1 main warhead(s).
raw warhead damages: 20000,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92" authorId="0" shapeId="0">
      <text>
        <t>fires when: rank-elite</t>
      </text>
    </comment>
    <comment ref="L994" authorId="0" shapeId="0">
      <text>
        <t>per-shot TOTAL across 1 main warhead(s).
raw warhead damages: 24000, 12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94" authorId="0" shapeId="0">
      <text>
        <t>fires when: !rank-elite</t>
      </text>
    </comment>
    <comment ref="L995" authorId="0" shapeId="0">
      <text>
        <t>per-shot TOTAL across 1 main warhead(s).
raw warhead damages: 24000, 12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95" authorId="0" shapeId="0">
      <text>
        <t>fires when: rank-elite</t>
      </text>
    </comment>
    <comment ref="L996" authorId="0" shapeId="0">
      <text>
        <t>per-shot TOTAL across 1 main warhead(s).
raw warhead damages: 24000, 12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96" authorId="0" shapeId="0">
      <text>
        <t>fires when: !rank-elite</t>
      </text>
    </comment>
    <comment ref="L997" authorId="0" shapeId="0">
      <text>
        <t>per-shot TOTAL across 1 main warhead(s).
raw warhead damages: 24000, 12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97" authorId="0" shapeId="0">
      <text>
        <t>fires when: rank-elite</t>
      </text>
    </comment>
    <comment ref="L999" authorId="0" shapeId="0">
      <text>
        <t>per-shot TOTAL across 1 main warhead(s).
raw warhead damages: 44000, 22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00" authorId="0" shapeId="0">
      <text>
        <t>per-shot TOTAL across 1 main warhead(s).
raw warhead damages: 44000, 22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02" authorId="0" shapeId="0">
      <text>
        <t>per-shot TOTAL across 8 main warhead(s).
raw warhead damages: 20000, 20000, 20000, 20000, 2, 2000, 1, 20000, 2, 2000, 1, 20000, 2, 20000,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03" authorId="0" shapeId="0">
      <text>
        <t>per-shot TOTAL across 5 main warhead(s).
raw warhead damages: 2000,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04" authorId="0" shapeId="0">
      <text>
        <t>per-shot TOTAL across 5 main warhead(s).
raw warhead damages: 2000,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06" authorId="0" shapeId="0">
      <text>
        <t>per-shot TOTAL across 1 main warhead(s).
raw warhead damages: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07" authorId="0" shapeId="0">
      <text>
        <t>per-shot TOTAL across 1 main warhead(s).
raw warhead damages: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08" authorId="0" shapeId="0">
      <text>
        <t>per-shot TOTAL across 3 main warhead(s).
raw warhead damages: 4000,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09" authorId="0" shapeId="0">
      <text>
        <t>per-shot TOTAL across 1 main warhead(s).
raw warhead damages: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10" authorId="0" shapeId="0">
      <text>
        <t>per-shot TOTAL across 1 main warhead(s).
raw warhead damages: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11" authorId="0" shapeId="0">
      <text>
        <t>per-shot TOTAL across 3 main warhead(s).
raw warhead damages: 4000,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13" authorId="0" shapeId="0">
      <text>
        <t>per-shot TOTAL across 8 main warhead(s).
raw warhead damages: 40000, 40000, 40000, 40000, 4, 4000, 2, 40000, 4, 4000, 2, 40000, 4, 40000,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14" authorId="0" shapeId="0">
      <text>
        <t>per-shot TOTAL across 5 main warhead(s).
raw warhead damages: 4000, 4000, 2, 4000,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15" authorId="0" shapeId="0">
      <text>
        <t>per-shot TOTAL across 5 main warhead(s).
raw warhead damages: 4000, 4000, 2, 4000,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17" authorId="0" shapeId="0">
      <text>
        <t>per-shot TOTAL across 2 main warhead(s).
raw warhead damages: 8000,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17" authorId="0" shapeId="0">
      <text>
        <t>fires when: (FSD_cond_1 &amp;&amp; !wc2_cond_bot_owner) || (FSD_cond_1_AI &amp;&amp; wc2_cond_bot_owner) || (FSD_cond_2 &amp;&amp; !deathknighthaste_upg) || (FSD_cond_3 &amp;&amp; !deathknightdeathanddecay_upg) || (FSD_cond_4 &amp;&amp; !deathknightraisedead_upg)</t>
      </text>
    </comment>
    <comment ref="L1018" authorId="0" shapeId="0">
      <text>
        <t>per-shot TOTAL across 2 main warhead(s).
raw warhead damages: 8000,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19" authorId="0" shapeId="0">
      <text>
        <t>per-shot TOTAL across 2 main warhead(s).
raw warhead damages: 8000,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19" authorId="0" shapeId="0">
      <text>
        <t>fires when: (FSD_cond_1 &amp;&amp; !wc2_cond_bot_owner) || (FSD_cond_1_AI &amp;&amp; wc2_cond_bot_owner)</t>
      </text>
    </comment>
    <comment ref="L1020" authorId="0" shapeId="0">
      <text>
        <t>per-shot TOTAL across 2 main warhead(s).
raw warhead damages: 8000,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20" authorId="0" shapeId="0">
      <text>
        <t>fires when: (FSD_cond_1 &amp;&amp; !wc2_cond_bot_owner) || (FSD_cond_1_AI &amp;&amp; wc2_cond_bot_owner)</t>
      </text>
    </comment>
    <comment ref="L1021" authorId="0" shapeId="0">
      <text>
        <t>per-shot TOTAL across 2 main warhead(s).
raw warhead damages: 8000,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21" authorId="0" shapeId="0">
      <text>
        <t>fires when: (FSD_cond_1 &amp;&amp; !wc2_cond_bot_owner) || (FSD_cond_1_AI &amp;&amp; wc2_cond_bot_owner)</t>
      </text>
    </comment>
    <comment ref="AB1022" authorId="0" shapeId="0">
      <text>
        <t>fires when: FSD_cond_2 &amp;&amp; deathknighthaste_upg</t>
      </text>
    </comment>
    <comment ref="AB1023" authorId="0" shapeId="0">
      <text>
        <t>fires when: FSD_cond_3 &amp;&amp; deathknightdeathanddecay_upg</t>
      </text>
    </comment>
    <comment ref="AB1024" authorId="0" shapeId="0">
      <text>
        <t>fires when: FSD_cond_4 &amp;&amp; deathknightraisedead_upg</t>
      </text>
    </comment>
    <comment ref="L1026" authorId="0" shapeId="0">
      <text>
        <t>per-shot TOTAL across 1 main warhead(s).
raw warhead damages: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26" authorId="0" shapeId="0">
      <text>
        <t>fires when: (FSD_cond_1 &amp;&amp; !wc2_cond_bot_owner) || (FSD_cond_1_AI &amp;&amp; wc2_cond_bot_owner) || (FSD_cond_2 &amp;&amp; !mageslow_upg) || (FSD_cond_3 &amp;&amp; !magepolymorph_upg) || (FSD_cond_4 &amp;&amp; !mageblizzard_upg)</t>
      </text>
    </comment>
    <comment ref="L1027" authorId="0" shapeId="0">
      <text>
        <t>per-shot TOTAL across 1 main warhead(s).
raw warhead damages: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28" authorId="0" shapeId="0">
      <text>
        <t>fires when: (FSD_cond_1 &amp;&amp; !wc2_cond_bot_owner) || (FSD_cond_1_AI &amp;&amp; wc2_cond_bot_owner)</t>
      </text>
    </comment>
    <comment ref="AB1029" authorId="0" shapeId="0">
      <text>
        <t>fires when: (FSD_cond_1 &amp;&amp; !wc2_cond_bot_owner) || (FSD_cond_1_AI &amp;&amp; wc2_cond_bot_owner)</t>
      </text>
    </comment>
    <comment ref="AB1030" authorId="0" shapeId="0">
      <text>
        <t>fires when: FSD_cond_2 &amp;&amp; mageslow_upg</t>
      </text>
    </comment>
    <comment ref="AB1031" authorId="0" shapeId="0">
      <text>
        <t>fires when: FSD_cond_3 &amp;&amp; magepolymorph_upg</t>
      </text>
    </comment>
    <comment ref="AB1032" authorId="0" shapeId="0">
      <text>
        <t>fires when: FSD_cond_4 &amp;&amp; mageblizzard_upg</t>
      </text>
    </comment>
    <comment ref="L1034" authorId="0" shapeId="0">
      <text>
        <t>per-shot TOTAL across 1 main warhead(s).
raw warhead damages: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34" authorId="0" shapeId="0">
      <text>
        <t>fires when: (FSD_cond_1 &amp;&amp; !wc2_cond_bot_owner) || (FSD_cond_1_AI &amp;&amp; wc2_cond_bot_owner) || (FSD_cond_3 &amp;&amp; !paladinhealing_upg) || (FSD_cond_4 &amp;&amp; !paladinexorcism_upg)</t>
      </text>
    </comment>
    <comment ref="AB1035" authorId="0" shapeId="0">
      <text>
        <t>fires when: FSD_cond_3 &amp;&amp; paladinhealing_upg</t>
      </text>
    </comment>
    <comment ref="AB1036" authorId="0" shapeId="0">
      <text>
        <t>fires when: FSD_cond_4 &amp;&amp; paladinexorcism_upg</t>
      </text>
    </comment>
    <comment ref="L1038" authorId="0" shapeId="0">
      <text>
        <t>per-shot TOTAL across 1 main warhead(s).
raw warhead damages: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38" authorId="0" shapeId="0">
      <text>
        <t>fires when: (FSD_cond_1 &amp;&amp; !wc2_cond_bot_owner) || (FSD_cond_1_AI &amp;&amp; wc2_cond_bot_owner) || (FSD_cond_3 &amp;&amp; !paladinhealing_upg) || (FSD_cond_4 &amp;&amp; !paladinexorcism_upg)</t>
      </text>
    </comment>
    <comment ref="AB1039" authorId="0" shapeId="0">
      <text>
        <t>fires when: FSD_cond_3 &amp;&amp; paladinhealing_upg</t>
      </text>
    </comment>
    <comment ref="AB1040" authorId="0" shapeId="0">
      <text>
        <t>fires when: FSD_cond_4 &amp;&amp; paladinexorcism_upg</t>
      </text>
    </comment>
    <comment ref="L1042" authorId="0" shapeId="0">
      <text>
        <t>per-shot TOTAL across 1 main warhead(s).
raw warhead damages: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42" authorId="0" shapeId="0">
      <text>
        <t>fires when: (FSD_cond_1 &amp;&amp; !wc2_cond_bot_owner) || (FSD_cond_1_AI &amp;&amp; wc2_cond_bot_owner) || (FSD_cond_2 &amp;&amp; !mageslow_upg) || (FSD_cond_3 &amp;&amp; !magepolymorph_upg) || (FSD_cond_4 &amp;&amp; !mageblizzard_upg)</t>
      </text>
    </comment>
    <comment ref="L1043" authorId="0" shapeId="0">
      <text>
        <t>per-shot TOTAL across 1 main warhead(s).
raw warhead damages: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44" authorId="0" shapeId="0">
      <text>
        <t>fires when: (FSD_cond_1 &amp;&amp; !wc2_cond_bot_owner) || (FSD_cond_1_AI &amp;&amp; wc2_cond_bot_owner)</t>
      </text>
    </comment>
    <comment ref="AB1045" authorId="0" shapeId="0">
      <text>
        <t>fires when: (FSD_cond_1 &amp;&amp; !wc2_cond_bot_owner) || (FSD_cond_1_AI &amp;&amp; wc2_cond_bot_owner)</t>
      </text>
    </comment>
    <comment ref="AB1046" authorId="0" shapeId="0">
      <text>
        <t>fires when: FSD_cond_2 &amp;&amp; mageslow_upg</t>
      </text>
    </comment>
    <comment ref="AB1047" authorId="0" shapeId="0">
      <text>
        <t>fires when: FSD_cond_3 &amp;&amp; magepolymorph_upg</t>
      </text>
    </comment>
    <comment ref="AB1048" authorId="0" shapeId="0">
      <text>
        <t>fires when: FSD_cond_4 &amp;&amp; mageblizzard_upg</t>
      </text>
    </comment>
    <comment ref="L1053" authorId="0" shapeId="0">
      <text>
        <t>per-shot TOTAL across 1 main warhead(s).
raw warhead damages: 40000, 20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53" authorId="0" shapeId="0">
      <text>
        <t>fires when: !td_gdi_upgrade_armorpiercingbullets</t>
      </text>
    </comment>
    <comment ref="L1054" authorId="0" shapeId="0">
      <text>
        <t>per-shot TOTAL across 1 main warhead(s).
raw warhead damages: 40000, 20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54" authorId="0" shapeId="0">
      <text>
        <t>fires when: !td_gdi_upgrade_armorpiercingbullets</t>
      </text>
    </comment>
    <comment ref="L1055" authorId="0" shapeId="0">
      <text>
        <t>per-shot TOTAL across 2 main warhead(s).
raw warhead damages: 20000, 1000, 20000,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55" authorId="0" shapeId="0">
      <text>
        <t>fires when: td_gdi_upgrade_armorpiercingbullets</t>
      </text>
    </comment>
    <comment ref="L1056" authorId="0" shapeId="0">
      <text>
        <t>per-shot TOTAL across 2 main warhead(s).
raw warhead damages: 20000, 1000, 20000,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56" authorId="0" shapeId="0">
      <text>
        <t>fires when: td_gdi_upgrade_armorpiercingbullets</t>
      </text>
    </comment>
    <comment ref="L1058" authorId="0" shapeId="0">
      <text>
        <t>per-shot TOTAL across 2 main warhead(s).
raw warhead damages: 20000, 10, 20000,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59" authorId="0" shapeId="0">
      <text>
        <t>per-shot TOTAL across 2 main warhead(s).
raw warhead damages: 20000,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60" authorId="0" shapeId="0">
      <text>
        <t>per-shot TOTAL across 2 main warhead(s).
raw warhead damages: 20000, 10000, 10, 20000, 10000,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61" authorId="0" shapeId="0">
      <text>
        <t>per-shot TOTAL across 2 main warhead(s).
raw warhead damages: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62" authorId="0" shapeId="0">
      <text>
        <t>per-shot TOTAL across 2 main warhead(s).
raw warhead damages: 20000, 10, 20000,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63" authorId="0" shapeId="0">
      <text>
        <t>per-shot TOTAL across 2 main warhead(s).
raw warhead damages: 20000,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64" authorId="0" shapeId="0">
      <text>
        <t>per-shot TOTAL across 2 main warhead(s).
raw warhead damages: 20000, 10000, 10, 20000, 10000,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65" authorId="0" shapeId="0">
      <text>
        <t>per-shot TOTAL across 2 main warhead(s).
raw warhead damages: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70" authorId="0" shapeId="0">
      <text>
        <t>per-shot TOTAL across 1 main warhead(s).
raw warhead damages: 40000, 20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71" authorId="0" shapeId="0">
      <text>
        <t>per-shot TOTAL across 1 main warhead(s).
raw warhead damages: 40000, 20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73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74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75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83" authorId="0" shapeId="0">
      <text>
        <t>per-shot TOTAL across 3 main warhead(s).
raw warhead damages: 10000, 10000, 5, 10000, 5000,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83" authorId="0" shapeId="0">
      <text>
        <t>fires when: !ra1_soviets_upgrade_incendiarybullets &amp;&amp; !ra1_soviets_upgrade_teslaarcing &amp;&amp; !ra1_soviets_upgrade_nucleartankshells</t>
      </text>
    </comment>
    <comment ref="L1084" authorId="0" shapeId="0">
      <text>
        <t>per-shot TOTAL across 4 main warhead(s).
raw warhead damages: 8000, 8000, 4, 8000, 4000, 4,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84" authorId="0" shapeId="0">
      <text>
        <t>fires when: !ra1_soviets_upgrade_incendiarybullets &amp;&amp; ra1_soviets_upgrade_teslaarcing</t>
      </text>
    </comment>
    <comment ref="L1085" authorId="0" shapeId="0">
      <text>
        <t>per-shot TOTAL across 4 main warhead(s).
raw warhead damages: 40000, 20, 40000, 40000, 20, 40000, 20000, 20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85" authorId="0" shapeId="0">
      <text>
        <t>fires when: !ra1_soviets_upgrade_incendiarybullets &amp;&amp; ra1_soviets_upgrade_nucleartankshells</t>
      </text>
    </comment>
    <comment ref="L1086" authorId="0" shapeId="0">
      <text>
        <t>per-shot TOTAL across 4 main warhead(s).
raw warhead damages: 10000, 10000, 10000, 5, 10000, 5000,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86" authorId="0" shapeId="0">
      <text>
        <t>fires when: ra1_soviets_upgrade_incendiarybullets &amp;&amp; !ra1_soviets_upgrade_teslaarcing &amp;&amp; !ra1_soviets_upgrade_nucleartankshells</t>
      </text>
    </comment>
    <comment ref="L1087" authorId="0" shapeId="0">
      <text>
        <t>per-shot TOTAL across 5 main warhead(s).
raw warhead damages: 8000, 8000, 4, 8000, 4000, 4, 8000, 4, 8000, 4000,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87" authorId="0" shapeId="0">
      <text>
        <t>fires when: ra1_soviets_upgrade_incendiarybullets &amp;&amp; ra1_soviets_upgrade_teslaarcing</t>
      </text>
    </comment>
    <comment ref="L1088" authorId="0" shapeId="0">
      <text>
        <t>per-shot TOTAL across 5 main warhead(s).
raw warhead damages: 40000, 20, 40000, 20, 40000, 40000, 20, 40000, 20000, 20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88" authorId="0" shapeId="0">
      <text>
        <t>fires when: ra1_soviets_upgrade_incendiarybullets &amp;&amp; ra1_soviets_upgrade_nucleartankshells</t>
      </text>
    </comment>
    <comment ref="L1089" authorId="0" shapeId="0">
      <text>
        <t>per-shot TOTAL across 3 main warhead(s).
raw warhead damages: 10000, 10000, 5, 10000, 5000,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89" authorId="0" shapeId="0">
      <text>
        <t>fires when: !ra1_soviets_upgrade_incendiarybullets &amp;&amp; !ra1_soviets_upgrade_teslaarcing &amp;&amp; !ra1_soviets_upgrade_nucleartankshells</t>
      </text>
    </comment>
    <comment ref="L1090" authorId="0" shapeId="0">
      <text>
        <t>per-shot TOTAL across 4 main warhead(s).
raw warhead damages: 8000, 8000, 4, 8000, 4000, 4,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90" authorId="0" shapeId="0">
      <text>
        <t>fires when: !ra1_soviets_upgrade_incendiarybullets &amp;&amp; ra1_soviets_upgrade_teslaarcing</t>
      </text>
    </comment>
    <comment ref="L1091" authorId="0" shapeId="0">
      <text>
        <t>per-shot TOTAL across 4 main warhead(s).
raw warhead damages: 40000, 20, 40000, 40000, 20, 40000, 20000, 20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91" authorId="0" shapeId="0">
      <text>
        <t>fires when: !ra1_soviets_upgrade_incendiarybullets &amp;&amp; ra1_soviets_upgrade_nucleartankshells</t>
      </text>
    </comment>
    <comment ref="L1092" authorId="0" shapeId="0">
      <text>
        <t>per-shot TOTAL across 4 main warhead(s).
raw warhead damages: 10000, 10000, 10000, 5, 10000, 5000,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92" authorId="0" shapeId="0">
      <text>
        <t>fires when: ra1_soviets_upgrade_incendiarybullets &amp;&amp; !ra1_soviets_upgrade_teslaarcing &amp;&amp; !ra1_soviets_upgrade_nucleartankshells</t>
      </text>
    </comment>
    <comment ref="L1093" authorId="0" shapeId="0">
      <text>
        <t>per-shot TOTAL across 5 main warhead(s).
raw warhead damages: 8000, 8000, 4, 8000, 4000, 4, 8000, 4, 8000, 4000,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93" authorId="0" shapeId="0">
      <text>
        <t>fires when: ra1_soviets_upgrade_incendiarybullets &amp;&amp; ra1_soviets_upgrade_teslaarcing</t>
      </text>
    </comment>
    <comment ref="L1094" authorId="0" shapeId="0">
      <text>
        <t>per-shot TOTAL across 5 main warhead(s).
raw warhead damages: 40000, 20, 40000, 20, 40000, 40000, 20, 40000, 20000, 20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94" authorId="0" shapeId="0">
      <text>
        <t>fires when: ra1_soviets_upgrade_incendiarybullets &amp;&amp; ra1_soviets_upgrade_nucleartankshells</t>
      </text>
    </comment>
    <comment ref="L1096" authorId="0" shapeId="0">
      <text>
        <t>per-shot TOTAL across 1 main warhead(s).
raw warhead damages: 7777,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96" authorId="0" shapeId="0">
      <text>
        <t>fires when: !ra1_allies_upgrade_cryomissiles</t>
      </text>
    </comment>
    <comment ref="L1097" authorId="0" shapeId="0">
      <text>
        <t>per-shot TOTAL across 1 main warhead(s).
raw warhead damages: 7777,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97" authorId="0" shapeId="0">
      <text>
        <t>fires when: !ra1_allies_upgrade_cryomissiles</t>
      </text>
    </comment>
    <comment ref="AB1100" authorId="0" shapeId="0">
      <text>
        <t>fires when: ra1_allies_upgrade_cryomissiles</t>
      </text>
    </comment>
    <comment ref="AB1101" authorId="0" shapeId="0">
      <text>
        <t>fires when: ra1_allies_upgrade_cryomissiles</t>
      </text>
    </comment>
    <comment ref="L1105" authorId="0" shapeId="0">
      <text>
        <t>per-shot TOTAL across 6 main warhead(s).
raw warhead damages: 8000, 8000, 4000, 4, 8000, 4000, 4, 8000, 4, 8000,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06" authorId="0" shapeId="0">
      <text>
        <t>per-shot TOTAL across 6 main warhead(s).
raw warhead damages: 8000, 8000, 4000, 4, 8000, 4000, 4, 8000, 4, 8000,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08" authorId="0" shapeId="0">
      <text>
        <t>per-shot TOTAL across 1 main warhead(s).
raw warhead damages: 40000, 1000, 20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08" authorId="0" shapeId="0">
      <text>
        <t>fires when: !ts_gdi_upgrade_railgunweaponry</t>
      </text>
    </comment>
    <comment ref="L1109" authorId="0" shapeId="0">
      <text>
        <t>per-shot TOTAL across 1 main warhead(s).
raw warhead damages: 40000, 1000, 20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09" authorId="0" shapeId="0">
      <text>
        <t>fires when: ts_gdi_upgrade_railgunweaponry</t>
      </text>
    </comment>
    <comment ref="L1110" authorId="0" shapeId="0">
      <text>
        <t>per-shot TOTAL across 1 main warhead(s).
raw warhead damages: 40000, 1000, 20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10" authorId="0" shapeId="0">
      <text>
        <t>fires when: !ts_gdi_upgrade_railgunweaponry</t>
      </text>
    </comment>
    <comment ref="L1111" authorId="0" shapeId="0">
      <text>
        <t>per-shot TOTAL across 1 main warhead(s).
raw warhead damages: 40000, 1000, 20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11" authorId="0" shapeId="0">
      <text>
        <t>fires when: ts_gdi_upgrade_railgunweaponry</t>
      </text>
    </comment>
    <comment ref="AB1113" authorId="0" shapeId="0">
      <text>
        <t>fires when: !forgotten_upgrade_chemicalweapons</t>
      </text>
    </comment>
    <comment ref="AB1114" authorId="0" shapeId="0">
      <text>
        <t>fires when: forgotten_upgrade_chemicalweapons</t>
      </text>
    </comment>
    <comment ref="AB1116" authorId="0" shapeId="0">
      <text>
        <t>fires when: !forgotten_upgrade_chemicalweapons</t>
      </text>
    </comment>
    <comment ref="AB1117" authorId="0" shapeId="0">
      <text>
        <t>fires when: forgotten_upgrade_chemicalweapons</t>
      </text>
    </comment>
    <comment ref="AB1119" authorId="0" shapeId="0">
      <text>
        <t>fires when: !forgotten_upgrade_chemicalweapons</t>
      </text>
    </comment>
    <comment ref="AB1120" authorId="0" shapeId="0">
      <text>
        <t>fires when: forgotten_upgrade_chemicalweapons</t>
      </text>
    </comment>
    <comment ref="AB1122" authorId="0" shapeId="0">
      <text>
        <t>fires when: !forgotten_upgrade_chemicalweapons</t>
      </text>
    </comment>
    <comment ref="AB1123" authorId="0" shapeId="0">
      <text>
        <t>fires when: forgotten_upgrade_chemicalweapons</t>
      </text>
    </comment>
    <comment ref="AB1125" authorId="0" shapeId="0">
      <text>
        <t>fires when: !forgotten_upgrade_chemicalweapons</t>
      </text>
    </comment>
    <comment ref="AB1126" authorId="0" shapeId="0">
      <text>
        <t>fires when: forgotten_upgrade_chemicalweapons</t>
      </text>
    </comment>
    <comment ref="AB1127" authorId="0" shapeId="0">
      <text>
        <t>fires when: !forgotten_upgrade_chemicalweapons</t>
      </text>
    </comment>
    <comment ref="AB1128" authorId="0" shapeId="0">
      <text>
        <t>fires when: forgotten_upgrade_chemicalweapons</t>
      </text>
    </comment>
    <comment ref="L1131" authorId="0" shapeId="0">
      <text>
        <t>per-shot TOTAL across 1 main warhead(s).
raw warhead damages: 14000, 7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31" authorId="0" shapeId="0">
      <text>
        <t>fires when: !rank-elite</t>
      </text>
    </comment>
    <comment ref="L1132" authorId="0" shapeId="0">
      <text>
        <t>per-shot TOTAL across 1 main warhead(s).
raw warhead damages: 14000, 7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32" authorId="0" shapeId="0">
      <text>
        <t>fires when: rank-elite</t>
      </text>
    </comment>
    <comment ref="L1135" authorId="0" shapeId="0">
      <text>
        <t>per-shot TOTAL across 1 main warhead(s).
raw warhead damages: 14000, 7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35" authorId="0" shapeId="0">
      <text>
        <t>fires when: !rank-elite</t>
      </text>
    </comment>
    <comment ref="L1136" authorId="0" shapeId="0">
      <text>
        <t>per-shot TOTAL across 1 main warhead(s).
raw warhead damages: 14000, 7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36" authorId="0" shapeId="0">
      <text>
        <t>fires when: rank-elite</t>
      </text>
    </comment>
    <comment ref="L1138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38" authorId="0" shapeId="0">
      <text>
        <t>fires when: !rank-elite</t>
      </text>
    </comment>
    <comment ref="L1139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39" authorId="0" shapeId="0">
      <text>
        <t>fires when: rank-elite</t>
      </text>
    </comment>
    <comment ref="L1140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40" authorId="0" shapeId="0">
      <text>
        <t>fires when: !canflare</t>
      </text>
    </comment>
    <comment ref="AB1141" authorId="0" shapeId="0">
      <text>
        <t>fires when: canflare</t>
      </text>
    </comment>
    <comment ref="L1142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42" authorId="0" shapeId="0">
      <text>
        <t>fires when: !rank-elite</t>
      </text>
    </comment>
    <comment ref="L1143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43" authorId="0" shapeId="0">
      <text>
        <t>fires when: rank-elite</t>
      </text>
    </comment>
    <comment ref="AB1146" authorId="0" shapeId="0">
      <text>
        <t>fires when: !yuri_upgrade_domination</t>
      </text>
    </comment>
    <comment ref="AB1147" authorId="0" shapeId="0">
      <text>
        <t>fires when: yuri_upgrade_domination</t>
      </text>
    </comment>
    <comment ref="L1149" authorId="0" shapeId="0">
      <text>
        <t>per-shot TOTAL across 8 main warhead(s).
raw warhead damages: 32000, 16000, 32000, 32000, 16, 6000, 3, 32000, 16, 6000, 3, 32000, 16, 32000, 16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50" authorId="0" shapeId="0">
      <text>
        <t>per-shot TOTAL across 5 main warhead(s).
raw warhead damages: 6000, 6000, 3, 6000, 3,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50" authorId="0" shapeId="0">
      <text>
        <t>fires when: !asianalliance_doctrine_modernizedinfantryequipment</t>
      </text>
    </comment>
    <comment ref="L1151" authorId="0" shapeId="0">
      <text>
        <t>per-shot TOTAL across 7 main warhead(s).
raw warhead damages: 16000, 16000, 8, 6000, 3, 16000, 8, 6000, 3, 16000, 8, 16000, 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51" authorId="0" shapeId="0">
      <text>
        <t>fires when: asianalliance_doctrine_modernizedinfantryequipment</t>
      </text>
    </comment>
    <comment ref="L1152" authorId="0" shapeId="0">
      <text>
        <t>per-shot TOTAL across 5 main warhead(s).
raw warhead damages: 6000, 6000, 3, 6000, 3,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52" authorId="0" shapeId="0">
      <text>
        <t>fires when: !asianalliance_doctrine_modernizedinfantryequipment</t>
      </text>
    </comment>
    <comment ref="L1153" authorId="0" shapeId="0">
      <text>
        <t>per-shot TOTAL across 7 main warhead(s).
raw warhead damages: 16000, 16000, 8, 6000, 3, 16000, 8, 6000, 3, 16000, 8, 16000, 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53" authorId="0" shapeId="0">
      <text>
        <t>fires when: asianalliance_doctrine_modernizedinfantryequipment</t>
      </text>
    </comment>
    <comment ref="L1155" authorId="0" shapeId="0">
      <text>
        <t>per-shot TOTAL across 2 main warhead(s).
raw warhead damages: 60000, 30, 600, 60000, 30,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55" authorId="0" shapeId="0">
      <text>
        <t>fires when: !rank-elite &amp;&amp; !steelconsortium_upgrade_quantumweaponpower</t>
      </text>
    </comment>
    <comment ref="L1156" authorId="0" shapeId="0">
      <text>
        <t>per-shot TOTAL across 3 main warhead(s).
raw warhead damages: 40000, 20000, 40000, 20, 600, 40000, 20,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56" authorId="0" shapeId="0">
      <text>
        <t>fires when: !rank-elite &amp;&amp; steelconsortium_upgrade_quantumweaponpower</t>
      </text>
    </comment>
    <comment ref="L1157" authorId="0" shapeId="0">
      <text>
        <t>per-shot TOTAL across 3 main warhead(s).
raw warhead damages: 60000, 30000, 60000, 30, 600, 60000, 30,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57" authorId="0" shapeId="0">
      <text>
        <t>fires when: rank-elite</t>
      </text>
    </comment>
    <comment ref="L1159" authorId="0" shapeId="0">
      <text>
        <t>per-shot TOTAL across 3 main warhead(s).
raw warhead damages: 4000, 2000, 2, 4000, 2, 600, 4000, 2,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59" authorId="0" shapeId="0">
      <text>
        <t>fires when: !rank-elite</t>
      </text>
    </comment>
    <comment ref="L1160" authorId="0" shapeId="0">
      <text>
        <t>per-shot TOTAL across 3 main warhead(s).
raw warhead damages: 4000, 2000, 2, 4000, 2, 600, 4000, 2,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60" authorId="0" shapeId="0">
      <text>
        <t>fires when: rank-elite</t>
      </text>
    </comment>
    <comment ref="L1161" authorId="0" shapeId="0">
      <text>
        <t>per-shot TOTAL across 3 main warhead(s).
raw warhead damages: 4000, 2000, 2, 4000, 2, 600, 4000, 2,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61" authorId="0" shapeId="0">
      <text>
        <t>fires when: !rank-elite</t>
      </text>
    </comment>
    <comment ref="L1162" authorId="0" shapeId="0">
      <text>
        <t>per-shot TOTAL across 3 main warhead(s).
raw warhead damages: 4000, 2000, 2, 4000, 2, 600, 4000, 2,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62" authorId="0" shapeId="0">
      <text>
        <t>fires when: rank-elite</t>
      </text>
    </comment>
    <comment ref="L1163" authorId="0" shapeId="0">
      <text>
        <t>per-shot TOTAL across 3 main warhead(s).
raw warhead damages: 4000, 2000, 2, 4000, 2, 600, 4000, 2,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63" authorId="0" shapeId="0">
      <text>
        <t>fires when: !rank-elite &amp;&amp; steelconsortium_upgrade_resonanceammo</t>
      </text>
    </comment>
    <comment ref="L1164" authorId="0" shapeId="0">
      <text>
        <t>per-shot TOTAL across 3 main warhead(s).
raw warhead damages: 4000, 2000, 2, 4000, 2, 600, 4000, 2,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64" authorId="0" shapeId="0">
      <text>
        <t>fires when: rank-elite &amp;&amp; steelconsortium_upgrade_resonanceammo</t>
      </text>
    </comment>
    <comment ref="L1165" authorId="0" shapeId="0">
      <text>
        <t>per-shot TOTAL across 3 main warhead(s).
raw warhead damages: 4000, 2000, 2, 4000, 2, 600, 4000, 2,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65" authorId="0" shapeId="0">
      <text>
        <t>fires when: !rank-elite &amp;&amp; steelconsortium_upgrade_resonanceammo</t>
      </text>
    </comment>
    <comment ref="L1166" authorId="0" shapeId="0">
      <text>
        <t>per-shot TOTAL across 3 main warhead(s).
raw warhead damages: 4000, 2000, 2, 4000, 2, 600, 4000, 2,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66" authorId="0" shapeId="0">
      <text>
        <t>fires when: rank-elite &amp;&amp; steelconsortium_upgrade_resonanceammo</t>
      </text>
    </comment>
    <comment ref="L1168" authorId="0" shapeId="0">
      <text>
        <t>per-shot TOTAL across 5 main warhead(s).
raw warhead damages: 4000, 2, 4000, 2, 4000, 2, 4000,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70" authorId="0" shapeId="0">
      <text>
        <t>per-shot TOTAL across 3 main warhead(s).
raw warhead damages: 6000,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70" authorId="0" shapeId="0">
      <text>
        <t>fires when: !rank-elite</t>
      </text>
    </comment>
    <comment ref="L1171" authorId="0" shapeId="0">
      <text>
        <t>per-shot TOTAL across 3 main warhead(s).
raw warhead damages: 6000,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71" authorId="0" shapeId="0">
      <text>
        <t>fires when: rank-elite</t>
      </text>
    </comment>
    <comment ref="L1172" authorId="0" shapeId="0">
      <text>
        <t>per-shot TOTAL across 3 main warhead(s).
raw warhead damages: 60000, 30, 60000, 30000, 30, 60000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72" authorId="0" shapeId="0">
      <text>
        <t>fires when: !rank-elite</t>
      </text>
    </comment>
    <comment ref="L1173" authorId="0" shapeId="0">
      <text>
        <t>per-shot TOTAL across 3 main warhead(s).
raw warhead damages: 120000, 60, 120000, 60000, 60, 120000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73" authorId="0" shapeId="0">
      <text>
        <t>fires when: rank-elite</t>
      </text>
    </comment>
    <comment ref="L1174" authorId="0" shapeId="0">
      <text>
        <t>per-shot TOTAL across 3 main warhead(s).
raw warhead damages: 6000,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74" authorId="0" shapeId="0">
      <text>
        <t>fires when: !rank-elite</t>
      </text>
    </comment>
    <comment ref="L1175" authorId="0" shapeId="0">
      <text>
        <t>per-shot TOTAL across 3 main warhead(s).
raw warhead damages: 6000,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75" authorId="0" shapeId="0">
      <text>
        <t>fires when: rank-elite</t>
      </text>
    </comment>
    <comment ref="L1176" authorId="0" shapeId="0">
      <text>
        <t>per-shot TOTAL across 3 main warhead(s).
raw warhead damages: 60000, 30, 60000, 30000, 30, 60000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76" authorId="0" shapeId="0">
      <text>
        <t>fires when: !rank-elite</t>
      </text>
    </comment>
    <comment ref="L1177" authorId="0" shapeId="0">
      <text>
        <t>per-shot TOTAL across 3 main warhead(s).
raw warhead damages: 120000, 60, 120000, 60000, 60, 120000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77" authorId="0" shapeId="0">
      <text>
        <t>fires when: rank-elite</t>
      </text>
    </comment>
    <comment ref="L1179" authorId="0" shapeId="0">
      <text>
        <t>per-shot TOTAL across 1 main warhead(s).
raw warhead damages: 60000,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79" authorId="0" shapeId="0">
      <text>
        <t>fires when: !rank-elite</t>
      </text>
    </comment>
    <comment ref="L1180" authorId="0" shapeId="0">
      <text>
        <t>per-shot TOTAL across 1 main warhead(s).
raw warhead damages: 60000,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80" authorId="0" shapeId="0">
      <text>
        <t>fires when: rank-elite</t>
      </text>
    </comment>
    <comment ref="L1181" authorId="0" shapeId="0">
      <text>
        <t>per-shot TOTAL across 1 main warhead(s).
raw warhead damages: 60000,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81" authorId="0" shapeId="0">
      <text>
        <t>fires when: !rank-elite</t>
      </text>
    </comment>
    <comment ref="L1182" authorId="0" shapeId="0">
      <text>
        <t>per-shot TOTAL across 1 main warhead(s).
raw warhead damages: 60000,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82" authorId="0" shapeId="0">
      <text>
        <t>fires when: rank-elite</t>
      </text>
    </comment>
    <comment ref="L1184" authorId="0" shapeId="0">
      <text>
        <t>per-shot TOTAL across 6 main warhead(s).
raw warhead damages: 2000, 1, 2000, 1, 2000, 1, 2000, 1, 2000, 1000,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85" authorId="0" shapeId="0">
      <text>
        <t>per-shot TOTAL across 6 main warhead(s).
raw warhead damages: 2000, 1, 2000, 1, 2000, 1, 2000, 1, 2000, 1000,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87" authorId="0" shapeId="0">
      <text>
        <t>per-shot TOTAL across 8 main warhead(s).
raw warhead damages: 32000, 16000, 32000, 32000, 16, 6000, 3, 32000, 16, 6000, 3, 32000, 16, 32000, 16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88" authorId="0" shapeId="0">
      <text>
        <t>per-shot TOTAL across 5 main warhead(s).
raw warhead damages: 6000, 6000, 3, 6000, 3,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88" authorId="0" shapeId="0">
      <text>
        <t>fires when: !tkm_upgrade_titanarmorpiercingbulletsupgrade</t>
      </text>
    </comment>
    <comment ref="L1189" authorId="0" shapeId="0">
      <text>
        <t>per-shot TOTAL across 7 main warhead(s).
raw warhead damages: 16000, 16000, 8, 6000, 3, 16000, 8, 6000, 3, 16000, 8, 16000, 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89" authorId="0" shapeId="0">
      <text>
        <t>fires when: tkm_upgrade_titanarmorpiercingbulletsupgrade</t>
      </text>
    </comment>
    <comment ref="L1190" authorId="0" shapeId="0">
      <text>
        <t>per-shot TOTAL across 5 main warhead(s).
raw warhead damages: 6000, 6000, 3, 6000, 3,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90" authorId="0" shapeId="0">
      <text>
        <t>fires when: !tkm_upgrade_titanarmorpiercingbulletsupgrade</t>
      </text>
    </comment>
    <comment ref="L1191" authorId="0" shapeId="0">
      <text>
        <t>per-shot TOTAL across 7 main warhead(s).
raw warhead damages: 16000, 16000, 8, 6000, 3, 16000, 8, 6000, 3, 16000, 8, 16000, 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91" authorId="0" shapeId="0">
      <text>
        <t>fires when: tkm_upgrade_titanarmorpiercingbulletsupgrade</t>
      </text>
    </comment>
    <comment ref="L1193" authorId="0" shapeId="0">
      <text>
        <t>per-shot TOTAL across 1 main warhead(s).
raw warhead damages: 80000, 40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94" authorId="0" shapeId="0">
      <text>
        <t>per-shot TOTAL across 1 main warhead(s).
raw warhead damages: 80000, 40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96" authorId="0" shapeId="0">
      <text>
        <t>per-shot TOTAL across 9 main warhead(s).
raw warhead damages: 20000, 20000, 10, 20000, 10, 20000, 10, 20000, 10000, 10, 20000, 10000, 10, 20000, 10, 20000, 10,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97" authorId="0" shapeId="0">
      <text>
        <t>per-shot TOTAL across 9 main warhead(s).
raw warhead damages: 20000, 20000, 10, 20000, 10, 20000, 10, 20000, 10000, 10, 20000, 10000, 10, 20000, 10, 20000, 10,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99" authorId="0" shapeId="0">
      <text>
        <t>per-shot TOTAL across 6 main warhead(s).
raw warhead damages: 2000, 1000, 1, 2000, 1000, 1,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200" authorId="0" shapeId="0">
      <text>
        <t>per-shot TOTAL across 6 main warhead(s).
raw warhead damages: 2000, 1000, 1, 2000, 1000, 1,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206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20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210" authorId="0" shapeId="0">
      <text>
        <t>per-shot TOTAL across 6 main warhead(s).
raw warhead damages: 2000, 1000, 1, 2000, 1, 2000, 1, 2000, 1, 2000, 1000,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212" authorId="0" shapeId="0">
      <text>
        <t>per-shot TOTAL across 1 main warhead(s).
raw warhead damages: 4000,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214" authorId="0" shapeId="0">
      <text>
        <t>per-shot TOTAL across 1 main warhead(s).
raw warhead damages: 4000,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216" authorId="0" shapeId="0">
      <text>
        <t>per-shot TOTAL across 1 main warhead(s).
raw warhead damages: 4000,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220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222" authorId="0" shapeId="0">
      <text>
        <t>per-shot TOTAL across 4 main warhead(s).
raw warhead damages: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224" authorId="0" shapeId="0">
      <text>
        <t>per-shot TOTAL across 6 main warhead(s).
raw warhead damages: 2000, 1, 1000, 2000, 1, 600,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226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26" authorId="0" shapeId="0">
      <text>
        <t>fires when: !rank-elite</t>
      </text>
    </comment>
    <comment ref="L1227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27" authorId="0" shapeId="0">
      <text>
        <t>fires when: rank-elite</t>
      </text>
    </comment>
    <comment ref="L1228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28" authorId="0" shapeId="0">
      <text>
        <t>fires when: !rank-elite</t>
      </text>
    </comment>
    <comment ref="L1229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29" authorId="0" shapeId="0">
      <text>
        <t>fires when: rank-elite</t>
      </text>
    </comment>
    <comment ref="L1233" authorId="0" shapeId="0">
      <text>
        <t>per-shot TOTAL across 8 main warhead(s).
raw warhead damages: 2000, 1, 2000, 1, 2000, 1000, 1, 2000, 1000, 1,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</commentList>
</comments>
</file>

<file path=xl/comments/comment2.xml><?xml version="1.0" encoding="utf-8"?>
<comments xmlns="http://schemas.openxmlformats.org/spreadsheetml/2006/main">
  <authors>
    <author>balance-pipeline</author>
  </authors>
  <commentList>
    <comment ref="AB4" authorId="0" shapeId="0">
      <text>
        <t>fires when: !td_gdi_upgrade_highvelocitycannons</t>
      </text>
    </comment>
    <comment ref="AB5" authorId="0" shapeId="0">
      <text>
        <t>fires when: td_gdi_upgrade_highvelocitycannons</t>
      </text>
    </comment>
    <comment ref="AB6" authorId="0" shapeId="0">
      <text>
        <t>fires when: !td_gdi_upgrade_advancedmissiletargeting</t>
      </text>
    </comment>
    <comment ref="AB7" authorId="0" shapeId="0">
      <text>
        <t>fires when: td_gdi_upgrade_advancedmissiletargeting</t>
      </text>
    </comment>
    <comment ref="AB8" authorId="0" shapeId="0">
      <text>
        <t>fires when: td_gdi_upgrade_armorpiercingbullets</t>
      </text>
    </comment>
    <comment ref="AB10" authorId="0" shapeId="0">
      <text>
        <t>fires when: !td_gdi_upgrade_highvelocitycannons</t>
      </text>
    </comment>
    <comment ref="AB11" authorId="0" shapeId="0">
      <text>
        <t>fires when: td_gdi_upgrade_highvelocitycannons</t>
      </text>
    </comment>
    <comment ref="AB12" authorId="0" shapeId="0">
      <text>
        <t>fires when: !td_gdi_upgrade_advancedmissiletargeting</t>
      </text>
    </comment>
    <comment ref="AB13" authorId="0" shapeId="0">
      <text>
        <t>fires when: td_gdi_upgrade_advancedmissiletargeting</t>
      </text>
    </comment>
    <comment ref="AB14" authorId="0" shapeId="0">
      <text>
        <t>fires when: td_gdi_upgrade_armorpiercingbullets</t>
      </text>
    </comment>
    <comment ref="L17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" authorId="0" shapeId="0">
      <text>
        <t>fires when: !ra1_allies_upgrade_cryomissiles</t>
      </text>
    </comment>
    <comment ref="AB18" authorId="0" shapeId="0">
      <text>
        <t>fires when: ra1_allies_upgrade_cryomissiles</t>
      </text>
    </comment>
    <comment ref="L20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" authorId="0" shapeId="0">
      <text>
        <t>fires when: !japan_upgrade_advancedplasmaweapons</t>
      </text>
    </comment>
    <comment ref="L21" authorId="0" shapeId="0">
      <text>
        <t>per-shot TOTAL across 3 main warhead(s).
raw warhead damages: 4000, 2000, 4000, 1000,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" authorId="0" shapeId="0">
      <text>
        <t>fires when: japan_upgrade_advancedplasmaweapons</t>
      </text>
    </comment>
    <comment ref="AB23" authorId="0" shapeId="0">
      <text>
        <t>fires when: !japan_upgrade_advancedplasmaweapons</t>
      </text>
    </comment>
    <comment ref="L24" authorId="0" shapeId="0">
      <text>
        <t>per-shot TOTAL across 4 main warhead(s).
raw warhead damages: 4000, 2000, 2, 4000, 2, 1000, 1,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" authorId="0" shapeId="0">
      <text>
        <t>fires when: japan_upgrade_advancedplasmaweapons</t>
      </text>
    </comment>
    <comment ref="L26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6" authorId="0" shapeId="0">
      <text>
        <t>fires when: !ra1_soviets_upgrade_nucleartankshells</t>
      </text>
    </comment>
    <comment ref="L27" authorId="0" shapeId="0">
      <text>
        <t>per-shot TOTAL across 4 main warhead(s).
raw warhead damages: 4000, 4000,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" authorId="0" shapeId="0">
      <text>
        <t>fires when: ra1_soviets_upgrade_nucleartankshells</t>
      </text>
    </comment>
    <comment ref="L28" authorId="0" shapeId="0">
      <text>
        <t>per-shot TOTAL across 4 main warhead(s).
raw warhead damages: 2000, 1, 1000, 1, 2000, 1, 600,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8" authorId="0" shapeId="0">
      <text>
        <t>fires when: ra1_soviets_upgrade_shtoradefensesystem</t>
      </text>
    </comment>
    <comment ref="AB30" authorId="0" shapeId="0">
      <text>
        <t>fires when: !ra1_soviets_upgrade_nucleartankshells</t>
      </text>
    </comment>
    <comment ref="L31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1" authorId="0" shapeId="0">
      <text>
        <t>fires when: ra1_soviets_upgrade_nucleartankshells</t>
      </text>
    </comment>
    <comment ref="L33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3" authorId="0" shapeId="0">
      <text>
        <t>fires when: !ra1_soviets_upgrade_nucleartankshells</t>
      </text>
    </comment>
    <comment ref="L34" authorId="0" shapeId="0">
      <text>
        <t>per-shot TOTAL across 4 main warhead(s).
raw warhead damages: 4000, 4000,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" authorId="0" shapeId="0">
      <text>
        <t>fires when: ra1_soviets_upgrade_nucleartankshells</t>
      </text>
    </comment>
    <comment ref="AB36" authorId="0" shapeId="0">
      <text>
        <t>fires when: !ra1_allies_upgrade_cryomissiles</t>
      </text>
    </comment>
    <comment ref="AB37" authorId="0" shapeId="0">
      <text>
        <t>fires when: ra1_allies_upgrade_cryomissiles</t>
      </text>
    </comment>
    <comment ref="L39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9" authorId="0" shapeId="0">
      <text>
        <t>fires when: !ra1_allies_upgrade_cryomissiles</t>
      </text>
    </comment>
    <comment ref="AB40" authorId="0" shapeId="0">
      <text>
        <t>fires when: ra1_allies_upgrade_cryomissiles</t>
      </text>
    </comment>
    <comment ref="AB42" authorId="0" shapeId="0">
      <text>
        <t>fires when: !cabal_upgrade_neutronnuclearcatalyst</t>
      </text>
    </comment>
    <comment ref="AB43" authorId="0" shapeId="0">
      <text>
        <t>fires when: cabal_upgrade_neutronnuclearcatalyst</t>
      </text>
    </comment>
    <comment ref="L45" authorId="0" shapeId="0">
      <text>
        <t>per-shot TOTAL across 2 main warhead(s).
raw warhead damages: 60000, 60000,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7" authorId="0" shapeId="0">
      <text>
        <t>fires when: undeployed &amp;&amp; !ts_nod_upgrade_tiberiumlenses</t>
      </text>
    </comment>
    <comment ref="L48" authorId="0" shapeId="0">
      <text>
        <t>per-shot TOTAL across 2 main warhead(s).
raw warhead damages: 6000, 6000, 3,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8" authorId="0" shapeId="0">
      <text>
        <t>fires when: undeployed &amp;&amp; ts_nod_upgrade_tiberiumlenses</t>
      </text>
    </comment>
    <comment ref="AB49" authorId="0" shapeId="0">
      <text>
        <t>fires when: deployed &amp;&amp; !ts_nod_upgrade_tiberiumlenses</t>
      </text>
    </comment>
    <comment ref="L50" authorId="0" shapeId="0">
      <text>
        <t>per-shot TOTAL across 2 main warhead(s).
raw warhead damages: 6000, 6000, 3,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0" authorId="0" shapeId="0">
      <text>
        <t>fires when: deployed &amp;&amp; ts_nod_upgrade_tiberiumlenses</t>
      </text>
    </comment>
    <comment ref="AB51" authorId="0" shapeId="0">
      <text>
        <t>fires when: deployed &amp;&amp; ts_nod_upgrade_auxiliaryweapon &amp;&amp; !ts_nod_upgrade_tiberiumlenses</t>
      </text>
    </comment>
    <comment ref="L52" authorId="0" shapeId="0">
      <text>
        <t>per-shot TOTAL across 2 main warhead(s).
raw warhead damages: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2" authorId="0" shapeId="0">
      <text>
        <t>fires when: deployed &amp;&amp; ts_nod_upgrade_auxiliaryweapon &amp;&amp; ts_nod_upgrade_tiberiumlenses</t>
      </text>
    </comment>
    <comment ref="AB54" authorId="0" shapeId="0">
      <text>
        <t>fires when: !ts_gdi_upgrade_railgunweaponry</t>
      </text>
    </comment>
    <comment ref="L55" authorId="0" shapeId="0">
      <text>
        <t>per-shot TOTAL across 2 main warhead(s).
raw warhead damages: 8000, 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5" authorId="0" shapeId="0">
      <text>
        <t>fires when: ts_gdi_upgrade_railgunweaponry</t>
      </text>
    </comment>
    <comment ref="AB57" authorId="0" shapeId="0">
      <text>
        <t>fires when: !ts_gdi_upgrade_railgunweaponry</t>
      </text>
    </comment>
    <comment ref="L58" authorId="0" shapeId="0">
      <text>
        <t>per-shot TOTAL across 2 main warhead(s).
raw warhead damages: 18000, 18000,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8" authorId="0" shapeId="0">
      <text>
        <t>fires when: ts_gdi_upgrade_railgunweaponry</t>
      </text>
    </comment>
    <comment ref="AB60" authorId="0" shapeId="0">
      <text>
        <t>fires when: !forgotten_upgrade_chemicalweapons</t>
      </text>
    </comment>
    <comment ref="L61" authorId="0" shapeId="0">
      <text>
        <t>per-shot TOTAL across 2 main warhead(s).
raw warhead damages: 4000,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1" authorId="0" shapeId="0">
      <text>
        <t>fires when: forgotten_upgrade_chemicalweapons</t>
      </text>
    </comment>
    <comment ref="AB63" authorId="0" shapeId="0">
      <text>
        <t>fires when: !rank-elite</t>
      </text>
    </comment>
    <comment ref="AB64" authorId="0" shapeId="0">
      <text>
        <t>fires when: rank-elite</t>
      </text>
    </comment>
    <comment ref="L6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7" authorId="0" shapeId="0">
      <text>
        <t>fires when: !rank-elite</t>
      </text>
    </comment>
    <comment ref="L68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8" authorId="0" shapeId="0">
      <text>
        <t>fires when: rank-elite</t>
      </text>
    </comment>
    <comment ref="L69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9" authorId="0" shapeId="0">
      <text>
        <t>fires when: !rank-elite</t>
      </text>
    </comment>
    <comment ref="L70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0" authorId="0" shapeId="0">
      <text>
        <t>fires when: rank-elite</t>
      </text>
    </comment>
    <comment ref="AB72" authorId="0" shapeId="0">
      <text>
        <t>fires when: !rank-elite</t>
      </text>
    </comment>
    <comment ref="AB73" authorId="0" shapeId="0">
      <text>
        <t>fires when: rank-elite</t>
      </text>
    </comment>
    <comment ref="L7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6" authorId="0" shapeId="0">
      <text>
        <t>per-shot TOTAL across 3 main warhead(s).
raw warhead damages: 8000, 4000, 8000, 1000, 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6" authorId="0" shapeId="0">
      <text>
        <t>fires when: !rank-elite</t>
      </text>
    </comment>
    <comment ref="L77" authorId="0" shapeId="0">
      <text>
        <t>per-shot TOTAL across 3 main warhead(s).
raw warhead damages: 8000, 4000, 8000, 1000, 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7" authorId="0" shapeId="0">
      <text>
        <t>fires when: rank-elite</t>
      </text>
    </comment>
    <comment ref="AB79" authorId="0" shapeId="0">
      <text>
        <t>fires when: !rank-elite</t>
      </text>
    </comment>
    <comment ref="AB80" authorId="0" shapeId="0">
      <text>
        <t>fires when: rank-elite</t>
      </text>
    </comment>
    <comment ref="AB82" authorId="0" shapeId="0">
      <text>
        <t>fires when: !rank-elite &amp;&amp; !ra2_soviets_doctrine_nuclearmunitions &amp;&amp; !ra2_soviets_doctrine_firemunitions &amp;&amp; !ra2_soviets_doctrine_teslamunitions</t>
      </text>
    </comment>
    <comment ref="L83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3" authorId="0" shapeId="0">
      <text>
        <t>fires when: !rank-elite &amp;&amp; ra2_soviets_doctrine_nuclearmunitions</t>
      </text>
    </comment>
    <comment ref="AB84" authorId="0" shapeId="0">
      <text>
        <t>fires when: !rank-elite &amp;&amp; ra2_soviets_doctrine_firemunitions</t>
      </text>
    </comment>
    <comment ref="AB85" authorId="0" shapeId="0">
      <text>
        <t>fires when: !rank-elite &amp;&amp; ra2_soviets_doctrine_teslamunitions</t>
      </text>
    </comment>
    <comment ref="AB86" authorId="0" shapeId="0">
      <text>
        <t>fires when: rank-elite  &amp;&amp; !ra2_soviets_doctrine_nuclearmunitions &amp;&amp; !ra2_soviets_doctrine_firemunitions &amp;&amp; !ra2_soviets_doctrine_teslamunitions</t>
      </text>
    </comment>
    <comment ref="L87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7" authorId="0" shapeId="0">
      <text>
        <t>fires when: rank-elite &amp;&amp; ra2_soviets_doctrine_nuclearmunitions</t>
      </text>
    </comment>
    <comment ref="AB88" authorId="0" shapeId="0">
      <text>
        <t>fires when: rank-elite &amp;&amp; ra2_soviets_doctrine_firemunitions</t>
      </text>
    </comment>
    <comment ref="AB89" authorId="0" shapeId="0">
      <text>
        <t>fires when: rank-elite &amp;&amp; ra2_soviets_doctrine_teslamunitions</t>
      </text>
    </comment>
    <comment ref="L91" authorId="0" shapeId="0">
      <text>
        <t>per-shot TOTAL across 6 main warhead(s).
raw warhead damages: 2000, 1000, 1, 2000, 1000, 1,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1" authorId="0" shapeId="0">
      <text>
        <t>fires when: !rank-elite</t>
      </text>
    </comment>
    <comment ref="L92" authorId="0" shapeId="0">
      <text>
        <t>per-shot TOTAL across 6 main warhead(s).
raw warhead damages: 2000, 1000, 1, 2000, 1000, 1,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2" authorId="0" shapeId="0">
      <text>
        <t>fires when: rank-elite</t>
      </text>
    </comment>
    <comment ref="L9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3" authorId="0" shapeId="0">
      <text>
        <t>fires when: asianalliance_doctrine_asianphalanx &amp;&amp; !rank-elite</t>
      </text>
    </comment>
    <comment ref="L9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4" authorId="0" shapeId="0">
      <text>
        <t>fires when: asianalliance_doctrine_asianphalanx &amp;&amp; rank-elite</t>
      </text>
    </comment>
    <comment ref="L96" authorId="0" shapeId="0">
      <text>
        <t>per-shot TOTAL across 8 main warhead(s).
raw warhead damages: 2000, 2000, 1, 2000, 1, 2000, 1, 2000, 1, 2000, 1000,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6" authorId="0" shapeId="0">
      <text>
        <t>fires when: !rank-elite</t>
      </text>
    </comment>
    <comment ref="L97" authorId="0" shapeId="0">
      <text>
        <t>per-shot TOTAL across 8 main warhead(s).
raw warhead damages: 2000, 2000, 1, 2000, 1, 2000, 1, 2000, 1, 2000, 1000,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7" authorId="0" shapeId="0">
      <text>
        <t>fires when: rank-elite</t>
      </text>
    </comment>
    <comment ref="L99" authorId="0" shapeId="0">
      <text>
        <t>per-shot TOTAL across 5 main warhead(s).
raw warhead damages: 12000, 6000, 12000, 1000, 12000, 1000, 12000, 6, 12000, 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1" authorId="0" shapeId="0">
      <text>
        <t>per-shot TOTAL across 4 main warhead(s).
raw warhead damages: 2000, 1, 2000, 2000,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1" authorId="0" shapeId="0">
      <text>
        <t>fires when: !rank-elite &amp;&amp; !steelconsortium_upgrade_quantumweaponpower</t>
      </text>
    </comment>
    <comment ref="L102" authorId="0" shapeId="0">
      <text>
        <t>per-shot TOTAL across 4 main warhead(s).
raw warhead damages: 2000, 1, 2000, 2000,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2" authorId="0" shapeId="0">
      <text>
        <t>fires when: rank-elite &amp;&amp; !steelconsortium_upgrade_quantumweaponpower</t>
      </text>
    </comment>
    <comment ref="L103" authorId="0" shapeId="0">
      <text>
        <t>per-shot TOTAL across 6 main warhead(s).
raw warhead damages: 2000, 1, 2000, 1000, 1, 2000, 1, 2000, 2000,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3" authorId="0" shapeId="0">
      <text>
        <t>fires when: !rank-elite &amp;&amp; steelconsortium_upgrade_quantumweaponpower</t>
      </text>
    </comment>
    <comment ref="L104" authorId="0" shapeId="0">
      <text>
        <t>per-shot TOTAL across 6 main warhead(s).
raw warhead damages: 2000, 1, 2000, 1000, 1, 2000, 1, 2000, 2000,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4" authorId="0" shapeId="0">
      <text>
        <t>fires when: rank-elite &amp;&amp; steelconsortium_upgrade_quantumweaponpower</t>
      </text>
    </comment>
    <comment ref="L106" authorId="0" shapeId="0">
      <text>
        <t>per-shot TOTAL across 2 main warhead(s).
raw warhead damages: 12000, 1000, 12000,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6" authorId="0" shapeId="0">
      <text>
        <t>fires when: !rank-elite &amp;&amp; !steelconsortium_upgrade_quantumweaponpower</t>
      </text>
    </comment>
    <comment ref="L107" authorId="0" shapeId="0">
      <text>
        <t>per-shot TOTAL across 5 main warhead(s).
raw warhead damages: 8000, 4000, 12000, 1000, 12000, 1000, 8000,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7" authorId="0" shapeId="0">
      <text>
        <t>fires when: !rank-elite &amp;&amp; steelconsortium_upgrade_quantumweaponpower</t>
      </text>
    </comment>
    <comment ref="L108" authorId="0" shapeId="0">
      <text>
        <t>per-shot TOTAL across 5 main warhead(s).
raw warhead damages: 12000, 6000, 12000, 1000, 12000, 1000, 12000, 6, 12000, 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8" authorId="0" shapeId="0">
      <text>
        <t>fires when: rank-elite</t>
      </text>
    </comment>
    <comment ref="L110" authorId="0" shapeId="0">
      <text>
        <t>per-shot TOTAL across 6 main warhead(s).
raw warhead damages: 2000, 1, 1000, 2000, 1, 2000, 1, 2000, 1000, 1,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0" authorId="0" shapeId="0">
      <text>
        <t>fires when: !rank-elite</t>
      </text>
    </comment>
    <comment ref="L111" authorId="0" shapeId="0">
      <text>
        <t>per-shot TOTAL across 6 main warhead(s).
raw warhead damages: 2000, 1, 1000, 2000, 1, 2000, 1, 2000, 1000, 1,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1" authorId="0" shapeId="0">
      <text>
        <t>fires when: rank-elite</t>
      </text>
    </comment>
    <comment ref="L112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2" authorId="0" shapeId="0">
      <text>
        <t>fires when: !rank-elite</t>
      </text>
    </comment>
    <comment ref="L113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3" authorId="0" shapeId="0">
      <text>
        <t>fires when: rank-elite</t>
      </text>
    </comment>
    <comment ref="AB114" authorId="0" shapeId="0">
      <text>
        <t>fires when: latinsyndicate_doctrine_cartelrockets &amp;&amp; !rank-elite</t>
      </text>
    </comment>
    <comment ref="AB115" authorId="0" shapeId="0">
      <text>
        <t>fires when: latinsyndicate_doctrine_cartelrockets &amp;&amp; rank-elite</t>
      </text>
    </comment>
    <comment ref="AB117" authorId="0" shapeId="0">
      <text>
        <t>fires when: !rank-elite</t>
      </text>
    </comment>
    <comment ref="AB118" authorId="0" shapeId="0">
      <text>
        <t>fires when: rank-elite</t>
      </text>
    </comment>
    <comment ref="L119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1" authorId="0" shapeId="0">
      <text>
        <t>fires when: !rank-elite</t>
      </text>
    </comment>
    <comment ref="AB122" authorId="0" shapeId="0">
      <text>
        <t>fires when: rank-elite</t>
      </text>
    </comment>
    <comment ref="AB124" authorId="0" shapeId="0">
      <text>
        <t>fires when: !rank-elite</t>
      </text>
    </comment>
    <comment ref="AB125" authorId="0" shapeId="0">
      <text>
        <t>fires when: rank-elite</t>
      </text>
    </comment>
    <comment ref="L127" authorId="0" shapeId="0">
      <text>
        <t>per-shot TOTAL across 4 main warhead(s).
raw warhead damages: 4000, 2, 4000, 2, 4000,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7" authorId="0" shapeId="0">
      <text>
        <t>fires when: !rank-elite &amp;&amp; !schwarzermond_upgrade_vrilpoweredweapons</t>
      </text>
    </comment>
    <comment ref="L128" authorId="0" shapeId="0">
      <text>
        <t>per-shot TOTAL across 4 main warhead(s).
raw warhead damages: 4000, 2, 4000, 2, 4000,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8" authorId="0" shapeId="0">
      <text>
        <t>fires when: rank-elite &amp;&amp; !schwarzermond_upgrade_vrilpoweredweapons</t>
      </text>
    </comment>
    <comment ref="L129" authorId="0" shapeId="0">
      <text>
        <t>per-shot TOTAL across 5 main warhead(s).
raw warhead damages: 4000, 2000, 4000, 2, 4000, 2, 4000,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9" authorId="0" shapeId="0">
      <text>
        <t>fires when: !rank-elite &amp;&amp; schwarzermond_upgrade_vrilpoweredweapons</t>
      </text>
    </comment>
    <comment ref="L130" authorId="0" shapeId="0">
      <text>
        <t>per-shot TOTAL across 5 main warhead(s).
raw warhead damages: 4000, 2000, 4000, 2, 4000, 2, 4000,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0" authorId="0" shapeId="0">
      <text>
        <t>fires when: rank-elite &amp;&amp; schwarzermond_upgrade_vrilpoweredweapons</t>
      </text>
    </comment>
    <comment ref="L132" authorId="0" shapeId="0">
      <text>
        <t>per-shot TOTAL across 4 main warhead(s).
raw warhead damages: 2000, 1, 2000, 1, 2000,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2" authorId="0" shapeId="0">
      <text>
        <t>fires when: !rank-elite</t>
      </text>
    </comment>
    <comment ref="L133" authorId="0" shapeId="0">
      <text>
        <t>per-shot TOTAL across 4 main warhead(s).
raw warhead damages: 2000, 1, 2000, 1, 2000,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3" authorId="0" shapeId="0">
      <text>
        <t>fires when: rank-elite</t>
      </text>
    </comment>
    <comment ref="AB135" authorId="0" shapeId="0">
      <text>
        <t>fires when: !deployed &amp;&amp; !rank-elite</t>
      </text>
    </comment>
    <comment ref="AB136" authorId="0" shapeId="0">
      <text>
        <t>fires when: !deployed &amp;&amp; rank-elite</t>
      </text>
    </comment>
    <comment ref="AB137" authorId="0" shapeId="0">
      <text>
        <t>fires when: deployed &amp;&amp; !rank-elite</t>
      </text>
    </comment>
    <comment ref="AB138" authorId="0" shapeId="0">
      <text>
        <t>fires when: deployed &amp;&amp; rank-elite</t>
      </text>
    </comment>
    <comment ref="AB142" authorId="0" shapeId="0">
      <text>
        <t>fires when: tkm_upgrade_pointdefensesystem</t>
      </text>
    </comment>
    <comment ref="AB147" authorId="0" shapeId="0">
      <text>
        <t>fires when: tkm_upgrade_twinrocketsupgrade</t>
      </text>
    </comment>
    <comment ref="L149" authorId="0" shapeId="0">
      <text>
        <t>per-shot TOTAL across 2 main warhead(s).
raw warhead damages: 20000,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51" authorId="0" shapeId="0">
      <text>
        <t>per-shot TOTAL across 6 main warhead(s).
raw warhead damages: 2000, 2000,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4" authorId="0" shapeId="0">
      <text>
        <t>fires when: ordos_upgrade_heavycombattankrockets</t>
      </text>
    </comment>
    <comment ref="L156" authorId="0" shapeId="0">
      <text>
        <t>per-shot TOTAL across 3 main warhead(s).
raw warhead damages: 6000,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58" authorId="0" shapeId="0">
      <text>
        <t>per-shot TOTAL across 3 main warhead(s).
raw warhead damages: 4000,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60" authorId="0" shapeId="0">
      <text>
        <t>per-shot TOTAL across 8 main warhead(s).
raw warhead damages: 4000, 2000, 2, 4000, 2000, 2, 4000, 2, 4000, 2, 4000, 2, 4000, 2, 1000, 4000,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66" authorId="0" shapeId="0">
      <text>
        <t>per-shot TOTAL across 4 main warhead(s).
raw warhead damages: 10000, 5, 10000, 5,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68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8" authorId="0" shapeId="0">
      <text>
        <t>fires when: undeployed</t>
      </text>
    </comment>
    <comment ref="L169" authorId="0" shapeId="0">
      <text>
        <t>per-shot TOTAL across 1 main warhead(s).
raw warhead damages: 32000,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9" authorId="0" shapeId="0">
      <text>
        <t>fires when: deployed</t>
      </text>
    </comment>
    <comment ref="AB172" authorId="0" shapeId="0">
      <text>
        <t>fires when: !td_gdi_upgrade_highvelocitycannons</t>
      </text>
    </comment>
    <comment ref="AB173" authorId="0" shapeId="0">
      <text>
        <t>fires when: td_gdi_upgrade_highvelocitycannons</t>
      </text>
    </comment>
    <comment ref="AB174" authorId="0" shapeId="0">
      <text>
        <t>fires when: !td_gdi_upgrade_advancedmissiletargeting</t>
      </text>
    </comment>
    <comment ref="AB175" authorId="0" shapeId="0">
      <text>
        <t>fires when: td_gdi_upgrade_advancedmissiletargeting</t>
      </text>
    </comment>
    <comment ref="AB177" authorId="0" shapeId="0">
      <text>
        <t>fires when: !td_gdi_upgrade_highvelocitycannons</t>
      </text>
    </comment>
    <comment ref="AB178" authorId="0" shapeId="0">
      <text>
        <t>fires when: td_gdi_upgrade_highvelocitycannons</t>
      </text>
    </comment>
    <comment ref="AB179" authorId="0" shapeId="0">
      <text>
        <t>fires when: !td_gdi_upgrade_advancedmissiletargeting</t>
      </text>
    </comment>
    <comment ref="AB180" authorId="0" shapeId="0">
      <text>
        <t>fires when: td_gdi_upgrade_advancedmissiletargeting</t>
      </text>
    </comment>
    <comment ref="L182" authorId="0" shapeId="0">
      <text>
        <t>per-shot TOTAL across 3 main warhead(s).
raw warhead damages: 10000, 5000, 5,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4" authorId="0" shapeId="0">
      <text>
        <t>fires when: !japan_upgrade_advancedplasmaweapons</t>
      </text>
    </comment>
    <comment ref="L18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5" authorId="0" shapeId="0">
      <text>
        <t>fires when: japan_upgrade_advancedplasmaweapons</t>
      </text>
    </comment>
    <comment ref="AB187" authorId="0" shapeId="0">
      <text>
        <t>fires when: !japan_upgrade_advancedplasmaweapons</t>
      </text>
    </comment>
    <comment ref="L188" authorId="0" shapeId="0">
      <text>
        <t>per-shot TOTAL across 3 main warhead(s).
raw warhead damages: 8000, 4000, 8000, 1000,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8" authorId="0" shapeId="0">
      <text>
        <t>fires when: japan_upgrade_advancedplasmaweapons</t>
      </text>
    </comment>
    <comment ref="AB189" authorId="0" shapeId="0">
      <text>
        <t>fires when: !japan_upgrade_advancedplasmaweapons</t>
      </text>
    </comment>
    <comment ref="AB190" authorId="0" shapeId="0">
      <text>
        <t>fires when: !japan_upgrade_advancedplasmaweapons</t>
      </text>
    </comment>
    <comment ref="AB191" authorId="0" shapeId="0">
      <text>
        <t>fires when: !japan_upgrade_advancedplasmaweapons</t>
      </text>
    </comment>
    <comment ref="L192" authorId="0" shapeId="0">
      <text>
        <t>per-shot TOTAL across 4 main warhead(s).
raw warhead damages: 2000, 1, 2000, 1000, 1, 2000, 1, 1000,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92" authorId="0" shapeId="0">
      <text>
        <t>fires when: japan_upgrade_advancedplasmaweapons</t>
      </text>
    </comment>
    <comment ref="L193" authorId="0" shapeId="0">
      <text>
        <t>per-shot TOTAL across 4 main warhead(s).
raw warhead damages: 2000, 1, 2000, 1000, 1, 2000, 1, 1000,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93" authorId="0" shapeId="0">
      <text>
        <t>fires when: japan_upgrade_advancedplasmaweapons</t>
      </text>
    </comment>
    <comment ref="L194" authorId="0" shapeId="0">
      <text>
        <t>per-shot TOTAL across 4 main warhead(s).
raw warhead damages: 2000, 1, 2000, 1000, 1, 2000, 1, 1000,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94" authorId="0" shapeId="0">
      <text>
        <t>fires when: japan_upgrade_advancedplasmaweapons</t>
      </text>
    </comment>
    <comment ref="AB195" authorId="0" shapeId="0">
      <text>
        <t>fires when: !japan_upgrade_advancedplasmaweapons</t>
      </text>
    </comment>
    <comment ref="AB196" authorId="0" shapeId="0">
      <text>
        <t>fires when: !japan_upgrade_advancedplasmaweapons</t>
      </text>
    </comment>
    <comment ref="L19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97" authorId="0" shapeId="0">
      <text>
        <t>fires when: japan_upgrade_advancedplasmaweapons</t>
      </text>
    </comment>
    <comment ref="L198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98" authorId="0" shapeId="0">
      <text>
        <t>fires when: japan_upgrade_advancedplasmaweapons</t>
      </text>
    </comment>
    <comment ref="L200" authorId="0" shapeId="0">
      <text>
        <t>per-shot TOTAL across 1 main warhead(s).
raw warhead damages: 10000, 5000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01" authorId="0" shapeId="0">
      <text>
        <t>per-shot TOTAL across 1 main warhead(s).
raw warhead damages: 40000,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1" authorId="0" shapeId="0">
      <text>
        <t>fires when: !ra1_soviets_upgrade_teslaarcing</t>
      </text>
    </comment>
    <comment ref="L202" authorId="0" shapeId="0">
      <text>
        <t>per-shot TOTAL across 1 main warhead(s).
raw warhead damages: 40000,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2" authorId="0" shapeId="0">
      <text>
        <t>fires when: ra1_soviets_upgrade_teslaarcing</t>
      </text>
    </comment>
    <comment ref="L204" authorId="0" shapeId="0">
      <text>
        <t>per-shot TOTAL across 4 main warhead(s).
raw warhead damages: 6000, 3, 6000, 3, 6000, 3000,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4" authorId="0" shapeId="0">
      <text>
        <t>fires when: !ra1_soviets_upgrade_nucleartankshells &amp;&amp; !ra1_soviets_promotion_mammothtanktargetingcomputer</t>
      </text>
    </comment>
    <comment ref="L205" authorId="0" shapeId="0">
      <text>
        <t>per-shot TOTAL across 4 main warhead(s).
raw warhead damages: 6000, 3, 6000, 3, 6000, 3000,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5" authorId="0" shapeId="0">
      <text>
        <t>fires when: !ra1_soviets_upgrade_nucleartankshells &amp;&amp; ra1_soviets_promotion_mammothtanktargetingcomputer</t>
      </text>
    </comment>
    <comment ref="L206" authorId="0" shapeId="0">
      <text>
        <t>per-shot TOTAL across 3 main warhead(s).
raw warhead damages: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6" authorId="0" shapeId="0">
      <text>
        <t>fires when: ra1_soviets_upgrade_nucleartankshells &amp;&amp; !ra1_soviets_promotion_mammothtanktargetingcomputer</t>
      </text>
    </comment>
    <comment ref="L207" authorId="0" shapeId="0">
      <text>
        <t>per-shot TOTAL across 3 main warhead(s).
raw warhead damages: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7" authorId="0" shapeId="0">
      <text>
        <t>fires when: ra1_soviets_upgrade_nucleartankshells &amp;&amp; ra1_soviets_promotion_mammothtanktargetingcomputer</t>
      </text>
    </comment>
    <comment ref="AB208" authorId="0" shapeId="0">
      <text>
        <t>fires when: !ra1_soviets_upgrade_teslarockets &amp;&amp; !ra1_soviets_upgrade_thermonuclearrockets &amp;&amp; !ra1_soviets_promotion_mammothtanktargetingcomputer</t>
      </text>
    </comment>
    <comment ref="AB209" authorId="0" shapeId="0">
      <text>
        <t>fires when: !ra1_soviets_upgrade_teslarockets &amp;&amp; !ra1_soviets_upgrade_thermonuclearrockets &amp;&amp; ra1_soviets_promotion_mammothtanktargetingcomputer</t>
      </text>
    </comment>
    <comment ref="L210" authorId="0" shapeId="0">
      <text>
        <t>per-shot TOTAL across 4 main warhead(s).
raw warhead damages: 8000, 4000, 4, 8000, 4, 8000, 4000,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0" authorId="0" shapeId="0">
      <text>
        <t>fires when: ra1_soviets_upgrade_teslarockets &amp;&amp; !ra1_soviets_promotion_mammothtanktargetingcomputer</t>
      </text>
    </comment>
    <comment ref="L211" authorId="0" shapeId="0">
      <text>
        <t>per-shot TOTAL across 4 main warhead(s).
raw warhead damages: 8000, 4000, 4, 8000, 4, 8000, 4000,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1" authorId="0" shapeId="0">
      <text>
        <t>fires when: ra1_soviets_upgrade_teslarockets &amp;&amp; ra1_soviets_promotion_mammothtanktargetingcomputer</t>
      </text>
    </comment>
    <comment ref="L212" authorId="0" shapeId="0">
      <text>
        <t>per-shot TOTAL across 8 main warhead(s).
raw warhead damages: 4000, 2, 4000, 2, 4000, 2, 4000, 2000, 2, 4000,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2" authorId="0" shapeId="0">
      <text>
        <t>fires when: ra1_soviets_upgrade_thermonuclearrockets &amp;&amp; !ra1_soviets_promotion_mammothtanktargetingcomputer</t>
      </text>
    </comment>
    <comment ref="L213" authorId="0" shapeId="0">
      <text>
        <t>per-shot TOTAL across 8 main warhead(s).
raw warhead damages: 4000, 2, 4000, 2, 4000, 2, 4000, 2000, 2, 4000,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3" authorId="0" shapeId="0">
      <text>
        <t>fires when: ra1_soviets_upgrade_thermonuclearrockets &amp;&amp; ra1_soviets_promotion_mammothtanktargetingcomputer</t>
      </text>
    </comment>
    <comment ref="L215" authorId="0" shapeId="0">
      <text>
        <t>per-shot TOTAL across 3 main warhead(s).
raw warhead damages: 16000, 16000, 8, 16000, 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5" authorId="0" shapeId="0">
      <text>
        <t>fires when: !ra1_soviets_upgrade_nucleartankshells &amp;&amp; !ra1_soviets_promotion_mammothtanktargetingcomputer</t>
      </text>
    </comment>
    <comment ref="L216" authorId="0" shapeId="0">
      <text>
        <t>per-shot TOTAL across 3 main warhead(s).
raw warhead damages: 16000, 16000, 8, 16000, 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6" authorId="0" shapeId="0">
      <text>
        <t>fires when: !ra1_soviets_upgrade_nucleartankshells &amp;&amp; ra1_soviets_promotion_mammothtanktargetingcomputer</t>
      </text>
    </comment>
    <comment ref="L217" authorId="0" shapeId="0">
      <text>
        <t>per-shot TOTAL across 3 main warhead(s).
raw warhead damages: 16000,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7" authorId="0" shapeId="0">
      <text>
        <t>fires when: ra1_soviets_upgrade_nucleartankshells &amp;&amp; !ra1_soviets_promotion_mammothtanktargetingcomputer</t>
      </text>
    </comment>
    <comment ref="L218" authorId="0" shapeId="0">
      <text>
        <t>per-shot TOTAL across 3 main warhead(s).
raw warhead damages: 16000,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8" authorId="0" shapeId="0">
      <text>
        <t>fires when: ra1_soviets_upgrade_nucleartankshells &amp;&amp; ra1_soviets_promotion_mammothtanktargetingcomputer</t>
      </text>
    </comment>
    <comment ref="L219" authorId="0" shapeId="0">
      <text>
        <t>per-shot TOTAL across 3 main warhead(s).
raw warhead damages: 16000, 8, 16000, 8, 16000, 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9" authorId="0" shapeId="0">
      <text>
        <t>fires when: !ra1_soviets_upgrade_highexplosiverockets &amp;&amp; !ra1_soviets_promotion_mammothtanktargetingcomputer</t>
      </text>
    </comment>
    <comment ref="L220" authorId="0" shapeId="0">
      <text>
        <t>per-shot TOTAL across 3 main warhead(s).
raw warhead damages: 16000, 8, 16000, 8, 16000, 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0" authorId="0" shapeId="0">
      <text>
        <t>fires when: !ra1_soviets_upgrade_highexplosiverockets &amp;&amp; ra1_soviets_promotion_mammothtanktargetingcomputer</t>
      </text>
    </comment>
    <comment ref="L221" authorId="0" shapeId="0">
      <text>
        <t>per-shot TOTAL across 3 main warhead(s).
raw warhead damages: 16000, 8, 16000, 8, 16000, 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1" authorId="0" shapeId="0">
      <text>
        <t>fires when: ra1_soviets_upgrade_highexplosiverockets &amp;&amp; !ra1_soviets_promotion_mammothtanktargetingcomputer</t>
      </text>
    </comment>
    <comment ref="L222" authorId="0" shapeId="0">
      <text>
        <t>per-shot TOTAL across 3 main warhead(s).
raw warhead damages: 16000, 8, 16000, 8, 16000, 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2" authorId="0" shapeId="0">
      <text>
        <t>fires when: ra1_soviets_upgrade_highexplosiverockets &amp;&amp; ra1_soviets_promotion_mammothtanktargetingcomputer</t>
      </text>
    </comment>
    <comment ref="L224" authorId="0" shapeId="0">
      <text>
        <t>per-shot TOTAL across 1 main warhead(s).
raw warhead damages: 80000,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25" authorId="0" shapeId="0">
      <text>
        <t>per-shot TOTAL across 1 main warhead(s).
raw warhead damages: 80000,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27" authorId="0" shapeId="0">
      <text>
        <t>per-shot TOTAL across 2 main warhead(s).
raw warhead damages: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7" authorId="0" shapeId="0">
      <text>
        <t>fires when: !ts_nod_upgrade_tiberiumcoremissiles</t>
      </text>
    </comment>
    <comment ref="L228" authorId="0" shapeId="0">
      <text>
        <t>per-shot TOTAL across 3 main warhead(s).
raw warhead damages: 10000, 10000, 5, 10000, 5, 5000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8" authorId="0" shapeId="0">
      <text>
        <t>fires when: ts_nod_upgrade_tiberiumcoremissiles</t>
      </text>
    </comment>
    <comment ref="AB230" authorId="0" shapeId="0">
      <text>
        <t>fires when: !forgotten_upgrade_chemicalweapons</t>
      </text>
    </comment>
    <comment ref="L231" authorId="0" shapeId="0">
      <text>
        <t>per-shot TOTAL across 2 main warhead(s).
raw warhead damages: 20000,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1" authorId="0" shapeId="0">
      <text>
        <t>fires when: forgotten_upgrade_chemicalweapons</t>
      </text>
    </comment>
    <comment ref="L233" authorId="0" shapeId="0">
      <text>
        <t>per-shot TOTAL across 4 main warhead(s).
raw warhead damages: 8000, 4, 1000, 8000, 4000,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3" authorId="0" shapeId="0">
      <text>
        <t>fires when: !rank-elite</t>
      </text>
    </comment>
    <comment ref="L234" authorId="0" shapeId="0">
      <text>
        <t>per-shot TOTAL across 4 main warhead(s).
raw warhead damages: 8000, 4, 1000, 8000, 4000,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4" authorId="0" shapeId="0">
      <text>
        <t>fires when: rank-elite</t>
      </text>
    </comment>
    <comment ref="L236" authorId="0" shapeId="0">
      <text>
        <t>per-shot TOTAL across 3 main warhead(s).
raw warhead damages: 8000, 4, 1000,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6" authorId="0" shapeId="0">
      <text>
        <t>fires when: !rank-elite</t>
      </text>
    </comment>
    <comment ref="L237" authorId="0" shapeId="0">
      <text>
        <t>per-shot TOTAL across 3 main warhead(s).
raw warhead damages: 8000, 4, 1000,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7" authorId="0" shapeId="0">
      <text>
        <t>fires when: rank-elite</t>
      </text>
    </comment>
    <comment ref="L239" authorId="0" shapeId="0">
      <text>
        <t>per-shot TOTAL across 3 main warhead(s).
raw warhead damages: 4000, 2, 4000, 2000,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9" authorId="0" shapeId="0">
      <text>
        <t>fires when: !rank-elite &amp;&amp; !ra2_soviets_doctrine_nuclearmunitions &amp;&amp; !ra2_soviets_doctrine_firemunitions &amp;&amp; !ra2_soviets_doctrine_teslamunitions</t>
      </text>
    </comment>
    <comment ref="L240" authorId="0" shapeId="0">
      <text>
        <t>per-shot TOTAL across 7 main warhead(s).
raw warhead damages: 2000, 1, 2000, 1, 2000, 1, 4000, 2, 2000, 1000, 1, 2000,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0" authorId="0" shapeId="0">
      <text>
        <t>fires when: !rank-elite &amp;&amp; ra2_soviets_doctrine_nuclearmunitions</t>
      </text>
    </comment>
    <comment ref="L241" authorId="0" shapeId="0">
      <text>
        <t>per-shot TOTAL across 3 main warhead(s).
raw warhead damages: 4000, 2, 4000, 2000,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1" authorId="0" shapeId="0">
      <text>
        <t>fires when: !rank-elite &amp;&amp; ra2_soviets_doctrine_firemunitions</t>
      </text>
    </comment>
    <comment ref="L242" authorId="0" shapeId="0">
      <text>
        <t>per-shot TOTAL across 3 main warhead(s).
raw warhead damages: 4000, 2, 4000, 2000,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2" authorId="0" shapeId="0">
      <text>
        <t>fires when: !rank-elite &amp;&amp; ra2_soviets_doctrine_teslamunitions</t>
      </text>
    </comment>
    <comment ref="AB243" authorId="0" shapeId="0">
      <text>
        <t>fires when: !rank-elite</t>
      </text>
    </comment>
    <comment ref="L244" authorId="0" shapeId="0">
      <text>
        <t>per-shot TOTAL across 3 main warhead(s).
raw warhead damages: 4000, 2, 4000, 2000,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4" authorId="0" shapeId="0">
      <text>
        <t>fires when: rank-elite  &amp;&amp; !ra2_soviets_doctrine_nuclearmunitions &amp;&amp; !ra2_soviets_doctrine_firemunitions &amp;&amp; !ra2_soviets_doctrine_teslamunitions</t>
      </text>
    </comment>
    <comment ref="L245" authorId="0" shapeId="0">
      <text>
        <t>per-shot TOTAL across 7 main warhead(s).
raw warhead damages: 2000, 1, 2000, 1, 2000, 1, 4000, 2, 2000, 1000, 1, 2000,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5" authorId="0" shapeId="0">
      <text>
        <t>fires when: rank-elite &amp;&amp; ra2_soviets_doctrine_nuclearmunitions</t>
      </text>
    </comment>
    <comment ref="L246" authorId="0" shapeId="0">
      <text>
        <t>per-shot TOTAL across 3 main warhead(s).
raw warhead damages: 4000, 2, 4000, 2000,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6" authorId="0" shapeId="0">
      <text>
        <t>fires when: rank-elite &amp;&amp; ra2_soviets_doctrine_firemunitions</t>
      </text>
    </comment>
    <comment ref="L247" authorId="0" shapeId="0">
      <text>
        <t>per-shot TOTAL across 3 main warhead(s).
raw warhead damages: 4000, 2, 4000, 2000,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7" authorId="0" shapeId="0">
      <text>
        <t>fires when: rank-elite &amp;&amp; ra2_soviets_doctrine_teslamunitions</t>
      </text>
    </comment>
    <comment ref="AB248" authorId="0" shapeId="0">
      <text>
        <t>fires when: rank-elite</t>
      </text>
    </comment>
    <comment ref="L252" authorId="0" shapeId="0">
      <text>
        <t>per-shot TOTAL across 2 main warhead(s).
raw warhead damages: 10000,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2" authorId="0" shapeId="0">
      <text>
        <t>fires when: !rank-elite &amp;&amp; !steelconsortium_upgrade_quantumweaponpower</t>
      </text>
    </comment>
    <comment ref="L253" authorId="0" shapeId="0">
      <text>
        <t>per-shot TOTAL across 2 main warhead(s).
raw warhead damages: 10000,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3" authorId="0" shapeId="0">
      <text>
        <t>fires when: rank-elite &amp;&amp; !steelconsortium_upgrade_quantumweaponpower</t>
      </text>
    </comment>
    <comment ref="L254" authorId="0" shapeId="0">
      <text>
        <t>per-shot TOTAL across 6 main warhead(s).
raw warhead damages: 10000, 5, 10000, 5000, 5, 10000, 20000,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4" authorId="0" shapeId="0">
      <text>
        <t>fires when: !rank-elite &amp;&amp; steelconsortium_upgrade_quantumweaponpower</t>
      </text>
    </comment>
    <comment ref="L255" authorId="0" shapeId="0">
      <text>
        <t>per-shot TOTAL across 6 main warhead(s).
raw warhead damages: 10000, 5, 10000, 5000, 5, 10000, 20000,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5" authorId="0" shapeId="0">
      <text>
        <t>fires when: rank-elite &amp;&amp; steelconsortium_upgrade_quantumweaponpower</t>
      </text>
    </comment>
    <comment ref="L257" authorId="0" shapeId="0">
      <text>
        <t>per-shot TOTAL across 6 main warhead(s).
raw warhead damages: 10000, 5, 10000, 5, 10000, 5000, 5, 10000, 5, 10000, 5,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7" authorId="0" shapeId="0">
      <text>
        <t>fires when: !rank-elite</t>
      </text>
    </comment>
    <comment ref="L258" authorId="0" shapeId="0">
      <text>
        <t>per-shot TOTAL across 6 main warhead(s).
raw warhead damages: 10000, 5, 10000, 5, 10000, 5000, 5, 10000, 5, 10000, 5,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8" authorId="0" shapeId="0">
      <text>
        <t>fires when: rank-elite</t>
      </text>
    </comment>
    <comment ref="AB260" authorId="0" shapeId="0">
      <text>
        <t>fires when: !rank-elite</t>
      </text>
    </comment>
    <comment ref="AB261" authorId="0" shapeId="0">
      <text>
        <t>fires when: rank-elite</t>
      </text>
    </comment>
    <comment ref="L262" authorId="0" shapeId="0">
      <text>
        <t>per-shot TOTAL across 3 main warhead(s).
raw warhead damages: 16000,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63" authorId="0" shapeId="0">
      <text>
        <t>per-shot TOTAL across 3 main warhead(s).
raw warhead damages: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65" authorId="0" shapeId="0">
      <text>
        <t>per-shot TOTAL across 2 main warhead(s).
raw warhead damages: 30000, 1000, 30000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65" authorId="0" shapeId="0">
      <text>
        <t>fires when: !rank-elite</t>
      </text>
    </comment>
    <comment ref="L266" authorId="0" shapeId="0">
      <text>
        <t>per-shot TOTAL across 3 main warhead(s).
raw warhead damages: 30000, 1000, 60000, 60000, 30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66" authorId="0" shapeId="0">
      <text>
        <t>fires when: rank-elite</t>
      </text>
    </comment>
    <comment ref="L268" authorId="0" shapeId="0">
      <text>
        <t>per-shot TOTAL across 4 main warhead(s).
raw warhead damages: 10000, 10000, 5, 10000, 5,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70" authorId="0" shapeId="0">
      <text>
        <t>per-shot TOTAL across 4 main warhead(s).
raw warhead damages: 10000, 5, 10000, 5, 10000, 5, 1000, 10000, 5,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72" authorId="0" shapeId="0">
      <text>
        <t>per-shot TOTAL across 6 main warhead(s).
raw warhead damages: 14000, 14000, 7, 14000, 7000, 7, 14000, 7, 14000, 7, 14000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73" authorId="0" shapeId="0">
      <text>
        <t>per-shot TOTAL across 6 main warhead(s).
raw warhead damages: 2000, 1, 2000, 1000, 1,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3" authorId="0" shapeId="0">
      <text>
        <t>fires when: !ixian_upgrade_tungstenneedleguns</t>
      </text>
    </comment>
    <comment ref="L274" authorId="0" shapeId="0">
      <text>
        <t>per-shot TOTAL across 9 main warhead(s).
raw warhead damages: 2000, 2000, 1, 600, 2000, 1, 2000, 1, 2000, 1000, 1,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4" authorId="0" shapeId="0">
      <text>
        <t>fires when: ixian_upgrade_tungstenneedleguns</t>
      </text>
    </comment>
    <comment ref="L276" authorId="0" shapeId="0">
      <text>
        <t>per-shot TOTAL across 5 main warhead(s).
raw warhead damages: 2000, 2000,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80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81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85" authorId="0" shapeId="0">
      <text>
        <t>per-shot TOTAL across 4 main warhead(s).
raw warhead damages: 2000, 2000, 1000,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86" authorId="0" shapeId="0">
      <text>
        <t>per-shot TOTAL across 4 main warhead(s).
raw warhead damages: 2000, 2000, 1000,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87" authorId="0" shapeId="0">
      <text>
        <t>per-shot TOTAL across 4 main warhead(s).
raw warhead damages: 8000,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88" authorId="0" shapeId="0">
      <text>
        <t>per-shot TOTAL across 4 main warhead(s).
raw warhead damages: 8000,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91" authorId="0" shapeId="0">
      <text>
        <t>fires when: !td_gdi_upgrade_armorpiercingbullets</t>
      </text>
    </comment>
    <comment ref="AB292" authorId="0" shapeId="0">
      <text>
        <t>fires when: !td_gdi_upgrade_armorpiercingbullets</t>
      </text>
    </comment>
    <comment ref="AB293" authorId="0" shapeId="0">
      <text>
        <t>fires when: td_gdi_upgrade_armorpiercingbullets</t>
      </text>
    </comment>
    <comment ref="AB294" authorId="0" shapeId="0">
      <text>
        <t>fires when: td_gdi_upgrade_armorpiercingbullets</t>
      </text>
    </comment>
    <comment ref="L300" authorId="0" shapeId="0">
      <text>
        <t>per-shot TOTAL across 4 main warhead(s).
raw warhead damages: 10000, 5, 10000, 5000, 5, 10000, 5, 1000, 10000, 5,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04" authorId="0" shapeId="0">
      <text>
        <t>per-shot TOTAL across 2 main warhead(s).
raw warhead damages: 2000,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04" authorId="0" shapeId="0">
      <text>
        <t>fires when: !ts_gdi_upgrade_sonicweaponry</t>
      </text>
    </comment>
    <comment ref="AB305" authorId="0" shapeId="0">
      <text>
        <t>fires when: ts_gdi_upgrade_sonicweaponry</t>
      </text>
    </comment>
    <comment ref="L307" authorId="0" shapeId="0">
      <text>
        <t>per-shot TOTAL across 1 main warhead(s).
raw warhead damages: 64000, 32000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09" authorId="0" shapeId="0">
      <text>
        <t>fires when: !forgotten_upgrade_chemicalweapons</t>
      </text>
    </comment>
    <comment ref="L310" authorId="0" shapeId="0">
      <text>
        <t>per-shot TOTAL across 2 main warhead(s).
raw warhead damages: 28000, 14, 14000, 7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10" authorId="0" shapeId="0">
      <text>
        <t>fires when: forgotten_upgrade_chemicalweapons</t>
      </text>
    </comment>
    <comment ref="L312" authorId="0" shapeId="0">
      <text>
        <t>per-shot TOTAL across 2 main warhead(s).
raw warhead damages: 20000, 10, 20000,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12" authorId="0" shapeId="0">
      <text>
        <t>fires when: !forgotten_upgrade_chemicalweapons</t>
      </text>
    </comment>
    <comment ref="L313" authorId="0" shapeId="0">
      <text>
        <t>per-shot TOTAL across 4 main warhead(s).
raw warhead damages: 20000, 10, 20000, 10,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13" authorId="0" shapeId="0">
      <text>
        <t>fires when: forgotten_upgrade_chemicalweapons</t>
      </text>
    </comment>
    <comment ref="L315" authorId="0" shapeId="0">
      <text>
        <t>per-shot TOTAL across 2 main warhead(s).
raw warhead damages: 32000, 32000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15" authorId="0" shapeId="0">
      <text>
        <t>fires when: !forgotten_upgrade_chemicalweapons</t>
      </text>
    </comment>
    <comment ref="L316" authorId="0" shapeId="0">
      <text>
        <t>per-shot TOTAL across 4 main warhead(s).
raw warhead damages: 32000, 16000, 16, 32000, 16, 32000, 16, 32000, 16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16" authorId="0" shapeId="0">
      <text>
        <t>fires when: forgotten_upgrade_chemicalweapons</t>
      </text>
    </comment>
    <comment ref="L318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20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22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24" authorId="0" shapeId="0">
      <text>
        <t>fires when: !rank-elite</t>
      </text>
    </comment>
    <comment ref="AB325" authorId="0" shapeId="0">
      <text>
        <t>fires when: rank-elite</t>
      </text>
    </comment>
    <comment ref="L327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29" authorId="0" shapeId="0">
      <text>
        <t>per-shot TOTAL across 6 main warhead(s).
raw warhead damages: 2000, 1000, 1, 2000, 1, 2000, 1, 2000, 1, 600, 2000, 1,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30" authorId="0" shapeId="0">
      <text>
        <t>per-shot TOTAL across 6 main warhead(s).
raw warhead damages: 2000, 1000, 1, 2000, 1, 2000, 1, 2000, 1, 600, 2000, 1,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32" authorId="0" shapeId="0">
      <text>
        <t>per-shot TOTAL across 3 main warhead(s).
raw warhead damages: 20000, 10, 20000, 10, 600, 20000, 10000,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32" authorId="0" shapeId="0">
      <text>
        <t>fires when: !rank-elite</t>
      </text>
    </comment>
    <comment ref="L333" authorId="0" shapeId="0">
      <text>
        <t>per-shot TOTAL across 3 main warhead(s).
raw warhead damages: 30000, 15, 30000, 15, 600, 30000, 15000, 15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33" authorId="0" shapeId="0">
      <text>
        <t>fires when: !rank-elite &amp;&amp; steelconsortium_upgrade_quantumweaponpower</t>
      </text>
    </comment>
    <comment ref="L334" authorId="0" shapeId="0">
      <text>
        <t>per-shot TOTAL across 4 main warhead(s).
raw warhead damages: 30000, 1000, 30000, 15, 30000, 15, 600, 30000, 15000, 15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34" authorId="0" shapeId="0">
      <text>
        <t>fires when: rank-elite</t>
      </text>
    </comment>
    <comment ref="AB338" authorId="0" shapeId="0">
      <text>
        <t>fires when: !rank-elite</t>
      </text>
    </comment>
    <comment ref="AB339" authorId="0" shapeId="0">
      <text>
        <t>fires when: rank-elite</t>
      </text>
    </comment>
    <comment ref="L341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1" authorId="0" shapeId="0">
      <text>
        <t>fires when: !rank-elite &amp;&amp; !latinsyndicate_upgrade_yuristolentechchainguns</t>
      </text>
    </comment>
    <comment ref="L342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2" authorId="0" shapeId="0">
      <text>
        <t>fires when: rank-elite &amp;&amp; !latinsyndicate_upgrade_yuristolentechchainguns</t>
      </text>
    </comment>
    <comment ref="L343" authorId="0" shapeId="0">
      <text>
        <t>per-shot TOTAL across 4 main warhead(s).
raw warhead damages: 2000,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3" authorId="0" shapeId="0">
      <text>
        <t>fires when: !rank-elite &amp;&amp; latinsyndicate_upgrade_yuristolentechchainguns</t>
      </text>
    </comment>
    <comment ref="L344" authorId="0" shapeId="0">
      <text>
        <t>per-shot TOTAL across 4 main warhead(s).
raw warhead damages: 2000,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4" authorId="0" shapeId="0">
      <text>
        <t>fires when: rank-elite &amp;&amp; latinsyndicate_upgrade_yuristolentechchainguns</t>
      </text>
    </comment>
    <comment ref="L346" authorId="0" shapeId="0">
      <text>
        <t>per-shot TOTAL across 2 main warhead(s).
raw warhead damages: 14000, 14000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48" authorId="0" shapeId="0">
      <text>
        <t>per-shot TOTAL across 3 main warhead(s).
raw warhead damages: 10000, 5000, 5, 10000, 5,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8" authorId="0" shapeId="0">
      <text>
        <t>fires when: !rank-elite</t>
      </text>
    </comment>
    <comment ref="L349" authorId="0" shapeId="0">
      <text>
        <t>per-shot TOTAL across 3 main warhead(s).
raw warhead damages: 10000, 5000, 5, 10000, 5,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9" authorId="0" shapeId="0">
      <text>
        <t>fires when: rank-elite</t>
      </text>
    </comment>
    <comment ref="L351" authorId="0" shapeId="0">
      <text>
        <t>per-shot TOTAL across 6 main warhead(s).
raw warhead damages: 2000, 2000, 1000, 1, 2000,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51" authorId="0" shapeId="0">
      <text>
        <t>fires when: !rank-elite</t>
      </text>
    </comment>
    <comment ref="L352" authorId="0" shapeId="0">
      <text>
        <t>per-shot TOTAL across 6 main warhead(s).
raw warhead damages: 2000, 2000, 1000, 1, 2000,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52" authorId="0" shapeId="0">
      <text>
        <t>fires when: rank-elite</t>
      </text>
    </comment>
    <comment ref="L353" authorId="0" shapeId="0">
      <text>
        <t>per-shot TOTAL across 6 main warhead(s).
raw warhead damages: 2000, 2000, 1000, 1, 2000,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53" authorId="0" shapeId="0">
      <text>
        <t>fires when: !rank-elite</t>
      </text>
    </comment>
    <comment ref="L354" authorId="0" shapeId="0">
      <text>
        <t>per-shot TOTAL across 6 main warhead(s).
raw warhead damages: 2000, 2000, 1000, 1, 2000,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54" authorId="0" shapeId="0">
      <text>
        <t>fires when: rank-elite</t>
      </text>
    </comment>
    <comment ref="L356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58" authorId="0" shapeId="0">
      <text>
        <t>per-shot TOTAL across 6 main warhead(s).
raw warhead damages: 2000, 2000,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60" authorId="0" shapeId="0">
      <text>
        <t>per-shot TOTAL across 1 main warhead(s).
raw warhead damages: 30000, 15000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64" authorId="0" shapeId="0">
      <text>
        <t>fires when: !cond_deployed</t>
      </text>
    </comment>
    <comment ref="AB365" authorId="0" shapeId="0">
      <text>
        <t>fires when: cond_deployed</t>
      </text>
    </comment>
    <comment ref="AB367" authorId="0" shapeId="0">
      <text>
        <t>fires when: (FSD_cond_1 &amp;&amp; !wc2_cond_bot_owner) || (FSD_cond_1_AI &amp;&amp; wc2_cond_bot_owner) || (FSD_cond_3 &amp;&amp; !ogremagebloodlust_upg) || (FSD_cond_4 &amp;&amp; !ogremagerunes_upg)</t>
      </text>
    </comment>
    <comment ref="AB368" authorId="0" shapeId="0">
      <text>
        <t>fires when: FSD_cond_2</t>
      </text>
    </comment>
    <comment ref="AB369" authorId="0" shapeId="0">
      <text>
        <t>fires when: FSD_cond_3 &amp;&amp; ogremagebloodlust_upg</t>
      </text>
    </comment>
    <comment ref="AB370" authorId="0" shapeId="0">
      <text>
        <t>fires when: FSD_cond_4 &amp;&amp; ogremagerunes_upg</t>
      </text>
    </comment>
    <comment ref="AB372" authorId="0" shapeId="0">
      <text>
        <t>fires when: (FSD_cond_1 &amp;&amp; !wc2_cond_bot_owner) || (FSD_cond_1_AI &amp;&amp; wc2_cond_bot_owner) || (FSD_cond_3 &amp;&amp; !ogremagebloodlust_upg) || (FSD_cond_4 &amp;&amp; !ogremagerunes_upg)</t>
      </text>
    </comment>
    <comment ref="AB373" authorId="0" shapeId="0">
      <text>
        <t>fires when: FSD_cond_2</t>
      </text>
    </comment>
    <comment ref="AB374" authorId="0" shapeId="0">
      <text>
        <t>fires when: FSD_cond_3 &amp;&amp; ogremagebloodlust_upg</t>
      </text>
    </comment>
    <comment ref="AB375" authorId="0" shapeId="0">
      <text>
        <t>fires when: FSD_cond_4 &amp;&amp; ogremagerunes_upg</t>
      </text>
    </comment>
    <comment ref="AB377" authorId="0" shapeId="0">
      <text>
        <t>fires when: !cond_deployed</t>
      </text>
    </comment>
    <comment ref="AB378" authorId="0" shapeId="0">
      <text>
        <t>fires when: cond_deployed</t>
      </text>
    </comment>
    <comment ref="AB380" authorId="0" shapeId="0">
      <text>
        <t>fires when: (FSD_cond_1 &amp;&amp; !wc2_cond_bot_owner) || (FSD_cond_1_AI &amp;&amp; wc2_cond_bot_owner) || (FSD_cond_3 &amp;&amp; !paladinhealing_upg) || (FSD_cond_4 &amp;&amp; !paladinexorcism_upg)</t>
      </text>
    </comment>
    <comment ref="AB381" authorId="0" shapeId="0">
      <text>
        <t>fires when: FSD_cond_2</t>
      </text>
    </comment>
    <comment ref="AB382" authorId="0" shapeId="0">
      <text>
        <t>fires when: FSD_cond_3 &amp;&amp; paladinhealing_upg</t>
      </text>
    </comment>
    <comment ref="AB383" authorId="0" shapeId="0">
      <text>
        <t>fires when: FSD_cond_4 &amp;&amp; paladinexorcism_upg</t>
      </text>
    </comment>
    <comment ref="AB385" authorId="0" shapeId="0">
      <text>
        <t>fires when: (FSD_cond_1 &amp;&amp; !wc2_cond_bot_owner) || (FSD_cond_1_AI &amp;&amp; wc2_cond_bot_owner) || (FSD_cond_3 &amp;&amp; !paladinhealing_upg) || (FSD_cond_4 &amp;&amp; !paladinexorcism_upg)</t>
      </text>
    </comment>
    <comment ref="AB386" authorId="0" shapeId="0">
      <text>
        <t>fires when: FSD_cond_2</t>
      </text>
    </comment>
    <comment ref="AB387" authorId="0" shapeId="0">
      <text>
        <t>fires when: FSD_cond_3 &amp;&amp; paladinhealing_upg</t>
      </text>
    </comment>
    <comment ref="AB388" authorId="0" shapeId="0">
      <text>
        <t>fires when: FSD_cond_4 &amp;&amp; paladinexorcism_upg</t>
      </text>
    </comment>
    <comment ref="AB390" authorId="0" shapeId="0">
      <text>
        <t>fires when: (FSD_cond_1 &amp;&amp; !wc2_cond_bot_owner) || (FSD_cond_1_AI &amp;&amp; wc2_cond_bot_owner) || (FSD_cond_3 &amp;&amp; !paladinhealing_upg) || (FSD_cond_4 &amp;&amp; !paladinexorcism_upg)</t>
      </text>
    </comment>
    <comment ref="AB391" authorId="0" shapeId="0">
      <text>
        <t>fires when: FSD_cond_2</t>
      </text>
    </comment>
    <comment ref="AB392" authorId="0" shapeId="0">
      <text>
        <t>fires when: FSD_cond_3 &amp;&amp; paladinhealing_upg</t>
      </text>
    </comment>
    <comment ref="AB393" authorId="0" shapeId="0">
      <text>
        <t>fires when: FSD_cond_4 &amp;&amp; paladinexorcism_upg</t>
      </text>
    </comment>
    <comment ref="AB397" authorId="0" shapeId="0">
      <text>
        <t>fires when: td_nod_upgrade_blackmarketupgrades</t>
      </text>
    </comment>
    <comment ref="L400" authorId="0" shapeId="0">
      <text>
        <t>per-shot TOTAL across 2 main warhead(s).
raw warhead damages: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01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01" authorId="0" shapeId="0">
      <text>
        <t>fires when: td_nod_upgrade_blackmarketupgrades</t>
      </text>
    </comment>
    <comment ref="L405" authorId="0" shapeId="0">
      <text>
        <t>per-shot TOTAL across 6 main warhead(s).
raw warhead damages: 2000, 2000, 1000, 1, 2000, 1000,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07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07" authorId="0" shapeId="0">
      <text>
        <t>fires when: !ra1_allies_upgrade_cryomissiles</t>
      </text>
    </comment>
    <comment ref="L408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08" authorId="0" shapeId="0">
      <text>
        <t>fires when: !ra1_allies_upgrade_cryomissiles</t>
      </text>
    </comment>
    <comment ref="AB409" authorId="0" shapeId="0">
      <text>
        <t>fires when: ra1_allies_upgrade_cryomissiles</t>
      </text>
    </comment>
    <comment ref="L41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10" authorId="0" shapeId="0">
      <text>
        <t>fires when: !ra1_allies_upgrade_cryomissiles</t>
      </text>
    </comment>
    <comment ref="AB411" authorId="0" shapeId="0">
      <text>
        <t>fires when: ra1_allies_upgrade_cryomissiles</t>
      </text>
    </comment>
    <comment ref="AB412" authorId="0" shapeId="0">
      <text>
        <t>fires when: ra1_allies_upgrade_cryomissiles</t>
      </text>
    </comment>
    <comment ref="AB414" authorId="0" shapeId="0">
      <text>
        <t>fires when: !cabal_upgrade_neutronnuclearcatalyst</t>
      </text>
    </comment>
    <comment ref="AB415" authorId="0" shapeId="0">
      <text>
        <t>fires when: cabal_upgrade_neutronnuclearcatalyst</t>
      </text>
    </comment>
    <comment ref="L417" authorId="0" shapeId="0">
      <text>
        <t>per-shot TOTAL across 6 main warhead(s).
raw warhead damages: 2000, 1000, 1, 2000, 1000, 1,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17" authorId="0" shapeId="0">
      <text>
        <t>fires when: !yuri_doctrine_lashertoxicgasshells &amp;&amp; !yuri_doctrine_lasherlasercannon &amp;&amp; !rank-elite</t>
      </text>
    </comment>
    <comment ref="L418" authorId="0" shapeId="0">
      <text>
        <t>per-shot TOTAL across 6 main warhead(s).
raw warhead damages: 2000, 1000, 1, 2000, 1000, 1,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18" authorId="0" shapeId="0">
      <text>
        <t>fires when: !yuri_doctrine_lashertoxicgasshells &amp;&amp; !yuri_doctrine_lasherlasercannon &amp;&amp; rank-elite</t>
      </text>
    </comment>
    <comment ref="L419" authorId="0" shapeId="0">
      <text>
        <t>per-shot TOTAL across 9 main warhead(s).
raw warhead damages: 2000, 1000, 1, 2000, 1000, 1, 2000, 1, 2000, 1, 2000, 1,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19" authorId="0" shapeId="0">
      <text>
        <t>fires when: yuri_doctrine_lashertoxicgasshells &amp;&amp; !rank-elite</t>
      </text>
    </comment>
    <comment ref="L420" authorId="0" shapeId="0">
      <text>
        <t>per-shot TOTAL across 12 main warhead(s).
raw warhead damages: 4000, 2000, 2, 4000, 2000, 2, 4000, 2, 4000, 2, 4000, 2, 4000, 2, 2000, 1, 2000, 1, 2000, 1, 4000,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20" authorId="0" shapeId="0">
      <text>
        <t>fires when: yuri_doctrine_lashertoxicgasshells &amp;&amp; rank-elite</t>
      </text>
    </comment>
    <comment ref="L421" authorId="0" shapeId="0">
      <text>
        <t>per-shot TOTAL across 2 main warhead(s).
raw warhead damages: 8000, 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21" authorId="0" shapeId="0">
      <text>
        <t>fires when: yuri_doctrine_lasherlasercannon &amp;&amp; !rank-elite</t>
      </text>
    </comment>
    <comment ref="L422" authorId="0" shapeId="0">
      <text>
        <t>per-shot TOTAL across 3 main warhead(s).
raw warhead damages: 16000, 8000, 1000, 16000, 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22" authorId="0" shapeId="0">
      <text>
        <t>fires when: yuri_doctrine_lasherlasercannon &amp;&amp; rank-elite</t>
      </text>
    </comment>
    <comment ref="L424" authorId="0" shapeId="0">
      <text>
        <t>per-shot TOTAL across 4 main warhead(s).
raw warhead damages: 2000, 1, 2000, 1, 2000, 1000, 1, 2000, 1, 888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24" authorId="0" shapeId="0">
      <text>
        <t>fires when: !asianalliance_upgrade_celestialpower</t>
      </text>
    </comment>
    <comment ref="L425" authorId="0" shapeId="0">
      <text>
        <t>per-shot TOTAL across 4 main warhead(s).
raw warhead damages: 2000, 1, 2000, 1, 2000, 1000, 1, 2000, 1, 888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25" authorId="0" shapeId="0">
      <text>
        <t>fires when: asianalliance_upgrade_celestialpower</t>
      </text>
    </comment>
    <comment ref="L426" authorId="0" shapeId="0">
      <text>
        <t>per-shot TOTAL across 4 main warhead(s).
raw warhead damages: 2000, 1, 2000, 1, 2000, 1000, 1, 2000, 1, 888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26" authorId="0" shapeId="0">
      <text>
        <t>fires when: !asianalliance_upgrade_celestialpower</t>
      </text>
    </comment>
    <comment ref="L427" authorId="0" shapeId="0">
      <text>
        <t>per-shot TOTAL across 4 main warhead(s).
raw warhead damages: 2000, 1, 2000, 1, 2000, 1000, 1, 2000, 1, 888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27" authorId="0" shapeId="0">
      <text>
        <t>fires when: asianalliance_upgrade_celestialpower</t>
      </text>
    </comment>
    <comment ref="L429" authorId="0" shapeId="0">
      <text>
        <t>per-shot TOTAL across 4 main warhead(s).
raw warhead damages: 2000,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30" authorId="0" shapeId="0">
      <text>
        <t>per-shot TOTAL across 4 main warhead(s).
raw warhead damages: 2000,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31" authorId="0" shapeId="0">
      <text>
        <t>per-shot TOTAL across 4 main warhead(s).
raw warhead damages: 2000,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32" authorId="0" shapeId="0">
      <text>
        <t>per-shot TOTAL across 4 main warhead(s).
raw warhead damages: 2000,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33" authorId="0" shapeId="0">
      <text>
        <t>per-shot TOTAL across 4 main warhead(s).
raw warhead damages: 2000,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33" authorId="0" shapeId="0">
      <text>
        <t>fires when: steelconsortium_upgrade_resonanceammo</t>
      </text>
    </comment>
    <comment ref="L434" authorId="0" shapeId="0">
      <text>
        <t>per-shot TOTAL across 4 main warhead(s).
raw warhead damages: 2000,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34" authorId="0" shapeId="0">
      <text>
        <t>fires when: steelconsortium_upgrade_resonanceammo</t>
      </text>
    </comment>
    <comment ref="L435" authorId="0" shapeId="0">
      <text>
        <t>per-shot TOTAL across 4 main warhead(s).
raw warhead damages: 2000,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35" authorId="0" shapeId="0">
      <text>
        <t>fires when: steelconsortium_upgrade_resonanceammo</t>
      </text>
    </comment>
    <comment ref="L436" authorId="0" shapeId="0">
      <text>
        <t>per-shot TOTAL across 4 main warhead(s).
raw warhead damages: 2000,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36" authorId="0" shapeId="0">
      <text>
        <t>fires when: steelconsortium_upgrade_resonanceammo</t>
      </text>
    </comment>
    <comment ref="L438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38" authorId="0" shapeId="0">
      <text>
        <t>fires when: !rank-elite</t>
      </text>
    </comment>
    <comment ref="L439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39" authorId="0" shapeId="0">
      <text>
        <t>fires when: rank-elite</t>
      </text>
    </comment>
    <comment ref="AB440" authorId="0" shapeId="0">
      <text>
        <t>fires when: latinsyndicate_doctrine_cartelrockets &amp;&amp; !rank-elite</t>
      </text>
    </comment>
    <comment ref="AB441" authorId="0" shapeId="0">
      <text>
        <t>fires when: latinsyndicate_doctrine_cartelrockets &amp;&amp; rank-elite</t>
      </text>
    </comment>
    <comment ref="AB443" authorId="0" shapeId="0">
      <text>
        <t>fires when: !rank-elite</t>
      </text>
    </comment>
    <comment ref="AB444" authorId="0" shapeId="0">
      <text>
        <t>fires when: rank-elite</t>
      </text>
    </comment>
    <comment ref="AB446" authorId="0" shapeId="0">
      <text>
        <t>fires when: !rank-elite &amp;&amp; !schwarzermond_upgrade_vrilpoweredweapons</t>
      </text>
    </comment>
    <comment ref="AB447" authorId="0" shapeId="0">
      <text>
        <t>fires when: rank-elite &amp;&amp; !schwarzermond_upgrade_vrilpoweredweapons</t>
      </text>
    </comment>
    <comment ref="L448" authorId="0" shapeId="0">
      <text>
        <t>per-shot TOTAL across 2 main warhead(s).
raw warhead damages: 8000, 4000,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48" authorId="0" shapeId="0">
      <text>
        <t>fires when: !rank-elite &amp;&amp; schwarzermond_upgrade_vrilpoweredweapons</t>
      </text>
    </comment>
    <comment ref="L449" authorId="0" shapeId="0">
      <text>
        <t>per-shot TOTAL across 2 main warhead(s).
raw warhead damages: 8000, 4000,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49" authorId="0" shapeId="0">
      <text>
        <t>fires when: rank-elite &amp;&amp; schwarzermond_upgrade_vrilpoweredweapons</t>
      </text>
    </comment>
    <comment ref="L451" authorId="0" shapeId="0">
      <text>
        <t>per-shot TOTAL across 3 main warhead(s).
raw warhead damages: 8000, 4000, 8000, 1000, 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51" authorId="0" shapeId="0">
      <text>
        <t>fires when: !rank-elite</t>
      </text>
    </comment>
    <comment ref="L452" authorId="0" shapeId="0">
      <text>
        <t>per-shot TOTAL across 3 main warhead(s).
raw warhead damages: 8000, 4000, 8000, 1000, 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52" authorId="0" shapeId="0">
      <text>
        <t>fires when: rank-elite</t>
      </text>
    </comment>
    <comment ref="L458" authorId="0" shapeId="0">
      <text>
        <t>per-shot TOTAL across 5 main warhead(s).
raw warhead damages: 4000, 4000, 2, 4000, 2, 4000, 2000,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61" authorId="0" shapeId="0">
      <text>
        <t>per-shot TOTAL across 5 main warhead(s).
raw warhead damages: 14000, 7, 14000, 7, 14000, 7, 14000, 7000, 7, 14000, 7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65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65" authorId="0" shapeId="0">
      <text>
        <t>fires when: !(ra1_soviets_upgrade_highexplosiverockets || ra1_soviets_upgrade_scorchedearth)</t>
      </text>
    </comment>
    <comment ref="L466" authorId="0" shapeId="0">
      <text>
        <t>per-shot TOTAL across 4 main warhead(s).
raw warhead damages: 4000, 2, 4000, 2,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66" authorId="0" shapeId="0">
      <text>
        <t>fires when: ra1_soviets_upgrade_highexplosiverockets || ra1_soviets_upgrade_scorchedearth</t>
      </text>
    </comment>
    <comment ref="AB468" authorId="0" shapeId="0">
      <text>
        <t>fires when: !deployed</t>
      </text>
    </comment>
    <comment ref="L469" authorId="0" shapeId="0">
      <text>
        <t>per-shot TOTAL across 2 main warhead(s).
raw warhead damages: 30000, 30000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69" authorId="0" shapeId="0">
      <text>
        <t>fires when: (deployed || undeployed) &amp;&amp; !ts_nod_upgrade_auxiliaryweapon</t>
      </text>
    </comment>
    <comment ref="L470" authorId="0" shapeId="0">
      <text>
        <t>per-shot TOTAL across 2 main warhead(s).
raw warhead damages: 30000, 30000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70" authorId="0" shapeId="0">
      <text>
        <t>fires when: (deployed || undeployed) &amp;&amp; ts_nod_upgrade_auxiliaryweapon</t>
      </text>
    </comment>
    <comment ref="AB472" authorId="0" shapeId="0">
      <text>
        <t>fires when: !deployed</t>
      </text>
    </comment>
    <comment ref="AB473" authorId="0" shapeId="0">
      <text>
        <t>fires when: deployed || undeployed</t>
      </text>
    </comment>
    <comment ref="AB475" authorId="0" shapeId="0">
      <text>
        <t>fires when: !forgotten_upgrade_chemicalweapons</t>
      </text>
    </comment>
    <comment ref="AB476" authorId="0" shapeId="0">
      <text>
        <t>fires when: forgotten_upgrade_chemicalweapons</t>
      </text>
    </comment>
    <comment ref="AB478" authorId="0" shapeId="0">
      <text>
        <t>fires when: !forgotten_upgrade_chemicalweapons</t>
      </text>
    </comment>
    <comment ref="AB479" authorId="0" shapeId="0">
      <text>
        <t>fires when: forgotten_upgrade_chemicalweapons</t>
      </text>
    </comment>
    <comment ref="L481" authorId="0" shapeId="0">
      <text>
        <t>per-shot TOTAL across 2 main warhead(s).
raw warhead damages: 20000,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81" authorId="0" shapeId="0">
      <text>
        <t>fires when: !rank-elite</t>
      </text>
    </comment>
    <comment ref="L482" authorId="0" shapeId="0">
      <text>
        <t>per-shot TOTAL across 2 main warhead(s).
raw warhead damages: 20000,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82" authorId="0" shapeId="0">
      <text>
        <t>fires when: rank-elite</t>
      </text>
    </comment>
    <comment ref="L484" authorId="0" shapeId="0">
      <text>
        <t>per-shot TOTAL across 3 main warhead(s).
raw warhead damages: 16000,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84" authorId="0" shapeId="0">
      <text>
        <t>fires when: !rank-elite &amp;&amp; !schwarzermond_upgrade_vrilpoweredweapons</t>
      </text>
    </comment>
    <comment ref="L485" authorId="0" shapeId="0">
      <text>
        <t>per-shot TOTAL across 3 main warhead(s).
raw warhead damages: 16000,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85" authorId="0" shapeId="0">
      <text>
        <t>fires when: rank-elite &amp;&amp; !schwarzermond_upgrade_vrilpoweredweapons</t>
      </text>
    </comment>
    <comment ref="L486" authorId="0" shapeId="0">
      <text>
        <t>per-shot TOTAL across 4 main warhead(s).
raw warhead damages: 16000, 8000, 16000,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86" authorId="0" shapeId="0">
      <text>
        <t>fires when: !rank-elite &amp;&amp; schwarzermond_upgrade_vrilpoweredweapons</t>
      </text>
    </comment>
    <comment ref="L487" authorId="0" shapeId="0">
      <text>
        <t>per-shot TOTAL across 4 main warhead(s).
raw warhead damages: 16000, 8000, 16000,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87" authorId="0" shapeId="0">
      <text>
        <t>fires when: rank-elite &amp;&amp; schwarzermond_upgrade_vrilpoweredweapons</t>
      </text>
    </comment>
    <comment ref="L491" authorId="0" shapeId="0">
      <text>
        <t>per-shot TOTAL across 4 main warhead(s).
raw warhead damages: 30000, 30000, 30000, 30000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91" authorId="0" shapeId="0">
      <text>
        <t>fires when: undeployed</t>
      </text>
    </comment>
    <comment ref="L492" authorId="0" shapeId="0">
      <text>
        <t>per-shot TOTAL across 4 main warhead(s).
raw warhead damages: 30000, 30000, 30000, 30000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92" authorId="0" shapeId="0">
      <text>
        <t>fires when: deployed</t>
      </text>
    </comment>
    <comment ref="L494" authorId="0" shapeId="0">
      <text>
        <t>per-shot TOTAL across 4 main warhead(s).
raw warhead damages: 30000, 30000, 30000, 30000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94" authorId="0" shapeId="0">
      <text>
        <t>fires when: undeployed</t>
      </text>
    </comment>
    <comment ref="L495" authorId="0" shapeId="0">
      <text>
        <t>per-shot TOTAL across 4 main warhead(s).
raw warhead damages: 30000, 30000, 30000, 30000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95" authorId="0" shapeId="0">
      <text>
        <t>fires when: deployed</t>
      </text>
    </comment>
    <comment ref="L497" authorId="0" shapeId="0">
      <text>
        <t>per-shot TOTAL across 3 main warhead(s).
raw warhead damages: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99" authorId="0" shapeId="0">
      <text>
        <t>per-shot TOTAL across 3 main warhead(s).
raw warhead damages: 10000,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99" authorId="0" shapeId="0">
      <text>
        <t>fires when: undeployed</t>
      </text>
    </comment>
    <comment ref="L500" authorId="0" shapeId="0">
      <text>
        <t>per-shot TOTAL across 14 main warhead(s).
raw warhead damages: 10000, 5, 10000, 5, 10000, 5, 10000, 5, 10000, 5, 10000, 5, 10000, 5, 10000, 5, 10000, 5000, 5, 10000, 5000, 5, 10000, 5, 10000, 5,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00" authorId="0" shapeId="0">
      <text>
        <t>fires when: deployed</t>
      </text>
    </comment>
  </commentList>
</comments>
</file>

<file path=xl/comments/comment3.xml><?xml version="1.0" encoding="utf-8"?>
<comments xmlns="http://schemas.openxmlformats.org/spreadsheetml/2006/main">
  <authors>
    <author>balance-pipeline</author>
  </authors>
  <commentList>
    <comment ref="L21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5" authorId="0" shapeId="0">
      <text>
        <t>per-shot TOTAL across 1 main warhead(s).
raw warhead damages: 80000,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8" authorId="0" shapeId="0">
      <text>
        <t>fires when: !td_gdi_upgrade_armorpiercingbullets</t>
      </text>
    </comment>
    <comment ref="AB39" authorId="0" shapeId="0">
      <text>
        <t>fires when: td_gdi_upgrade_armorpiercingbullets</t>
      </text>
    </comment>
    <comment ref="AB41" authorId="0" shapeId="0">
      <text>
        <t>fires when: !td_gdi_upgrade_armorpiercingbullets</t>
      </text>
    </comment>
    <comment ref="AB42" authorId="0" shapeId="0">
      <text>
        <t>fires when: td_gdi_upgrade_armorpiercingbullets</t>
      </text>
    </comment>
    <comment ref="AB43" authorId="0" shapeId="0">
      <text>
        <t>fires when: !td_gdi_upgrade_armorpiercingbullets</t>
      </text>
    </comment>
    <comment ref="AB44" authorId="0" shapeId="0">
      <text>
        <t>fires when: td_gdi_upgrade_armorpiercingbullets</t>
      </text>
    </comment>
    <comment ref="AB45" authorId="0" shapeId="0">
      <text>
        <t>fires when: !td_gdi_upgrade_advancedmissiletargeting</t>
      </text>
    </comment>
    <comment ref="AB46" authorId="0" shapeId="0">
      <text>
        <t>fires when: !td_gdi_upgrade_advancedmissiletargeting</t>
      </text>
    </comment>
    <comment ref="L47" authorId="0" shapeId="0">
      <text>
        <t>per-shot TOTAL across 2 main warhead(s).
raw warhead damages: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7" authorId="0" shapeId="0">
      <text>
        <t>fires when: td_gdi_upgrade_advancedmissiletargeting</t>
      </text>
    </comment>
    <comment ref="L48" authorId="0" shapeId="0">
      <text>
        <t>per-shot TOTAL across 2 main warhead(s).
raw warhead damages: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8" authorId="0" shapeId="0">
      <text>
        <t>fires when: td_gdi_upgrade_advancedmissiletargeting</t>
      </text>
    </comment>
    <comment ref="AB51" authorId="0" shapeId="0">
      <text>
        <t>fires when: td_nod_upgrade_blackmarketupgrades</t>
      </text>
    </comment>
    <comment ref="L53" authorId="0" shapeId="0">
      <text>
        <t>per-shot TOTAL across 3 main warhead(s).
raw warhead damages: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4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4" authorId="0" shapeId="0">
      <text>
        <t>fires when: td_nod_upgrade_blackmarketupgrades</t>
      </text>
    </comment>
    <comment ref="L55" authorId="0" shapeId="0">
      <text>
        <t>per-shot TOTAL across 3 main warhead(s).
raw warhead damages: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6" authorId="0" shapeId="0">
      <text>
        <t>per-shot TOTAL across 1 main warhead(s).
raw warhead damages: 6000,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6" authorId="0" shapeId="0">
      <text>
        <t>fires when: td_nod_upgrade_blackmarketupgrades &amp;&amp; !td_nod_upgrade_elitecapacitors &amp;&amp; !td_nod_upgrade_burninglasers</t>
      </text>
    </comment>
    <comment ref="AB57" authorId="0" shapeId="0">
      <text>
        <t>fires when: td_nod_upgrade_blackmarketupgrades &amp;&amp; td_nod_upgrade_elitecapacitors &amp;&amp; !td_nod_upgrade_burninglasers</t>
      </text>
    </comment>
    <comment ref="AB58" authorId="0" shapeId="0">
      <text>
        <t>fires when: td_nod_upgrade_blackmarketupgrades &amp;&amp; td_nod_upgrade_burninglasers</t>
      </text>
    </comment>
    <comment ref="L59" authorId="0" shapeId="0">
      <text>
        <t>per-shot TOTAL across 1 main warhead(s).
raw warhead damages: 6000,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9" authorId="0" shapeId="0">
      <text>
        <t>fires when: td_nod_upgrade_blackmarketupgrades &amp;&amp; !td_nod_upgrade_elitecapacitors &amp;&amp; !td_nod_upgrade_burninglasers</t>
      </text>
    </comment>
    <comment ref="AB60" authorId="0" shapeId="0">
      <text>
        <t>fires when: td_nod_upgrade_blackmarketupgrades &amp;&amp; td_nod_upgrade_elitecapacitors &amp;&amp; !td_nod_upgrade_burninglasers</t>
      </text>
    </comment>
    <comment ref="AB61" authorId="0" shapeId="0">
      <text>
        <t>fires when: td_nod_upgrade_blackmarketupgrades &amp;&amp; td_nod_upgrade_burninglasers</t>
      </text>
    </comment>
    <comment ref="AB63" authorId="0" shapeId="0">
      <text>
        <t>fires when: !japan_upgrade_advancedplasmaweapons</t>
      </text>
    </comment>
    <comment ref="L64" authorId="0" shapeId="0">
      <text>
        <t>per-shot TOTAL across 3 main warhead(s).
raw warhead damages: 20000, 10, 20000, 10000, 10,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4" authorId="0" shapeId="0">
      <text>
        <t>fires when: japan_upgrade_advancedplasmaweapons</t>
      </text>
    </comment>
    <comment ref="AB66" authorId="0" shapeId="0">
      <text>
        <t>fires when: !japan_upgrade_waveforcebullets</t>
      </text>
    </comment>
    <comment ref="L67" authorId="0" shapeId="0">
      <text>
        <t>per-shot TOTAL across 2 main warhead(s).
raw warhead damages: 2000,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7" authorId="0" shapeId="0">
      <text>
        <t>fires when: japan_upgrade_waveforcebullets</t>
      </text>
    </comment>
    <comment ref="AB69" authorId="0" shapeId="0">
      <text>
        <t>fires when: !ra1_allies_upgrade_cryomissiles</t>
      </text>
    </comment>
    <comment ref="AB70" authorId="0" shapeId="0">
      <text>
        <t>fires when: ra1_allies_upgrade_cryomissiles</t>
      </text>
    </comment>
    <comment ref="AB72" authorId="0" shapeId="0">
      <text>
        <t>fires when: !ts_nod_upgrade_tiberiumlenses</t>
      </text>
    </comment>
    <comment ref="L73" authorId="0" shapeId="0">
      <text>
        <t>per-shot TOTAL across 2 main warhead(s).
raw warhead damages: 6000, 6000,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3" authorId="0" shapeId="0">
      <text>
        <t>fires when: ts_nod_upgrade_tiberiumlenses</t>
      </text>
    </comment>
    <comment ref="AB74" authorId="0" shapeId="0">
      <text>
        <t>fires when: ts_nod_upgrade_auxiliaryweapon</t>
      </text>
    </comment>
    <comment ref="L78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2" authorId="0" shapeId="0">
      <text>
        <t>per-shot TOTAL across 2 main warhead(s).
raw warhead damages: 18000, 18000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2" authorId="0" shapeId="0">
      <text>
        <t>fires when: !forgotten_upgrade_chemicalweapons</t>
      </text>
    </comment>
    <comment ref="L83" authorId="0" shapeId="0">
      <text>
        <t>per-shot TOTAL across 4 main warhead(s).
raw warhead damages: 10000, 5, 8000, 4, 18000, 9000, 9, 18000, 9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3" authorId="0" shapeId="0">
      <text>
        <t>fires when: forgotten_upgrade_chemicalweapons</t>
      </text>
    </comment>
    <comment ref="L85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7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9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1" authorId="0" shapeId="0">
      <text>
        <t>fires when: !rank-elite</t>
      </text>
    </comment>
    <comment ref="L92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2" authorId="0" shapeId="0">
      <text>
        <t>fires when: rank-elite</t>
      </text>
    </comment>
    <comment ref="L9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4" authorId="0" shapeId="0">
      <text>
        <t>fires when: !rank-elite</t>
      </text>
    </comment>
    <comment ref="L9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5" authorId="0" shapeId="0">
      <text>
        <t>fires when: rank-elite</t>
      </text>
    </comment>
    <comment ref="L97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9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1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3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5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7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9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1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3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5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7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9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21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23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25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27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2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9" authorId="0" shapeId="0">
      <text>
        <t>fires when: ifv-mg</t>
      </text>
    </comment>
    <comment ref="L130" authorId="0" shapeId="0">
      <text>
        <t>per-shot TOTAL across 3 main warhead(s).
raw warhead damages: 2000, 2000,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0" authorId="0" shapeId="0">
      <text>
        <t>fires when: ifv-hmg</t>
      </text>
    </comment>
    <comment ref="L131" authorId="0" shapeId="0">
      <text>
        <t>per-shot TOTAL across 1 main warhead(s).
raw warhead damages: 2500,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1" authorId="0" shapeId="0">
      <text>
        <t>fires when: ifv-archer</t>
      </text>
    </comment>
    <comment ref="L132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2" authorId="0" shapeId="0">
      <text>
        <t>fires when: ifv-repair</t>
      </text>
    </comment>
    <comment ref="L133" authorId="0" shapeId="0">
      <text>
        <t>per-shot TOTAL across 1 main warhead(s).
raw warhead damages: 30000, 15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3" authorId="0" shapeId="0">
      <text>
        <t>fires when: ifv-lightsniper</t>
      </text>
    </comment>
    <comment ref="L134" authorId="0" shapeId="0">
      <text>
        <t>per-shot TOTAL across 1 main warhead(s).
raw warhead damages: 14000, 7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4" authorId="0" shapeId="0">
      <text>
        <t>fires when: ifv-hero</t>
      </text>
    </comment>
    <comment ref="L135" authorId="0" shapeId="0">
      <text>
        <t>per-shot TOTAL across 1 main warhead(s).
raw warhead damages: 40000,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5" authorId="0" shapeId="0">
      <text>
        <t>fires when: ifv-tesla</t>
      </text>
    </comment>
    <comment ref="L136" authorId="0" shapeId="0">
      <text>
        <t>per-shot TOTAL across 5 main warhead(s).
raw warhead damages: 80000, 4, 80000, 4, 1000, 80000, 4, 80000, 4, 80000,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6" authorId="0" shapeId="0">
      <text>
        <t>fires when: ifv-flak</t>
      </text>
    </comment>
    <comment ref="L137" authorId="0" shapeId="0">
      <text>
        <t>per-shot TOTAL across 3 main warhead(s).
raw warhead damages: 8000, 4, 1000,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7" authorId="0" shapeId="0">
      <text>
        <t>fires when: ifv-cannon</t>
      </text>
    </comment>
    <comment ref="AB138" authorId="0" shapeId="0">
      <text>
        <t>fires when: ifv-grenade</t>
      </text>
    </comment>
    <comment ref="L139" authorId="0" shapeId="0">
      <text>
        <t>per-shot TOTAL across 2 main warhead(s).
raw warhead damages: 3750, 2500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9" authorId="0" shapeId="0">
      <text>
        <t>fires when: ifv-plasma</t>
      </text>
    </comment>
    <comment ref="AB140" authorId="0" shapeId="0">
      <text>
        <t>fires when: ifv-litlaser</t>
      </text>
    </comment>
    <comment ref="L141" authorId="0" shapeId="0">
      <text>
        <t>per-shot TOTAL across 1 main warhead(s).
raw warhead damages: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1" authorId="0" shapeId="0">
      <text>
        <t>fires when: ifv-medlaser</t>
      </text>
    </comment>
    <comment ref="L142" authorId="0" shapeId="0">
      <text>
        <t>per-shot TOTAL across 1 main warhead(s).
raw warhead damages: 5000,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2" authorId="0" shapeId="0">
      <text>
        <t>fires when: ifv-greelaser</t>
      </text>
    </comment>
    <comment ref="L143" authorId="0" shapeId="0">
      <text>
        <t>per-shot TOTAL across 1 main warhead(s).
raw warhead damages: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3" authorId="0" shapeId="0">
      <text>
        <t>fires when: ifv-misslaser</t>
      </text>
    </comment>
    <comment ref="AB144" authorId="0" shapeId="0">
      <text>
        <t>fires when: ifv-fire</t>
      </text>
    </comment>
    <comment ref="AB145" authorId="0" shapeId="0">
      <text>
        <t>fires when: ifv-chem</t>
      </text>
    </comment>
    <comment ref="AB146" authorId="0" shapeId="0">
      <text>
        <t>fires when: ifv-thrax</t>
      </text>
    </comment>
    <comment ref="L14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7" authorId="0" shapeId="0">
      <text>
        <t>fires when: ifv-miss &amp;&amp; !rank-elite &amp;&amp; !ra2_allies_upgrade_thunderboltmissiles</t>
      </text>
    </comment>
    <comment ref="AB148" authorId="0" shapeId="0">
      <text>
        <t>fires when: ifv-chrono</t>
      </text>
    </comment>
    <comment ref="AB149" authorId="0" shapeId="0">
      <text>
        <t>fires when: ifv-chrono</t>
      </text>
    </comment>
    <comment ref="AB150" authorId="0" shapeId="0">
      <text>
        <t>fires when: ifv-demo</t>
      </text>
    </comment>
    <comment ref="AB151" authorId="0" shapeId="0">
      <text>
        <t>fires when: ifv-fremen</t>
      </text>
    </comment>
    <comment ref="L152" authorId="0" shapeId="0">
      <text>
        <t>per-shot TOTAL across 2 main warhead(s).
raw warhead damages: 4000,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2" authorId="0" shapeId="0">
      <text>
        <t>fires when: ifv-sonic</t>
      </text>
    </comment>
    <comment ref="L153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3" authorId="0" shapeId="0">
      <text>
        <t>fires when: ifv-healer</t>
      </text>
    </comment>
    <comment ref="L154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4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L155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5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L156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6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L157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7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L158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8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L15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9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L16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0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L16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1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L162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2" authorId="0" shapeId="0">
      <text>
        <t>fires when: ifv-miss &amp;&amp; rank-elite &amp;&amp; !ra2_allies_upgrade_thunderboltmissiles</t>
      </text>
    </comment>
    <comment ref="L16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3" authorId="0" shapeId="0">
      <text>
        <t>fires when: ifv-miss &amp;&amp; !rank-elite &amp;&amp; !ra2_allies_upgrade_thunderboltmissiles</t>
      </text>
    </comment>
    <comment ref="L16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4" authorId="0" shapeId="0">
      <text>
        <t>fires when: ifv-miss &amp;&amp; rank-elite &amp;&amp; !ra2_allies_upgrade_thunderboltmissiles</t>
      </text>
    </comment>
    <comment ref="L16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5" authorId="0" shapeId="0">
      <text>
        <t>fires when: ifv-miss &amp;&amp; !rank-elite &amp;&amp; ra2_allies_upgrade_thunderboltmissiles</t>
      </text>
    </comment>
    <comment ref="L166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6" authorId="0" shapeId="0">
      <text>
        <t>fires when: ifv-miss &amp;&amp; rank-elite &amp;&amp; ra2_allies_upgrade_thunderboltmissiles</t>
      </text>
    </comment>
    <comment ref="L16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7" authorId="0" shapeId="0">
      <text>
        <t>fires when: ifv-miss &amp;&amp; !rank-elite &amp;&amp; ra2_allies_upgrade_thunderboltmissiles</t>
      </text>
    </comment>
    <comment ref="L168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8" authorId="0" shapeId="0">
      <text>
        <t>fires when: ifv-miss &amp;&amp; rank-elite &amp;&amp; ra2_allies_upgrade_thunderboltmissiles</t>
      </text>
    </comment>
    <comment ref="L169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9" authorId="0" shapeId="0">
      <text>
        <t>fires when: ifv-healer</t>
      </text>
    </comment>
    <comment ref="L170" authorId="0" shapeId="0">
      <text>
        <t>per-shot TOTAL across 1 main warhead(s).
raw warhead damages: 44000, 22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0" authorId="0" shapeId="0">
      <text>
        <t>fires when: ifv-ra1_allies_alliedsniper</t>
      </text>
    </comment>
    <comment ref="L172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2" authorId="0" shapeId="0">
      <text>
        <t>fires when: ifv-mg</t>
      </text>
    </comment>
    <comment ref="L173" authorId="0" shapeId="0">
      <text>
        <t>per-shot TOTAL across 3 main warhead(s).
raw warhead damages: 2000, 2000,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3" authorId="0" shapeId="0">
      <text>
        <t>fires when: ifv-hmg</t>
      </text>
    </comment>
    <comment ref="L174" authorId="0" shapeId="0">
      <text>
        <t>per-shot TOTAL across 1 main warhead(s).
raw warhead damages: 2500,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4" authorId="0" shapeId="0">
      <text>
        <t>fires when: ifv-archer</t>
      </text>
    </comment>
    <comment ref="L175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5" authorId="0" shapeId="0">
      <text>
        <t>fires when: ifv-repair</t>
      </text>
    </comment>
    <comment ref="L176" authorId="0" shapeId="0">
      <text>
        <t>per-shot TOTAL across 1 main warhead(s).
raw warhead damages: 30000, 15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6" authorId="0" shapeId="0">
      <text>
        <t>fires when: ifv-lightsniper</t>
      </text>
    </comment>
    <comment ref="L177" authorId="0" shapeId="0">
      <text>
        <t>per-shot TOTAL across 1 main warhead(s).
raw warhead damages: 14000, 7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7" authorId="0" shapeId="0">
      <text>
        <t>fires when: ifv-hero</t>
      </text>
    </comment>
    <comment ref="L178" authorId="0" shapeId="0">
      <text>
        <t>per-shot TOTAL across 1 main warhead(s).
raw warhead damages: 40000,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8" authorId="0" shapeId="0">
      <text>
        <t>fires when: ifv-tesla</t>
      </text>
    </comment>
    <comment ref="L179" authorId="0" shapeId="0">
      <text>
        <t>per-shot TOTAL across 5 main warhead(s).
raw warhead damages: 80000, 4, 80000, 4, 1000, 80000, 4, 80000, 4, 80000,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9" authorId="0" shapeId="0">
      <text>
        <t>fires when: ifv-flak</t>
      </text>
    </comment>
    <comment ref="L180" authorId="0" shapeId="0">
      <text>
        <t>per-shot TOTAL across 3 main warhead(s).
raw warhead damages: 8000, 4, 1000,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0" authorId="0" shapeId="0">
      <text>
        <t>fires when: ifv-cannon</t>
      </text>
    </comment>
    <comment ref="AB181" authorId="0" shapeId="0">
      <text>
        <t>fires when: ifv-grenade</t>
      </text>
    </comment>
    <comment ref="L182" authorId="0" shapeId="0">
      <text>
        <t>per-shot TOTAL across 2 main warhead(s).
raw warhead damages: 3750, 2500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2" authorId="0" shapeId="0">
      <text>
        <t>fires when: ifv-plasma</t>
      </text>
    </comment>
    <comment ref="AB183" authorId="0" shapeId="0">
      <text>
        <t>fires when: ifv-litlaser</t>
      </text>
    </comment>
    <comment ref="L184" authorId="0" shapeId="0">
      <text>
        <t>per-shot TOTAL across 1 main warhead(s).
raw warhead damages: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4" authorId="0" shapeId="0">
      <text>
        <t>fires when: ifv-medlaser</t>
      </text>
    </comment>
    <comment ref="L185" authorId="0" shapeId="0">
      <text>
        <t>per-shot TOTAL across 1 main warhead(s).
raw warhead damages: 5000,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5" authorId="0" shapeId="0">
      <text>
        <t>fires when: ifv-greelaser</t>
      </text>
    </comment>
    <comment ref="L186" authorId="0" shapeId="0">
      <text>
        <t>per-shot TOTAL across 1 main warhead(s).
raw warhead damages: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6" authorId="0" shapeId="0">
      <text>
        <t>fires when: ifv-misslaser</t>
      </text>
    </comment>
    <comment ref="AB187" authorId="0" shapeId="0">
      <text>
        <t>fires when: ifv-fire</t>
      </text>
    </comment>
    <comment ref="AB188" authorId="0" shapeId="0">
      <text>
        <t>fires when: ifv-chem</t>
      </text>
    </comment>
    <comment ref="AB189" authorId="0" shapeId="0">
      <text>
        <t>fires when: ifv-thrax</t>
      </text>
    </comment>
    <comment ref="L19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90" authorId="0" shapeId="0">
      <text>
        <t>fires when: ifv-miss &amp;&amp; !rank-elite &amp;&amp; !ra2_allies_upgrade_thunderboltmissiles</t>
      </text>
    </comment>
    <comment ref="AB191" authorId="0" shapeId="0">
      <text>
        <t>fires when: ifv-chrono</t>
      </text>
    </comment>
    <comment ref="AB192" authorId="0" shapeId="0">
      <text>
        <t>fires when: ifv-chrono</t>
      </text>
    </comment>
    <comment ref="AB193" authorId="0" shapeId="0">
      <text>
        <t>fires when: ifv-demo</t>
      </text>
    </comment>
    <comment ref="AB194" authorId="0" shapeId="0">
      <text>
        <t>fires when: ifv-fremen</t>
      </text>
    </comment>
    <comment ref="L195" authorId="0" shapeId="0">
      <text>
        <t>per-shot TOTAL across 2 main warhead(s).
raw warhead damages: 4000,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95" authorId="0" shapeId="0">
      <text>
        <t>fires when: ifv-sonic</t>
      </text>
    </comment>
    <comment ref="L196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96" authorId="0" shapeId="0">
      <text>
        <t>fires when: ifv-healer</t>
      </text>
    </comment>
    <comment ref="L197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97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L198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98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L199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99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L200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0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L20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1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L202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2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L20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3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L20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4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L20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5" authorId="0" shapeId="0">
      <text>
        <t>fires when: ifv-miss &amp;&amp; rank-elite &amp;&amp; !ra2_allies_upgrade_thunderboltmissiles</t>
      </text>
    </comment>
    <comment ref="L206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6" authorId="0" shapeId="0">
      <text>
        <t>fires when: ifv-miss &amp;&amp; !rank-elite &amp;&amp; !ra2_allies_upgrade_thunderboltmissiles</t>
      </text>
    </comment>
    <comment ref="L20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7" authorId="0" shapeId="0">
      <text>
        <t>fires when: ifv-miss &amp;&amp; rank-elite &amp;&amp; !ra2_allies_upgrade_thunderboltmissiles</t>
      </text>
    </comment>
    <comment ref="L208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8" authorId="0" shapeId="0">
      <text>
        <t>fires when: ifv-miss &amp;&amp; !rank-elite &amp;&amp; ra2_allies_upgrade_thunderboltmissiles</t>
      </text>
    </comment>
    <comment ref="L20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9" authorId="0" shapeId="0">
      <text>
        <t>fires when: ifv-miss &amp;&amp; rank-elite &amp;&amp; ra2_allies_upgrade_thunderboltmissiles</t>
      </text>
    </comment>
    <comment ref="L21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0" authorId="0" shapeId="0">
      <text>
        <t>fires when: ifv-miss &amp;&amp; !rank-elite &amp;&amp; ra2_allies_upgrade_thunderboltmissiles</t>
      </text>
    </comment>
    <comment ref="L21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1" authorId="0" shapeId="0">
      <text>
        <t>fires when: ifv-miss &amp;&amp; rank-elite &amp;&amp; ra2_allies_upgrade_thunderboltmissiles</t>
      </text>
    </comment>
    <comment ref="L212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2" authorId="0" shapeId="0">
      <text>
        <t>fires when: ifv-healer</t>
      </text>
    </comment>
    <comment ref="L213" authorId="0" shapeId="0">
      <text>
        <t>per-shot TOTAL across 1 main warhead(s).
raw warhead damages: 44000, 22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3" authorId="0" shapeId="0">
      <text>
        <t>fires when: ifv-ra1_allies_alliedsniper</t>
      </text>
    </comment>
    <comment ref="L21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5" authorId="0" shapeId="0">
      <text>
        <t>fires when: ifv-mg</t>
      </text>
    </comment>
    <comment ref="L216" authorId="0" shapeId="0">
      <text>
        <t>per-shot TOTAL across 3 main warhead(s).
raw warhead damages: 2000, 2000,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6" authorId="0" shapeId="0">
      <text>
        <t>fires when: ifv-hmg</t>
      </text>
    </comment>
    <comment ref="L217" authorId="0" shapeId="0">
      <text>
        <t>per-shot TOTAL across 1 main warhead(s).
raw warhead damages: 2500,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7" authorId="0" shapeId="0">
      <text>
        <t>fires when: ifv-archer</t>
      </text>
    </comment>
    <comment ref="L218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8" authorId="0" shapeId="0">
      <text>
        <t>fires when: ifv-repair</t>
      </text>
    </comment>
    <comment ref="L219" authorId="0" shapeId="0">
      <text>
        <t>per-shot TOTAL across 1 main warhead(s).
raw warhead damages: 30000, 15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9" authorId="0" shapeId="0">
      <text>
        <t>fires when: ifv-lightsniper</t>
      </text>
    </comment>
    <comment ref="L220" authorId="0" shapeId="0">
      <text>
        <t>per-shot TOTAL across 1 main warhead(s).
raw warhead damages: 14000, 7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0" authorId="0" shapeId="0">
      <text>
        <t>fires when: ifv-hero</t>
      </text>
    </comment>
    <comment ref="L221" authorId="0" shapeId="0">
      <text>
        <t>per-shot TOTAL across 1 main warhead(s).
raw warhead damages: 40000,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1" authorId="0" shapeId="0">
      <text>
        <t>fires when: ifv-tesla</t>
      </text>
    </comment>
    <comment ref="L222" authorId="0" shapeId="0">
      <text>
        <t>per-shot TOTAL across 5 main warhead(s).
raw warhead damages: 80000, 4, 80000, 4, 1000, 80000, 4, 80000, 4, 80000,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2" authorId="0" shapeId="0">
      <text>
        <t>fires when: ifv-flak</t>
      </text>
    </comment>
    <comment ref="L223" authorId="0" shapeId="0">
      <text>
        <t>per-shot TOTAL across 3 main warhead(s).
raw warhead damages: 8000, 4, 1000,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3" authorId="0" shapeId="0">
      <text>
        <t>fires when: ifv-cannon</t>
      </text>
    </comment>
    <comment ref="AB224" authorId="0" shapeId="0">
      <text>
        <t>fires when: ifv-grenade</t>
      </text>
    </comment>
    <comment ref="L225" authorId="0" shapeId="0">
      <text>
        <t>per-shot TOTAL across 2 main warhead(s).
raw warhead damages: 3750, 2500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5" authorId="0" shapeId="0">
      <text>
        <t>fires when: ifv-plasma</t>
      </text>
    </comment>
    <comment ref="AB226" authorId="0" shapeId="0">
      <text>
        <t>fires when: ifv-litlaser</t>
      </text>
    </comment>
    <comment ref="L227" authorId="0" shapeId="0">
      <text>
        <t>per-shot TOTAL across 1 main warhead(s).
raw warhead damages: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7" authorId="0" shapeId="0">
      <text>
        <t>fires when: ifv-medlaser</t>
      </text>
    </comment>
    <comment ref="L228" authorId="0" shapeId="0">
      <text>
        <t>per-shot TOTAL across 1 main warhead(s).
raw warhead damages: 5000,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8" authorId="0" shapeId="0">
      <text>
        <t>fires when: ifv-greelaser</t>
      </text>
    </comment>
    <comment ref="L229" authorId="0" shapeId="0">
      <text>
        <t>per-shot TOTAL across 1 main warhead(s).
raw warhead damages: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9" authorId="0" shapeId="0">
      <text>
        <t>fires when: ifv-misslaser</t>
      </text>
    </comment>
    <comment ref="AB230" authorId="0" shapeId="0">
      <text>
        <t>fires when: ifv-fire</t>
      </text>
    </comment>
    <comment ref="AB231" authorId="0" shapeId="0">
      <text>
        <t>fires when: ifv-chem</t>
      </text>
    </comment>
    <comment ref="AB232" authorId="0" shapeId="0">
      <text>
        <t>fires when: ifv-thrax</t>
      </text>
    </comment>
    <comment ref="L23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3" authorId="0" shapeId="0">
      <text>
        <t>fires when: ifv-miss &amp;&amp; !rank-elite &amp;&amp; !ra2_allies_upgrade_thunderboltmissiles</t>
      </text>
    </comment>
    <comment ref="AB234" authorId="0" shapeId="0">
      <text>
        <t>fires when: ifv-chrono</t>
      </text>
    </comment>
    <comment ref="AB235" authorId="0" shapeId="0">
      <text>
        <t>fires when: ifv-chrono</t>
      </text>
    </comment>
    <comment ref="AB236" authorId="0" shapeId="0">
      <text>
        <t>fires when: ifv-demo</t>
      </text>
    </comment>
    <comment ref="AB237" authorId="0" shapeId="0">
      <text>
        <t>fires when: ifv-fremen</t>
      </text>
    </comment>
    <comment ref="L238" authorId="0" shapeId="0">
      <text>
        <t>per-shot TOTAL across 2 main warhead(s).
raw warhead damages: 4000,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8" authorId="0" shapeId="0">
      <text>
        <t>fires when: ifv-sonic</t>
      </text>
    </comment>
    <comment ref="L239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9" authorId="0" shapeId="0">
      <text>
        <t>fires when: ifv-healer</t>
      </text>
    </comment>
    <comment ref="L240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0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L241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1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L242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2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L243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3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L24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4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L24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5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L246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6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L24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7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L248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8" authorId="0" shapeId="0">
      <text>
        <t>fires when: ifv-miss &amp;&amp; rank-elite &amp;&amp; !ra2_allies_upgrade_thunderboltmissiles</t>
      </text>
    </comment>
    <comment ref="L24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9" authorId="0" shapeId="0">
      <text>
        <t>fires when: ifv-miss &amp;&amp; !rank-elite &amp;&amp; !ra2_allies_upgrade_thunderboltmissiles</t>
      </text>
    </comment>
    <comment ref="L25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0" authorId="0" shapeId="0">
      <text>
        <t>fires when: ifv-miss &amp;&amp; rank-elite &amp;&amp; !ra2_allies_upgrade_thunderboltmissiles</t>
      </text>
    </comment>
    <comment ref="L25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1" authorId="0" shapeId="0">
      <text>
        <t>fires when: ifv-miss &amp;&amp; !rank-elite &amp;&amp; ra2_allies_upgrade_thunderboltmissiles</t>
      </text>
    </comment>
    <comment ref="L252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2" authorId="0" shapeId="0">
      <text>
        <t>fires when: ifv-miss &amp;&amp; rank-elite &amp;&amp; ra2_allies_upgrade_thunderboltmissiles</t>
      </text>
    </comment>
    <comment ref="L25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3" authorId="0" shapeId="0">
      <text>
        <t>fires when: ifv-miss &amp;&amp; !rank-elite &amp;&amp; ra2_allies_upgrade_thunderboltmissiles</t>
      </text>
    </comment>
    <comment ref="L25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4" authorId="0" shapeId="0">
      <text>
        <t>fires when: ifv-miss &amp;&amp; rank-elite &amp;&amp; ra2_allies_upgrade_thunderboltmissiles</t>
      </text>
    </comment>
    <comment ref="L255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5" authorId="0" shapeId="0">
      <text>
        <t>fires when: ifv-healer</t>
      </text>
    </comment>
    <comment ref="L256" authorId="0" shapeId="0">
      <text>
        <t>per-shot TOTAL across 1 main warhead(s).
raw warhead damages: 44000, 22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6" authorId="0" shapeId="0">
      <text>
        <t>fires when: ifv-ra1_allies_alliedsniper</t>
      </text>
    </comment>
    <comment ref="L258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8" authorId="0" shapeId="0">
      <text>
        <t>fires when: ifv-mg</t>
      </text>
    </comment>
    <comment ref="L259" authorId="0" shapeId="0">
      <text>
        <t>per-shot TOTAL across 3 main warhead(s).
raw warhead damages: 2000, 2000,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9" authorId="0" shapeId="0">
      <text>
        <t>fires when: ifv-hmg</t>
      </text>
    </comment>
    <comment ref="L260" authorId="0" shapeId="0">
      <text>
        <t>per-shot TOTAL across 1 main warhead(s).
raw warhead damages: 2500,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60" authorId="0" shapeId="0">
      <text>
        <t>fires when: ifv-archer</t>
      </text>
    </comment>
    <comment ref="L261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61" authorId="0" shapeId="0">
      <text>
        <t>fires when: ifv-repair</t>
      </text>
    </comment>
    <comment ref="L262" authorId="0" shapeId="0">
      <text>
        <t>per-shot TOTAL across 1 main warhead(s).
raw warhead damages: 30000, 15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62" authorId="0" shapeId="0">
      <text>
        <t>fires when: ifv-lightsniper</t>
      </text>
    </comment>
    <comment ref="L263" authorId="0" shapeId="0">
      <text>
        <t>per-shot TOTAL across 1 main warhead(s).
raw warhead damages: 14000, 7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63" authorId="0" shapeId="0">
      <text>
        <t>fires when: ifv-hero</t>
      </text>
    </comment>
    <comment ref="L264" authorId="0" shapeId="0">
      <text>
        <t>per-shot TOTAL across 1 main warhead(s).
raw warhead damages: 40000,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64" authorId="0" shapeId="0">
      <text>
        <t>fires when: ifv-tesla</t>
      </text>
    </comment>
    <comment ref="L265" authorId="0" shapeId="0">
      <text>
        <t>per-shot TOTAL across 5 main warhead(s).
raw warhead damages: 80000, 4, 80000, 4, 1000, 80000, 4, 80000, 4, 80000,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65" authorId="0" shapeId="0">
      <text>
        <t>fires when: ifv-flak</t>
      </text>
    </comment>
    <comment ref="L266" authorId="0" shapeId="0">
      <text>
        <t>per-shot TOTAL across 3 main warhead(s).
raw warhead damages: 8000, 4, 1000,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66" authorId="0" shapeId="0">
      <text>
        <t>fires when: ifv-cannon</t>
      </text>
    </comment>
    <comment ref="AB267" authorId="0" shapeId="0">
      <text>
        <t>fires when: ifv-grenade</t>
      </text>
    </comment>
    <comment ref="L268" authorId="0" shapeId="0">
      <text>
        <t>per-shot TOTAL across 2 main warhead(s).
raw warhead damages: 3750, 2500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68" authorId="0" shapeId="0">
      <text>
        <t>fires when: ifv-plasma</t>
      </text>
    </comment>
    <comment ref="AB269" authorId="0" shapeId="0">
      <text>
        <t>fires when: ifv-litlaser</t>
      </text>
    </comment>
    <comment ref="L270" authorId="0" shapeId="0">
      <text>
        <t>per-shot TOTAL across 1 main warhead(s).
raw warhead damages: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0" authorId="0" shapeId="0">
      <text>
        <t>fires when: ifv-medlaser</t>
      </text>
    </comment>
    <comment ref="L271" authorId="0" shapeId="0">
      <text>
        <t>per-shot TOTAL across 1 main warhead(s).
raw warhead damages: 5000,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1" authorId="0" shapeId="0">
      <text>
        <t>fires when: ifv-greelaser</t>
      </text>
    </comment>
    <comment ref="L272" authorId="0" shapeId="0">
      <text>
        <t>per-shot TOTAL across 1 main warhead(s).
raw warhead damages: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2" authorId="0" shapeId="0">
      <text>
        <t>fires when: ifv-misslaser</t>
      </text>
    </comment>
    <comment ref="AB273" authorId="0" shapeId="0">
      <text>
        <t>fires when: ifv-fire</t>
      </text>
    </comment>
    <comment ref="AB274" authorId="0" shapeId="0">
      <text>
        <t>fires when: ifv-chem</t>
      </text>
    </comment>
    <comment ref="AB275" authorId="0" shapeId="0">
      <text>
        <t>fires when: ifv-thrax</t>
      </text>
    </comment>
    <comment ref="L276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6" authorId="0" shapeId="0">
      <text>
        <t>fires when: ifv-miss &amp;&amp; !rank-elite &amp;&amp; !ra2_allies_upgrade_thunderboltmissiles</t>
      </text>
    </comment>
    <comment ref="AB277" authorId="0" shapeId="0">
      <text>
        <t>fires when: ifv-chrono</t>
      </text>
    </comment>
    <comment ref="AB278" authorId="0" shapeId="0">
      <text>
        <t>fires when: ifv-chrono</t>
      </text>
    </comment>
    <comment ref="AB279" authorId="0" shapeId="0">
      <text>
        <t>fires when: ifv-demo</t>
      </text>
    </comment>
    <comment ref="AB280" authorId="0" shapeId="0">
      <text>
        <t>fires when: ifv-fremen</t>
      </text>
    </comment>
    <comment ref="L281" authorId="0" shapeId="0">
      <text>
        <t>per-shot TOTAL across 2 main warhead(s).
raw warhead damages: 4000,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81" authorId="0" shapeId="0">
      <text>
        <t>fires when: ifv-sonic</t>
      </text>
    </comment>
    <comment ref="L282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82" authorId="0" shapeId="0">
      <text>
        <t>fires when: ifv-healer</t>
      </text>
    </comment>
    <comment ref="L283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83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L284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84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L285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85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L286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86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L28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87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L288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88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L28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89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L29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90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L29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91" authorId="0" shapeId="0">
      <text>
        <t>fires when: ifv-miss &amp;&amp; rank-elite &amp;&amp; !ra2_allies_upgrade_thunderboltmissiles</t>
      </text>
    </comment>
    <comment ref="L292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92" authorId="0" shapeId="0">
      <text>
        <t>fires when: ifv-miss &amp;&amp; !rank-elite &amp;&amp; !ra2_allies_upgrade_thunderboltmissiles</t>
      </text>
    </comment>
    <comment ref="L29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93" authorId="0" shapeId="0">
      <text>
        <t>fires when: ifv-miss &amp;&amp; rank-elite &amp;&amp; !ra2_allies_upgrade_thunderboltmissiles</t>
      </text>
    </comment>
    <comment ref="L29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94" authorId="0" shapeId="0">
      <text>
        <t>fires when: ifv-miss &amp;&amp; !rank-elite &amp;&amp; ra2_allies_upgrade_thunderboltmissiles</t>
      </text>
    </comment>
    <comment ref="L29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95" authorId="0" shapeId="0">
      <text>
        <t>fires when: ifv-miss &amp;&amp; rank-elite &amp;&amp; ra2_allies_upgrade_thunderboltmissiles</t>
      </text>
    </comment>
    <comment ref="L296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96" authorId="0" shapeId="0">
      <text>
        <t>fires when: ifv-miss &amp;&amp; !rank-elite &amp;&amp; ra2_allies_upgrade_thunderboltmissiles</t>
      </text>
    </comment>
    <comment ref="L29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97" authorId="0" shapeId="0">
      <text>
        <t>fires when: ifv-miss &amp;&amp; rank-elite &amp;&amp; ra2_allies_upgrade_thunderboltmissiles</t>
      </text>
    </comment>
    <comment ref="L298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98" authorId="0" shapeId="0">
      <text>
        <t>fires when: ifv-healer</t>
      </text>
    </comment>
    <comment ref="L299" authorId="0" shapeId="0">
      <text>
        <t>per-shot TOTAL across 1 main warhead(s).
raw warhead damages: 44000, 22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99" authorId="0" shapeId="0">
      <text>
        <t>fires when: ifv-ra1_allies_alliedsniper</t>
      </text>
    </comment>
    <comment ref="L30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01" authorId="0" shapeId="0">
      <text>
        <t>fires when: ifv-mg</t>
      </text>
    </comment>
    <comment ref="L302" authorId="0" shapeId="0">
      <text>
        <t>per-shot TOTAL across 3 main warhead(s).
raw warhead damages: 2000, 2000,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02" authorId="0" shapeId="0">
      <text>
        <t>fires when: ifv-hmg</t>
      </text>
    </comment>
    <comment ref="L303" authorId="0" shapeId="0">
      <text>
        <t>per-shot TOTAL across 1 main warhead(s).
raw warhead damages: 2500,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03" authorId="0" shapeId="0">
      <text>
        <t>fires when: ifv-archer</t>
      </text>
    </comment>
    <comment ref="L304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04" authorId="0" shapeId="0">
      <text>
        <t>fires when: ifv-repair</t>
      </text>
    </comment>
    <comment ref="L305" authorId="0" shapeId="0">
      <text>
        <t>per-shot TOTAL across 1 main warhead(s).
raw warhead damages: 30000, 15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05" authorId="0" shapeId="0">
      <text>
        <t>fires when: ifv-lightsniper</t>
      </text>
    </comment>
    <comment ref="L306" authorId="0" shapeId="0">
      <text>
        <t>per-shot TOTAL across 1 main warhead(s).
raw warhead damages: 14000, 7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06" authorId="0" shapeId="0">
      <text>
        <t>fires when: ifv-hero</t>
      </text>
    </comment>
    <comment ref="L307" authorId="0" shapeId="0">
      <text>
        <t>per-shot TOTAL across 1 main warhead(s).
raw warhead damages: 40000,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07" authorId="0" shapeId="0">
      <text>
        <t>fires when: ifv-tesla</t>
      </text>
    </comment>
    <comment ref="L308" authorId="0" shapeId="0">
      <text>
        <t>per-shot TOTAL across 5 main warhead(s).
raw warhead damages: 80000, 4, 80000, 4, 1000, 80000, 4, 80000, 4, 80000,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08" authorId="0" shapeId="0">
      <text>
        <t>fires when: ifv-flak</t>
      </text>
    </comment>
    <comment ref="L309" authorId="0" shapeId="0">
      <text>
        <t>per-shot TOTAL across 3 main warhead(s).
raw warhead damages: 8000, 4, 1000,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09" authorId="0" shapeId="0">
      <text>
        <t>fires when: ifv-cannon</t>
      </text>
    </comment>
    <comment ref="AB310" authorId="0" shapeId="0">
      <text>
        <t>fires when: ifv-grenade</t>
      </text>
    </comment>
    <comment ref="L311" authorId="0" shapeId="0">
      <text>
        <t>per-shot TOTAL across 2 main warhead(s).
raw warhead damages: 3750, 2500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11" authorId="0" shapeId="0">
      <text>
        <t>fires when: ifv-plasma</t>
      </text>
    </comment>
    <comment ref="AB312" authorId="0" shapeId="0">
      <text>
        <t>fires when: ifv-litlaser</t>
      </text>
    </comment>
    <comment ref="L313" authorId="0" shapeId="0">
      <text>
        <t>per-shot TOTAL across 1 main warhead(s).
raw warhead damages: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13" authorId="0" shapeId="0">
      <text>
        <t>fires when: ifv-medlaser</t>
      </text>
    </comment>
    <comment ref="L314" authorId="0" shapeId="0">
      <text>
        <t>per-shot TOTAL across 1 main warhead(s).
raw warhead damages: 5000,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14" authorId="0" shapeId="0">
      <text>
        <t>fires when: ifv-greelaser</t>
      </text>
    </comment>
    <comment ref="L315" authorId="0" shapeId="0">
      <text>
        <t>per-shot TOTAL across 1 main warhead(s).
raw warhead damages: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15" authorId="0" shapeId="0">
      <text>
        <t>fires when: ifv-misslaser</t>
      </text>
    </comment>
    <comment ref="AB316" authorId="0" shapeId="0">
      <text>
        <t>fires when: ifv-fire</t>
      </text>
    </comment>
    <comment ref="AB317" authorId="0" shapeId="0">
      <text>
        <t>fires when: ifv-chem</t>
      </text>
    </comment>
    <comment ref="AB318" authorId="0" shapeId="0">
      <text>
        <t>fires when: ifv-thrax</t>
      </text>
    </comment>
    <comment ref="L31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19" authorId="0" shapeId="0">
      <text>
        <t>fires when: ifv-miss &amp;&amp; !rank-elite &amp;&amp; !ra2_allies_upgrade_thunderboltmissiles</t>
      </text>
    </comment>
    <comment ref="AB320" authorId="0" shapeId="0">
      <text>
        <t>fires when: ifv-chrono</t>
      </text>
    </comment>
    <comment ref="AB321" authorId="0" shapeId="0">
      <text>
        <t>fires when: ifv-chrono</t>
      </text>
    </comment>
    <comment ref="AB322" authorId="0" shapeId="0">
      <text>
        <t>fires when: ifv-demo</t>
      </text>
    </comment>
    <comment ref="AB323" authorId="0" shapeId="0">
      <text>
        <t>fires when: ifv-fremen</t>
      </text>
    </comment>
    <comment ref="L324" authorId="0" shapeId="0">
      <text>
        <t>per-shot TOTAL across 2 main warhead(s).
raw warhead damages: 4000,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24" authorId="0" shapeId="0">
      <text>
        <t>fires when: ifv-sonic</t>
      </text>
    </comment>
    <comment ref="L325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25" authorId="0" shapeId="0">
      <text>
        <t>fires when: ifv-healer</t>
      </text>
    </comment>
    <comment ref="L326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26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L327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27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L328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28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L329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29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L33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30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L33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31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L332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32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L33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33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L33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34" authorId="0" shapeId="0">
      <text>
        <t>fires when: ifv-miss &amp;&amp; rank-elite &amp;&amp; !ra2_allies_upgrade_thunderboltmissiles</t>
      </text>
    </comment>
    <comment ref="L33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35" authorId="0" shapeId="0">
      <text>
        <t>fires when: ifv-miss &amp;&amp; !rank-elite &amp;&amp; !ra2_allies_upgrade_thunderboltmissiles</t>
      </text>
    </comment>
    <comment ref="L336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36" authorId="0" shapeId="0">
      <text>
        <t>fires when: ifv-miss &amp;&amp; rank-elite &amp;&amp; !ra2_allies_upgrade_thunderboltmissiles</t>
      </text>
    </comment>
    <comment ref="L33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37" authorId="0" shapeId="0">
      <text>
        <t>fires when: ifv-miss &amp;&amp; !rank-elite &amp;&amp; ra2_allies_upgrade_thunderboltmissiles</t>
      </text>
    </comment>
    <comment ref="L338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38" authorId="0" shapeId="0">
      <text>
        <t>fires when: ifv-miss &amp;&amp; rank-elite &amp;&amp; ra2_allies_upgrade_thunderboltmissiles</t>
      </text>
    </comment>
    <comment ref="L33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39" authorId="0" shapeId="0">
      <text>
        <t>fires when: ifv-miss &amp;&amp; !rank-elite &amp;&amp; ra2_allies_upgrade_thunderboltmissiles</t>
      </text>
    </comment>
    <comment ref="L34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0" authorId="0" shapeId="0">
      <text>
        <t>fires when: ifv-miss &amp;&amp; rank-elite &amp;&amp; ra2_allies_upgrade_thunderboltmissiles</t>
      </text>
    </comment>
    <comment ref="L341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1" authorId="0" shapeId="0">
      <text>
        <t>fires when: ifv-healer</t>
      </text>
    </comment>
    <comment ref="L342" authorId="0" shapeId="0">
      <text>
        <t>per-shot TOTAL across 1 main warhead(s).
raw warhead damages: 44000, 22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2" authorId="0" shapeId="0">
      <text>
        <t>fires when: ifv-ra1_allies_alliedsniper</t>
      </text>
    </comment>
    <comment ref="L34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4" authorId="0" shapeId="0">
      <text>
        <t>fires when: ifv-mg</t>
      </text>
    </comment>
    <comment ref="L345" authorId="0" shapeId="0">
      <text>
        <t>per-shot TOTAL across 3 main warhead(s).
raw warhead damages: 2000, 2000,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5" authorId="0" shapeId="0">
      <text>
        <t>fires when: ifv-hmg</t>
      </text>
    </comment>
    <comment ref="L346" authorId="0" shapeId="0">
      <text>
        <t>per-shot TOTAL across 1 main warhead(s).
raw warhead damages: 2500,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6" authorId="0" shapeId="0">
      <text>
        <t>fires when: ifv-archer</t>
      </text>
    </comment>
    <comment ref="L347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7" authorId="0" shapeId="0">
      <text>
        <t>fires when: ifv-repair</t>
      </text>
    </comment>
    <comment ref="L348" authorId="0" shapeId="0">
      <text>
        <t>per-shot TOTAL across 1 main warhead(s).
raw warhead damages: 30000, 15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8" authorId="0" shapeId="0">
      <text>
        <t>fires when: ifv-lightsniper</t>
      </text>
    </comment>
    <comment ref="L349" authorId="0" shapeId="0">
      <text>
        <t>per-shot TOTAL across 1 main warhead(s).
raw warhead damages: 14000, 7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9" authorId="0" shapeId="0">
      <text>
        <t>fires when: ifv-hero</t>
      </text>
    </comment>
    <comment ref="L350" authorId="0" shapeId="0">
      <text>
        <t>per-shot TOTAL across 1 main warhead(s).
raw warhead damages: 40000,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50" authorId="0" shapeId="0">
      <text>
        <t>fires when: ifv-tesla</t>
      </text>
    </comment>
    <comment ref="L351" authorId="0" shapeId="0">
      <text>
        <t>per-shot TOTAL across 5 main warhead(s).
raw warhead damages: 80000, 4, 80000, 4, 1000, 80000, 4, 80000, 4, 80000,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51" authorId="0" shapeId="0">
      <text>
        <t>fires when: ifv-flak</t>
      </text>
    </comment>
    <comment ref="L352" authorId="0" shapeId="0">
      <text>
        <t>per-shot TOTAL across 3 main warhead(s).
raw warhead damages: 8000, 4, 1000,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52" authorId="0" shapeId="0">
      <text>
        <t>fires when: ifv-cannon</t>
      </text>
    </comment>
    <comment ref="AB353" authorId="0" shapeId="0">
      <text>
        <t>fires when: ifv-grenade</t>
      </text>
    </comment>
    <comment ref="L354" authorId="0" shapeId="0">
      <text>
        <t>per-shot TOTAL across 2 main warhead(s).
raw warhead damages: 3750, 2500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54" authorId="0" shapeId="0">
      <text>
        <t>fires when: ifv-plasma</t>
      </text>
    </comment>
    <comment ref="AB355" authorId="0" shapeId="0">
      <text>
        <t>fires when: ifv-litlaser</t>
      </text>
    </comment>
    <comment ref="L356" authorId="0" shapeId="0">
      <text>
        <t>per-shot TOTAL across 1 main warhead(s).
raw warhead damages: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56" authorId="0" shapeId="0">
      <text>
        <t>fires when: ifv-medlaser</t>
      </text>
    </comment>
    <comment ref="L357" authorId="0" shapeId="0">
      <text>
        <t>per-shot TOTAL across 1 main warhead(s).
raw warhead damages: 5000,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57" authorId="0" shapeId="0">
      <text>
        <t>fires when: ifv-greelaser</t>
      </text>
    </comment>
    <comment ref="L358" authorId="0" shapeId="0">
      <text>
        <t>per-shot TOTAL across 1 main warhead(s).
raw warhead damages: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58" authorId="0" shapeId="0">
      <text>
        <t>fires when: ifv-misslaser</t>
      </text>
    </comment>
    <comment ref="AB359" authorId="0" shapeId="0">
      <text>
        <t>fires when: ifv-fire</t>
      </text>
    </comment>
    <comment ref="AB360" authorId="0" shapeId="0">
      <text>
        <t>fires when: ifv-chem</t>
      </text>
    </comment>
    <comment ref="AB361" authorId="0" shapeId="0">
      <text>
        <t>fires when: ifv-thrax</t>
      </text>
    </comment>
    <comment ref="L362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62" authorId="0" shapeId="0">
      <text>
        <t>fires when: ifv-miss &amp;&amp; !rank-elite &amp;&amp; !ra2_allies_upgrade_thunderboltmissiles</t>
      </text>
    </comment>
    <comment ref="AB363" authorId="0" shapeId="0">
      <text>
        <t>fires when: ifv-chrono</t>
      </text>
    </comment>
    <comment ref="AB364" authorId="0" shapeId="0">
      <text>
        <t>fires when: ifv-chrono</t>
      </text>
    </comment>
    <comment ref="AB365" authorId="0" shapeId="0">
      <text>
        <t>fires when: ifv-demo</t>
      </text>
    </comment>
    <comment ref="AB366" authorId="0" shapeId="0">
      <text>
        <t>fires when: ifv-fremen</t>
      </text>
    </comment>
    <comment ref="L367" authorId="0" shapeId="0">
      <text>
        <t>per-shot TOTAL across 2 main warhead(s).
raw warhead damages: 4000,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67" authorId="0" shapeId="0">
      <text>
        <t>fires when: ifv-sonic</t>
      </text>
    </comment>
    <comment ref="L368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68" authorId="0" shapeId="0">
      <text>
        <t>fires when: ifv-healer</t>
      </text>
    </comment>
    <comment ref="L369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69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L370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70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L371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71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L372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72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L37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73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L37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74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L37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75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L376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76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L37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77" authorId="0" shapeId="0">
      <text>
        <t>fires when: ifv-miss &amp;&amp; rank-elite &amp;&amp; !ra2_allies_upgrade_thunderboltmissiles</t>
      </text>
    </comment>
    <comment ref="L378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78" authorId="0" shapeId="0">
      <text>
        <t>fires when: ifv-miss &amp;&amp; !rank-elite &amp;&amp; !ra2_allies_upgrade_thunderboltmissiles</t>
      </text>
    </comment>
    <comment ref="L37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79" authorId="0" shapeId="0">
      <text>
        <t>fires when: ifv-miss &amp;&amp; rank-elite &amp;&amp; !ra2_allies_upgrade_thunderboltmissiles</t>
      </text>
    </comment>
    <comment ref="L38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80" authorId="0" shapeId="0">
      <text>
        <t>fires when: ifv-miss &amp;&amp; !rank-elite &amp;&amp; ra2_allies_upgrade_thunderboltmissiles</t>
      </text>
    </comment>
    <comment ref="L38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81" authorId="0" shapeId="0">
      <text>
        <t>fires when: ifv-miss &amp;&amp; rank-elite &amp;&amp; ra2_allies_upgrade_thunderboltmissiles</t>
      </text>
    </comment>
    <comment ref="L382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82" authorId="0" shapeId="0">
      <text>
        <t>fires when: ifv-miss &amp;&amp; !rank-elite &amp;&amp; ra2_allies_upgrade_thunderboltmissiles</t>
      </text>
    </comment>
    <comment ref="L38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83" authorId="0" shapeId="0">
      <text>
        <t>fires when: ifv-miss &amp;&amp; rank-elite &amp;&amp; ra2_allies_upgrade_thunderboltmissiles</t>
      </text>
    </comment>
    <comment ref="L384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84" authorId="0" shapeId="0">
      <text>
        <t>fires when: ifv-healer</t>
      </text>
    </comment>
    <comment ref="L385" authorId="0" shapeId="0">
      <text>
        <t>per-shot TOTAL across 1 main warhead(s).
raw warhead damages: 44000, 22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85" authorId="0" shapeId="0">
      <text>
        <t>fires when: ifv-ra1_allies_alliedsniper</t>
      </text>
    </comment>
    <comment ref="AB387" authorId="0" shapeId="0">
      <text>
        <t>fires when: !rank-elite</t>
      </text>
    </comment>
    <comment ref="AB388" authorId="0" shapeId="0">
      <text>
        <t>fires when: rank-elite</t>
      </text>
    </comment>
    <comment ref="L390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92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94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96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9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9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99" authorId="0" shapeId="0">
      <text>
        <t>fires when: ifv-mg</t>
      </text>
    </comment>
    <comment ref="L400" authorId="0" shapeId="0">
      <text>
        <t>per-shot TOTAL across 3 main warhead(s).
raw warhead damages: 2000, 2000,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00" authorId="0" shapeId="0">
      <text>
        <t>fires when: ifv-hmg</t>
      </text>
    </comment>
    <comment ref="L401" authorId="0" shapeId="0">
      <text>
        <t>per-shot TOTAL across 1 main warhead(s).
raw warhead damages: 2500,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01" authorId="0" shapeId="0">
      <text>
        <t>fires when: ifv-archer</t>
      </text>
    </comment>
    <comment ref="L402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02" authorId="0" shapeId="0">
      <text>
        <t>fires when: ifv-repair</t>
      </text>
    </comment>
    <comment ref="L403" authorId="0" shapeId="0">
      <text>
        <t>per-shot TOTAL across 1 main warhead(s).
raw warhead damages: 30000, 15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03" authorId="0" shapeId="0">
      <text>
        <t>fires when: ifv-lightsniper</t>
      </text>
    </comment>
    <comment ref="L404" authorId="0" shapeId="0">
      <text>
        <t>per-shot TOTAL across 1 main warhead(s).
raw warhead damages: 14000, 7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04" authorId="0" shapeId="0">
      <text>
        <t>fires when: ifv-hero</t>
      </text>
    </comment>
    <comment ref="L405" authorId="0" shapeId="0">
      <text>
        <t>per-shot TOTAL across 1 main warhead(s).
raw warhead damages: 40000,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05" authorId="0" shapeId="0">
      <text>
        <t>fires when: ifv-tesla</t>
      </text>
    </comment>
    <comment ref="L406" authorId="0" shapeId="0">
      <text>
        <t>per-shot TOTAL across 5 main warhead(s).
raw warhead damages: 80000, 4, 80000, 4, 1000, 80000, 4, 80000, 4, 80000,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06" authorId="0" shapeId="0">
      <text>
        <t>fires when: ifv-flak</t>
      </text>
    </comment>
    <comment ref="L407" authorId="0" shapeId="0">
      <text>
        <t>per-shot TOTAL across 3 main warhead(s).
raw warhead damages: 8000, 4, 1000,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07" authorId="0" shapeId="0">
      <text>
        <t>fires when: ifv-cannon</t>
      </text>
    </comment>
    <comment ref="AB408" authorId="0" shapeId="0">
      <text>
        <t>fires when: ifv-grenade</t>
      </text>
    </comment>
    <comment ref="L409" authorId="0" shapeId="0">
      <text>
        <t>per-shot TOTAL across 2 main warhead(s).
raw warhead damages: 3750, 2500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09" authorId="0" shapeId="0">
      <text>
        <t>fires when: ifv-plasma</t>
      </text>
    </comment>
    <comment ref="AB410" authorId="0" shapeId="0">
      <text>
        <t>fires when: ifv-litlaser</t>
      </text>
    </comment>
    <comment ref="L411" authorId="0" shapeId="0">
      <text>
        <t>per-shot TOTAL across 1 main warhead(s).
raw warhead damages: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11" authorId="0" shapeId="0">
      <text>
        <t>fires when: ifv-medlaser</t>
      </text>
    </comment>
    <comment ref="L412" authorId="0" shapeId="0">
      <text>
        <t>per-shot TOTAL across 1 main warhead(s).
raw warhead damages: 5000,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12" authorId="0" shapeId="0">
      <text>
        <t>fires when: ifv-greelaser</t>
      </text>
    </comment>
    <comment ref="L413" authorId="0" shapeId="0">
      <text>
        <t>per-shot TOTAL across 1 main warhead(s).
raw warhead damages: 4000,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13" authorId="0" shapeId="0">
      <text>
        <t>fires when: ifv-misslaser</t>
      </text>
    </comment>
    <comment ref="AB414" authorId="0" shapeId="0">
      <text>
        <t>fires when: ifv-fire</t>
      </text>
    </comment>
    <comment ref="AB415" authorId="0" shapeId="0">
      <text>
        <t>fires when: ifv-chem</t>
      </text>
    </comment>
    <comment ref="AB416" authorId="0" shapeId="0">
      <text>
        <t>fires when: ifv-thrax</t>
      </text>
    </comment>
    <comment ref="L41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17" authorId="0" shapeId="0">
      <text>
        <t>fires when: ifv-miss &amp;&amp; !rank-elite &amp;&amp; !ra2_allies_upgrade_thunderboltmissiles</t>
      </text>
    </comment>
    <comment ref="AB418" authorId="0" shapeId="0">
      <text>
        <t>fires when: ifv-chrono</t>
      </text>
    </comment>
    <comment ref="AB419" authorId="0" shapeId="0">
      <text>
        <t>fires when: ifv-chrono</t>
      </text>
    </comment>
    <comment ref="AB420" authorId="0" shapeId="0">
      <text>
        <t>fires when: ifv-demo</t>
      </text>
    </comment>
    <comment ref="AB421" authorId="0" shapeId="0">
      <text>
        <t>fires when: ifv-fremen</t>
      </text>
    </comment>
    <comment ref="L422" authorId="0" shapeId="0">
      <text>
        <t>per-shot TOTAL across 2 main warhead(s).
raw warhead damages: 4000,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22" authorId="0" shapeId="0">
      <text>
        <t>fires when: ifv-sonic</t>
      </text>
    </comment>
    <comment ref="L423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23" authorId="0" shapeId="0">
      <text>
        <t>fires when: ifv-healer</t>
      </text>
    </comment>
    <comment ref="L424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24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L425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25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L426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26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L427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27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L428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28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L42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29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L43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30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L43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31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L432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32" authorId="0" shapeId="0">
      <text>
        <t>fires when: ifv-miss &amp;&amp; rank-elite &amp;&amp; !ra2_allies_upgrade_thunderboltmissiles</t>
      </text>
    </comment>
    <comment ref="L43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33" authorId="0" shapeId="0">
      <text>
        <t>fires when: ifv-miss &amp;&amp; !rank-elite &amp;&amp; !ra2_allies_upgrade_thunderboltmissiles</t>
      </text>
    </comment>
    <comment ref="L43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34" authorId="0" shapeId="0">
      <text>
        <t>fires when: ifv-miss &amp;&amp; rank-elite &amp;&amp; !ra2_allies_upgrade_thunderboltmissiles</t>
      </text>
    </comment>
    <comment ref="L43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35" authorId="0" shapeId="0">
      <text>
        <t>fires when: ifv-miss &amp;&amp; !rank-elite &amp;&amp; ra2_allies_upgrade_thunderboltmissiles</t>
      </text>
    </comment>
    <comment ref="L436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36" authorId="0" shapeId="0">
      <text>
        <t>fires when: ifv-miss &amp;&amp; rank-elite &amp;&amp; ra2_allies_upgrade_thunderboltmissiles</t>
      </text>
    </comment>
    <comment ref="L43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37" authorId="0" shapeId="0">
      <text>
        <t>fires when: ifv-miss &amp;&amp; !rank-elite &amp;&amp; ra2_allies_upgrade_thunderboltmissiles</t>
      </text>
    </comment>
    <comment ref="L438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38" authorId="0" shapeId="0">
      <text>
        <t>fires when: ifv-miss &amp;&amp; rank-elite &amp;&amp; ra2_allies_upgrade_thunderboltmissiles</t>
      </text>
    </comment>
    <comment ref="L439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39" authorId="0" shapeId="0">
      <text>
        <t>fires when: ifv-healer</t>
      </text>
    </comment>
    <comment ref="L440" authorId="0" shapeId="0">
      <text>
        <t>per-shot TOTAL across 1 main warhead(s).
raw warhead damages: 44000, 22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40" authorId="0" shapeId="0">
      <text>
        <t>fires when: ifv-ra1_allies_alliedsniper</t>
      </text>
    </comment>
    <comment ref="L442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42" authorId="0" shapeId="0">
      <text>
        <t>fires when: !rank-elite</t>
      </text>
    </comment>
    <comment ref="L44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43" authorId="0" shapeId="0">
      <text>
        <t>fires when: rank-elite</t>
      </text>
    </comment>
    <comment ref="AB445" authorId="0" shapeId="0">
      <text>
        <t>fires when: !tkm_upgrade_cryorocketsupgrade &amp;&amp; !tkm_upgrade_twinrocketsupgrade &amp;&amp; !tkm_upgrade_incendiaryrocketsupgrade</t>
      </text>
    </comment>
    <comment ref="AB446" authorId="0" shapeId="0">
      <text>
        <t>fires when: tkm_upgrade_cryorocketsupgrade</t>
      </text>
    </comment>
    <comment ref="AB447" authorId="0" shapeId="0">
      <text>
        <t>fires when: tkm_upgrade_twinrocketsupgrade</t>
      </text>
    </comment>
    <comment ref="L448" authorId="0" shapeId="0">
      <text>
        <t>per-shot TOTAL across 2 main warhead(s).
raw warhead damages: 18000,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48" authorId="0" shapeId="0">
      <text>
        <t>fires when: tkm_upgrade_incendiaryrocketsupgrade</t>
      </text>
    </comment>
    <comment ref="AB450" authorId="0" shapeId="0">
      <text>
        <t>fires when: !tkm_upgrade_titanarmorpiercingbulletsupgrade</t>
      </text>
    </comment>
    <comment ref="L451" authorId="0" shapeId="0">
      <text>
        <t>per-shot TOTAL across 2 main warhead(s).
raw warhead damages: 6000,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51" authorId="0" shapeId="0">
      <text>
        <t>fires when: tkm_upgrade_titanarmorpiercingbulletsupgrade</t>
      </text>
    </comment>
    <comment ref="AB455" authorId="0" shapeId="0">
      <text>
        <t>fires when: !ordos_upgrade_lasercartridges</t>
      </text>
    </comment>
    <comment ref="L456" authorId="0" shapeId="0">
      <text>
        <t>per-shot TOTAL across 3 main warhead(s).
raw warhead damages: 2000, 1000,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56" authorId="0" shapeId="0">
      <text>
        <t>fires when: ordos_upgrade_lasercartridges</t>
      </text>
    </comment>
    <comment ref="L458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58" authorId="0" shapeId="0">
      <text>
        <t>fires when: !ordos_upgrade_lasercartridges</t>
      </text>
    </comment>
    <comment ref="L459" authorId="0" shapeId="0">
      <text>
        <t>per-shot TOTAL across 3 main warhead(s).
raw warhead damages: 2000, 1000,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59" authorId="0" shapeId="0">
      <text>
        <t>fires when: ordos_upgrade_lasercartridges</t>
      </text>
    </comment>
    <comment ref="L461" authorId="0" shapeId="0">
      <text>
        <t>per-shot TOTAL across 5 main warhead(s).
raw warhead damages: 8000, 8000, 1, 8000, 1, 8000, 4000, 1, 8000,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64" authorId="0" shapeId="0">
      <text>
        <t>per-shot TOTAL across 1 main warhead(s).
raw warhead damages: 20000,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68" authorId="0" shapeId="0">
      <text>
        <t>per-shot TOTAL across 3 main warhead(s).
raw warhead damages: 7777, 7, 7777, 7777, 7, 7777, 7777, 7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70" authorId="0" shapeId="0">
      <text>
        <t>per-shot TOTAL across 2 main warhead(s).
raw warhead damages: 10000, 10000,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70" authorId="0" shapeId="0">
      <text>
        <t>fires when: !japan_upgrade_advancedplasmaweapons</t>
      </text>
    </comment>
    <comment ref="L471" authorId="0" shapeId="0">
      <text>
        <t>per-shot TOTAL across 2 main warhead(s).
raw warhead damages: 10000, 10000,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71" authorId="0" shapeId="0">
      <text>
        <t>fires when: japan_upgrade_advancedplasmaweapons</t>
      </text>
    </comment>
    <comment ref="L472" authorId="0" shapeId="0">
      <text>
        <t>per-shot TOTAL across 2 main warhead(s).
raw warhead damages: 10000, 5000,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72" authorId="0" shapeId="0">
      <text>
        <t>fires when: japan_upgrade_advancedplasmaweapons</t>
      </text>
    </comment>
    <comment ref="L473" authorId="0" shapeId="0">
      <text>
        <t>per-shot TOTAL across 2 main warhead(s).
raw warhead damages: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73" authorId="0" shapeId="0">
      <text>
        <t>fires when: japan_upgrade_advancedplasmaweapons</t>
      </text>
    </comment>
    <comment ref="L480" authorId="0" shapeId="0">
      <text>
        <t>per-shot TOTAL across 1 main warhead(s).
raw warhead damages: 40000,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80" authorId="0" shapeId="0">
      <text>
        <t>fires when: !ra1_soviets_doctrine_teslaandexperimentaltech &amp;&amp; !ra1_soviets_upgrade_teslaarcing</t>
      </text>
    </comment>
    <comment ref="L481" authorId="0" shapeId="0">
      <text>
        <t>per-shot TOTAL across 1 main warhead(s).
raw warhead damages: 40000,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81" authorId="0" shapeId="0">
      <text>
        <t>fires when: ra1_soviets_doctrine_teslaandexperimentaltech &amp;&amp; !ra1_soviets_upgrade_teslaarcing</t>
      </text>
    </comment>
    <comment ref="L482" authorId="0" shapeId="0">
      <text>
        <t>per-shot TOTAL across 1 main warhead(s).
raw warhead damages: 40000,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82" authorId="0" shapeId="0">
      <text>
        <t>fires when: ra1_soviets_upgrade_teslaarcing</t>
      </text>
    </comment>
    <comment ref="L484" authorId="0" shapeId="0">
      <text>
        <t>per-shot TOTAL across 1 main warhead(s).
raw warhead damages: 44000,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86" authorId="0" shapeId="0">
      <text>
        <t>per-shot TOTAL across 2 main warhead(s).
raw warhead damages: 6000, 6000,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88" authorId="0" shapeId="0">
      <text>
        <t>per-shot TOTAL across 1 main warhead(s).
raw warhead damages: 44000,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9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90" authorId="0" shapeId="0">
      <text>
        <t>fires when: !ts_gdi_upgrade_sonicweaponry</t>
      </text>
    </comment>
    <comment ref="L491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91" authorId="0" shapeId="0">
      <text>
        <t>fires when: ts_gdi_upgrade_sonicweaponry</t>
      </text>
    </comment>
    <comment ref="AB493" authorId="0" shapeId="0">
      <text>
        <t>fires when: !ts_gdi_upgrade_sonicweaponry</t>
      </text>
    </comment>
    <comment ref="L494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94" authorId="0" shapeId="0">
      <text>
        <t>fires when: ts_gdi_upgrade_sonicweaponry</t>
      </text>
    </comment>
    <comment ref="AB496" authorId="0" shapeId="0">
      <text>
        <t>fires when: !forgotten_upgrade_chemicalweapons</t>
      </text>
    </comment>
    <comment ref="L497" authorId="0" shapeId="0">
      <text>
        <t>per-shot TOTAL across 2 main warhead(s).
raw warhead damages: 15000, 7, 30000, 15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97" authorId="0" shapeId="0">
      <text>
        <t>fires when: forgotten_upgrade_chemicalweapons</t>
      </text>
    </comment>
    <comment ref="AB499" authorId="0" shapeId="0">
      <text>
        <t>fires when: !forgotten_upgrade_chemicalweapons</t>
      </text>
    </comment>
    <comment ref="L500" authorId="0" shapeId="0">
      <text>
        <t>per-shot TOTAL across 2 main warhead(s).
raw warhead damages: 20000, 1, 40000, 20,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00" authorId="0" shapeId="0">
      <text>
        <t>fires when: forgotten_upgrade_chemicalweapons</t>
      </text>
    </comment>
    <comment ref="AB502" authorId="0" shapeId="0">
      <text>
        <t>fires when: !rank-elite</t>
      </text>
    </comment>
    <comment ref="AB503" authorId="0" shapeId="0">
      <text>
        <t>fires when: rank-elite</t>
      </text>
    </comment>
    <comment ref="L504" authorId="0" shapeId="0">
      <text>
        <t>per-shot TOTAL across 3 main warhead(s).
raw warhead damages: 20000, 20000, 20000,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04" authorId="0" shapeId="0">
      <text>
        <t>fires when: !rank-elite</t>
      </text>
    </comment>
    <comment ref="L505" authorId="0" shapeId="0">
      <text>
        <t>per-shot TOTAL across 3 main warhead(s).
raw warhead damages: 20000, 20000, 20000,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05" authorId="0" shapeId="0">
      <text>
        <t>fires when: rank-elite</t>
      </text>
    </comment>
    <comment ref="L507" authorId="0" shapeId="0">
      <text>
        <t>per-shot TOTAL across 1 main warhead(s).
raw warhead damages: 12000,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07" authorId="0" shapeId="0">
      <text>
        <t>fires when: (!ra2_soviets_upgrade_teslaoverload &amp;&amp; !rank-elite)</t>
      </text>
    </comment>
    <comment ref="L508" authorId="0" shapeId="0">
      <text>
        <t>per-shot TOTAL across 1 main warhead(s).
raw warhead damages: 12000,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08" authorId="0" shapeId="0">
      <text>
        <t>fires when: (ra2_soviets_upgrade_teslaoverload &amp;&amp; !rank-elite) || (!ra2_soviets_upgrade_teslaoverload &amp;&amp; rank-elite)</t>
      </text>
    </comment>
    <comment ref="L509" authorId="0" shapeId="0">
      <text>
        <t>per-shot TOTAL across 1 main warhead(s).
raw warhead damages: 12000,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09" authorId="0" shapeId="0">
      <text>
        <t>fires when: (ra2_soviets_upgrade_teslaoverload &amp;&amp; rank-elite)</t>
      </text>
    </comment>
    <comment ref="L511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11" authorId="0" shapeId="0">
      <text>
        <t>fires when: !rank-elite &amp;&amp; !yuri_upgrade_supermagnets</t>
      </text>
    </comment>
    <comment ref="L512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12" authorId="0" shapeId="0">
      <text>
        <t>fires when: !rank-elite &amp;&amp; yuri_upgrade_supermagnets</t>
      </text>
    </comment>
    <comment ref="L513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13" authorId="0" shapeId="0">
      <text>
        <t>fires when: rank-elite &amp;&amp; !yuri_upgrade_supermagnets</t>
      </text>
    </comment>
    <comment ref="L514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14" authorId="0" shapeId="0">
      <text>
        <t>fires when: rank-elite &amp;&amp; yuri_upgrade_supermagnets</t>
      </text>
    </comment>
    <comment ref="L516" authorId="0" shapeId="0">
      <text>
        <t>per-shot TOTAL across 1 main warhead(s).
raw warhead damages: 36000,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16" authorId="0" shapeId="0">
      <text>
        <t>fires when: !rank-elite</t>
      </text>
    </comment>
    <comment ref="L517" authorId="0" shapeId="0">
      <text>
        <t>per-shot TOTAL across 1 main warhead(s).
raw warhead damages: 48000,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17" authorId="0" shapeId="0">
      <text>
        <t>fires when: rank-elite</t>
      </text>
    </comment>
    <comment ref="L519" authorId="0" shapeId="0">
      <text>
        <t>per-shot TOTAL across 1 main warhead(s).
raw warhead damages: 24000,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19" authorId="0" shapeId="0">
      <text>
        <t>fires when: !rank-elite</t>
      </text>
    </comment>
    <comment ref="L520" authorId="0" shapeId="0">
      <text>
        <t>per-shot TOTAL across 1 main warhead(s).
raw warhead damages: 36000,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20" authorId="0" shapeId="0">
      <text>
        <t>fires when: rank-elite</t>
      </text>
    </comment>
    <comment ref="AB523" authorId="0" shapeId="0">
      <text>
        <t>fires when: rank-elite</t>
      </text>
    </comment>
    <comment ref="L525" authorId="0" shapeId="0">
      <text>
        <t>per-shot TOTAL across 2 main warhead(s).
raw warhead damages: 14000, 14000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25" authorId="0" shapeId="0">
      <text>
        <t>fires when: !rank-elite</t>
      </text>
    </comment>
    <comment ref="L526" authorId="0" shapeId="0">
      <text>
        <t>per-shot TOTAL across 2 main warhead(s).
raw warhead damages: 14000, 14000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26" authorId="0" shapeId="0">
      <text>
        <t>fires when: rank-elite</t>
      </text>
    </comment>
    <comment ref="L528" authorId="0" shapeId="0">
      <text>
        <t>per-shot TOTAL across 3 main warhead(s).
raw warhead damages: 20000, 20000,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29" authorId="0" shapeId="0">
      <text>
        <t>fires when: !rank-elite</t>
      </text>
    </comment>
    <comment ref="AB530" authorId="0" shapeId="0">
      <text>
        <t>fires when: rank-elite</t>
      </text>
    </comment>
    <comment ref="L534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34" authorId="0" shapeId="0">
      <text>
        <t>fires when: !rank-elite</t>
      </text>
    </comment>
    <comment ref="L535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35" authorId="0" shapeId="0">
      <text>
        <t>fires when: rank-elite</t>
      </text>
    </comment>
    <comment ref="L537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37" authorId="0" shapeId="0">
      <text>
        <t>fires when: !rank-elite</t>
      </text>
    </comment>
    <comment ref="L538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38" authorId="0" shapeId="0">
      <text>
        <t>fires when: rank-elite</t>
      </text>
    </comment>
    <comment ref="L542" authorId="0" shapeId="0">
      <text>
        <t>per-shot TOTAL across 1 main warhead(s).
raw warhead damages: 50000, 25000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45" authorId="0" shapeId="0">
      <text>
        <t>per-shot TOTAL across 4 main warhead(s).
raw warhead damages: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47" authorId="0" shapeId="0">
      <text>
        <t>per-shot TOTAL across 2 main warhead(s).
raw warhead damages: 12000,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47" authorId="0" shapeId="0">
      <text>
        <t>fires when: !rank-elite</t>
      </text>
    </comment>
    <comment ref="L548" authorId="0" shapeId="0">
      <text>
        <t>per-shot TOTAL across 2 main warhead(s).
raw warhead damages: 12000,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48" authorId="0" shapeId="0">
      <text>
        <t>fires when: rank-elite</t>
      </text>
    </comment>
    <comment ref="L553" authorId="0" shapeId="0">
      <text>
        <t>per-shot TOTAL across 4 main warhead(s).
raw warhead damages: 50000, 50000, 25, 50000, 25000, 25, 50000, 25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54" authorId="0" shapeId="0">
      <text>
        <t>fires when: !protoss_upgrade_reavercapacity</t>
      </text>
    </comment>
    <comment ref="AB556" authorId="0" shapeId="0">
      <text>
        <t>fires when: !deployed</t>
      </text>
    </comment>
    <comment ref="AB557" authorId="0" shapeId="0">
      <text>
        <t>fires when: deployed || undeployed</t>
      </text>
    </comment>
    <comment ref="L56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6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66" authorId="0" shapeId="0">
      <text>
        <t>per-shot TOTAL across 6 main warhead(s).
raw warhead damages: 2000, 1, 2000, 1, 2000, 1000,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67" authorId="0" shapeId="0">
      <text>
        <t>per-shot TOTAL across 6 main warhead(s).
raw warhead damages: 2000, 1, 2000, 1, 2000, 1000,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7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72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74" authorId="0" shapeId="0">
      <text>
        <t>per-shot TOTAL across 6 main warhead(s).
raw warhead damages: 2000, 1, 2000, 1, 2000, 1000, 1, 2000, 1000,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74" authorId="0" shapeId="0">
      <text>
        <t>fires when: !japan_upgrade_advancedplasmaweapons</t>
      </text>
    </comment>
    <comment ref="L575" authorId="0" shapeId="0">
      <text>
        <t>per-shot TOTAL across 13 main warhead(s).
raw warhead damages: 2000, 1000, 1, 2000, 1, 2000, 1, 2000, 1, 2000, 1, 2000, 1000, 1, 2000, 1000, 1, 2000, 1, 2000, 1,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75" authorId="0" shapeId="0">
      <text>
        <t>fires when: japan_upgrade_advancedplasmaweapons</t>
      </text>
    </comment>
    <comment ref="L576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76" authorId="0" shapeId="0">
      <text>
        <t>fires when: !japan_upgrade_waveforcebullets</t>
      </text>
    </comment>
    <comment ref="L577" authorId="0" shapeId="0">
      <text>
        <t>per-shot TOTAL across 3 main warhead(s).
raw warhead damages: 2000, 1000,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77" authorId="0" shapeId="0">
      <text>
        <t>fires when: japan_upgrade_waveforcebullets</t>
      </text>
    </comment>
    <comment ref="L578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78" authorId="0" shapeId="0">
      <text>
        <t>fires when: !japan_upgrade_waveforcebullets</t>
      </text>
    </comment>
    <comment ref="L579" authorId="0" shapeId="0">
      <text>
        <t>per-shot TOTAL across 3 main warhead(s).
raw warhead damages: 2000, 1000,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79" authorId="0" shapeId="0">
      <text>
        <t>fires when: japan_upgrade_waveforcebullets</t>
      </text>
    </comment>
    <comment ref="L582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8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84" authorId="0" shapeId="0">
      <text>
        <t>per-shot TOTAL across 2 main warhead(s).
raw warhead damages: 2000,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84" authorId="0" shapeId="0">
      <text>
        <t>fires when: ra1_soviets_doctrine_teslaandexperimentaltech &amp;&amp; !ra1_soviets_upgrade_teslaarcing</t>
      </text>
    </comment>
    <comment ref="L585" authorId="0" shapeId="0">
      <text>
        <t>per-shot TOTAL across 2 main warhead(s).
raw warhead damages: 2000,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85" authorId="0" shapeId="0">
      <text>
        <t>fires when: ra1_soviets_upgrade_teslaarcing</t>
      </text>
    </comment>
    <comment ref="L586" authorId="0" shapeId="0">
      <text>
        <t>per-shot TOTAL across 2 main warhead(s).
raw warhead damages: 2000,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86" authorId="0" shapeId="0">
      <text>
        <t>fires when: ra1_soviets_doctrine_teslaandexperimentaltech &amp;&amp; !ra1_soviets_upgrade_teslaarcing</t>
      </text>
    </comment>
    <comment ref="L587" authorId="0" shapeId="0">
      <text>
        <t>per-shot TOTAL across 2 main warhead(s).
raw warhead damages: 2000,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87" authorId="0" shapeId="0">
      <text>
        <t>fires when: ra1_soviets_upgrade_teslaarcing</t>
      </text>
    </comment>
    <comment ref="L592" authorId="0" shapeId="0">
      <text>
        <t>per-shot TOTAL across 4 main warhead(s).
raw warhead damages: 4000,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92" authorId="0" shapeId="0">
      <text>
        <t>fires when: !ra1_allies_upgrade_cryomissiles</t>
      </text>
    </comment>
    <comment ref="L593" authorId="0" shapeId="0">
      <text>
        <t>per-shot TOTAL across 4 main warhead(s).
raw warhead damages: 4000,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93" authorId="0" shapeId="0">
      <text>
        <t>fires when: ra1_allies_upgrade_cryomissiles</t>
      </text>
    </comment>
    <comment ref="L595" authorId="0" shapeId="0">
      <text>
        <t>per-shot TOTAL across 8 main warhead(s).
raw warhead damages: 4000, 2000, 2, 4000, 2000, 2, 4000, 2, 4000, 2, 4000, 2, 4000, 2, 1000, 4000,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95" authorId="0" shapeId="0">
      <text>
        <t>fires when: !ra1_allies_upgrade_cryomissiles</t>
      </text>
    </comment>
    <comment ref="L596" authorId="0" shapeId="0">
      <text>
        <t>per-shot TOTAL across 8 main warhead(s).
raw warhead damages: 4000, 2000, 2, 4000, 2000, 2, 4000, 2, 4000, 2, 4000, 2, 4000, 2, 1000, 4000,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96" authorId="0" shapeId="0">
      <text>
        <t>fires when: ra1_allies_upgrade_cryomissiles</t>
      </text>
    </comment>
    <comment ref="L599" authorId="0" shapeId="0">
      <text>
        <t>per-shot TOTAL across 4 main warhead(s).
raw warhead damages: 8000,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00" authorId="0" shapeId="0">
      <text>
        <t>per-shot TOTAL across 4 main warhead(s).
raw warhead damages: 8000,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04" authorId="0" shapeId="0">
      <text>
        <t>per-shot TOTAL across 4 main warhead(s).
raw warhead damages: 12000, 12000, 12000,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05" authorId="0" shapeId="0">
      <text>
        <t>per-shot TOTAL across 4 main warhead(s).
raw warhead damages: 12000, 12000, 12000,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08" authorId="0" shapeId="0">
      <text>
        <t>per-shot TOTAL across 1 main warhead(s).
raw warhead damages: 10000,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09" authorId="0" shapeId="0">
      <text>
        <t>per-shot TOTAL across 4 main warhead(s).
raw warhead damages: 12000, 12000, 12000,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14" authorId="0" shapeId="0">
      <text>
        <t>per-shot TOTAL across 2 main warhead(s).
raw warhead damages: 8000, 4000,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14" authorId="0" shapeId="0">
      <text>
        <t>fires when: !ts_nod_upgrade_tiberiumcoremissiles</t>
      </text>
    </comment>
    <comment ref="L615" authorId="0" shapeId="0">
      <text>
        <t>per-shot TOTAL across 3 main warhead(s).
raw warhead damages: 8000, 8000, 4000,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15" authorId="0" shapeId="0">
      <text>
        <t>fires when: ts_nod_upgrade_tiberiumcoremissiles</t>
      </text>
    </comment>
    <comment ref="L61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2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23" authorId="0" shapeId="0">
      <text>
        <t>per-shot TOTAL across 2 main warhead(s).
raw warhead damages: 8000, 4000,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24" authorId="0" shapeId="0">
      <text>
        <t>per-shot TOTAL across 3 main warhead(s).
raw warhead damages: 8000, 8000, 4000,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32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36" authorId="0" shapeId="0">
      <text>
        <t>fires when: !rank-elite</t>
      </text>
    </comment>
    <comment ref="L637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37" authorId="0" shapeId="0">
      <text>
        <t>fires when: rank-elite</t>
      </text>
    </comment>
    <comment ref="L640" authorId="0" shapeId="0">
      <text>
        <t>per-shot TOTAL across 4 main warhead(s).
raw warhead damages: 4000, 1000, 4000,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40" authorId="0" shapeId="0">
      <text>
        <t>fires when: !rank-elite &amp;&amp; !steelconsortium_upgrade_quantumweaponpower</t>
      </text>
    </comment>
    <comment ref="L641" authorId="0" shapeId="0">
      <text>
        <t>per-shot TOTAL across 4 main warhead(s).
raw warhead damages: 4000, 1000, 4000,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41" authorId="0" shapeId="0">
      <text>
        <t>fires when: rank-elite &amp;&amp; !steelconsortium_upgrade_quantumweaponpower</t>
      </text>
    </comment>
    <comment ref="L642" authorId="0" shapeId="0">
      <text>
        <t>per-shot TOTAL across 10 main warhead(s).
raw warhead damages: 2000, 1000, 1, 2000, 1, 2000, 1, 2000, 1000, 1, 2000, 1, 2000, 1000, 1, 2000, 1000,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42" authorId="0" shapeId="0">
      <text>
        <t>fires when: !rank-elite &amp;&amp; steelconsortium_upgrade_quantumweaponpower</t>
      </text>
    </comment>
    <comment ref="L643" authorId="0" shapeId="0">
      <text>
        <t>per-shot TOTAL across 10 main warhead(s).
raw warhead damages: 2000, 1000, 1, 2000, 1, 2000, 1, 2000, 1000, 1, 2000, 1, 2000, 1000, 1, 2000, 1000,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43" authorId="0" shapeId="0">
      <text>
        <t>fires when: rank-elite &amp;&amp; steelconsortium_upgrade_quantumweaponpower</t>
      </text>
    </comment>
    <comment ref="L647" authorId="0" shapeId="0">
      <text>
        <t>per-shot TOTAL across 4 main warhead(s).
raw warhead damages: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47" authorId="0" shapeId="0">
      <text>
        <t>fires when: !rank-elite</t>
      </text>
    </comment>
    <comment ref="L648" authorId="0" shapeId="0">
      <text>
        <t>per-shot TOTAL across 4 main warhead(s).
raw warhead damages: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48" authorId="0" shapeId="0">
      <text>
        <t>fires when: rank-elite</t>
      </text>
    </comment>
    <comment ref="L649" authorId="0" shapeId="0">
      <text>
        <t>per-shot TOTAL across 4 main warhead(s).
raw warhead damages: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49" authorId="0" shapeId="0">
      <text>
        <t>fires when: !rank-elite</t>
      </text>
    </comment>
    <comment ref="L650" authorId="0" shapeId="0">
      <text>
        <t>per-shot TOTAL across 4 main warhead(s).
raw warhead damages: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50" authorId="0" shapeId="0">
      <text>
        <t>fires when: rank-elite</t>
      </text>
    </comment>
    <comment ref="L65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51" authorId="0" shapeId="0">
      <text>
        <t>fires when: latinsyndicate_upgrade_yuristolentechchainguns &amp;&amp; !rank-elite</t>
      </text>
    </comment>
    <comment ref="L652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52" authorId="0" shapeId="0">
      <text>
        <t>fires when: latinsyndicate_upgrade_yuristolentechchainguns &amp;&amp; rank-elite</t>
      </text>
    </comment>
    <comment ref="L65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53" authorId="0" shapeId="0">
      <text>
        <t>fires when: latinsyndicate_upgrade_yuristolentechchainguns &amp;&amp; !rank-elite</t>
      </text>
    </comment>
    <comment ref="L65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54" authorId="0" shapeId="0">
      <text>
        <t>fires when: latinsyndicate_upgrade_yuristolentechchainguns &amp;&amp; rank-elite</t>
      </text>
    </comment>
    <comment ref="L655" authorId="0" shapeId="0">
      <text>
        <t>per-shot TOTAL across 4 main warhead(s).
raw warhead damages: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55" authorId="0" shapeId="0">
      <text>
        <t>fires when: latinsyndicate_doctrine_cartelrockets &amp;&amp; !rank-elite</t>
      </text>
    </comment>
    <comment ref="L656" authorId="0" shapeId="0">
      <text>
        <t>per-shot TOTAL across 4 main warhead(s).
raw warhead damages: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56" authorId="0" shapeId="0">
      <text>
        <t>fires when: latinsyndicate_doctrine_cartelrockets &amp;&amp; rank-elite</t>
      </text>
    </comment>
    <comment ref="L657" authorId="0" shapeId="0">
      <text>
        <t>per-shot TOTAL across 4 main warhead(s).
raw warhead damages: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57" authorId="0" shapeId="0">
      <text>
        <t>fires when: latinsyndicate_doctrine_cartelrockets &amp;&amp; !rank-elite</t>
      </text>
    </comment>
    <comment ref="L658" authorId="0" shapeId="0">
      <text>
        <t>per-shot TOTAL across 4 main warhead(s).
raw warhead damages: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58" authorId="0" shapeId="0">
      <text>
        <t>fires when: latinsyndicate_doctrine_cartelrockets &amp;&amp; rank-elite</t>
      </text>
    </comment>
    <comment ref="L66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60" authorId="0" shapeId="0">
      <text>
        <t>fires when: !rank-elite</t>
      </text>
    </comment>
    <comment ref="L66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61" authorId="0" shapeId="0">
      <text>
        <t>fires when: rank-elite</t>
      </text>
    </comment>
    <comment ref="L663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63" authorId="0" shapeId="0">
      <text>
        <t>fires when: !rank-elite &amp;&amp; !latinsyndicate_upgrade_yuristolentechchainguns</t>
      </text>
    </comment>
    <comment ref="L664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64" authorId="0" shapeId="0">
      <text>
        <t>fires when: rank-elite &amp;&amp; !latinsyndicate_upgrade_yuristolentechchainguns</t>
      </text>
    </comment>
    <comment ref="L665" authorId="0" shapeId="0">
      <text>
        <t>per-shot TOTAL across 4 main warhead(s).
raw warhead damages: 2000,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65" authorId="0" shapeId="0">
      <text>
        <t>fires when: !rank-elite &amp;&amp; latinsyndicate_upgrade_yuristolentechchainguns</t>
      </text>
    </comment>
    <comment ref="L666" authorId="0" shapeId="0">
      <text>
        <t>per-shot TOTAL across 4 main warhead(s).
raw warhead damages: 2000,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66" authorId="0" shapeId="0">
      <text>
        <t>fires when: rank-elite &amp;&amp; latinsyndicate_upgrade_yuristolentechchainguns</t>
      </text>
    </comment>
    <comment ref="L667" authorId="0" shapeId="0">
      <text>
        <t>per-shot TOTAL across 4 main warhead(s).
raw warhead damages: 10000, 10000,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67" authorId="0" shapeId="0">
      <text>
        <t>fires when: !rank-elite</t>
      </text>
    </comment>
    <comment ref="L668" authorId="0" shapeId="0">
      <text>
        <t>per-shot TOTAL across 4 main warhead(s).
raw warhead damages: 10000, 10000,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68" authorId="0" shapeId="0">
      <text>
        <t>fires when: rank-elite</t>
      </text>
    </comment>
    <comment ref="L671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71" authorId="0" shapeId="0">
      <text>
        <t>fires when: !rank-elite</t>
      </text>
    </comment>
    <comment ref="L672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72" authorId="0" shapeId="0">
      <text>
        <t>fires when: !rank-elite</t>
      </text>
    </comment>
    <comment ref="L674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76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77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80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84" authorId="0" shapeId="0">
      <text>
        <t>per-shot TOTAL across 4 main warhead(s).
raw warhead damages: 8000, 4, 8000, 4000, 4, 8000,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85" authorId="0" shapeId="0">
      <text>
        <t>per-shot TOTAL across 4 main warhead(s).
raw warhead damages: 8000, 4, 8000, 4000, 4, 8000,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87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87" authorId="0" shapeId="0">
      <text>
        <t>fires when: !schwarzermond_upgrade_crystallens &amp;&amp; !schwarzermond_upgrade_amplifiedlens</t>
      </text>
    </comment>
    <comment ref="L688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88" authorId="0" shapeId="0">
      <text>
        <t>fires when: !schwarzermond_upgrade_crystallens &amp;&amp; !schwarzermond_upgrade_amplifiedlens</t>
      </text>
    </comment>
    <comment ref="L689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89" authorId="0" shapeId="0">
      <text>
        <t>fires when: schwarzermond_upgrade_crystallens &amp;&amp; !schwarzermond_upgrade_amplifiedlens</t>
      </text>
    </comment>
    <comment ref="L690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90" authorId="0" shapeId="0">
      <text>
        <t>fires when: schwarzermond_upgrade_crystallens &amp;&amp; !schwarzermond_upgrade_amplifiedlens</t>
      </text>
    </comment>
    <comment ref="L691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91" authorId="0" shapeId="0">
      <text>
        <t>fires when: schwarzermond_upgrade_amplifiedlens</t>
      </text>
    </comment>
    <comment ref="L692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92" authorId="0" shapeId="0">
      <text>
        <t>fires when: schwarzermond_upgrade_amplifiedlens</t>
      </text>
    </comment>
    <comment ref="L694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94" authorId="0" shapeId="0">
      <text>
        <t>fires when: !schwarzermond_upgrade_crystallens &amp;&amp; !schwarzermond_upgrade_amplifiedlens</t>
      </text>
    </comment>
    <comment ref="L695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95" authorId="0" shapeId="0">
      <text>
        <t>fires when: !schwarzermond_upgrade_crystallens &amp;&amp; !schwarzermond_upgrade_amplifiedlens</t>
      </text>
    </comment>
    <comment ref="L696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96" authorId="0" shapeId="0">
      <text>
        <t>fires when: schwarzermond_upgrade_crystallens &amp;&amp; !schwarzermond_upgrade_amplifiedlens</t>
      </text>
    </comment>
    <comment ref="L697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97" authorId="0" shapeId="0">
      <text>
        <t>fires when: schwarzermond_upgrade_crystallens &amp;&amp; !schwarzermond_upgrade_amplifiedlens</t>
      </text>
    </comment>
    <comment ref="L698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98" authorId="0" shapeId="0">
      <text>
        <t>fires when: schwarzermond_upgrade_amplifiedlens</t>
      </text>
    </comment>
    <comment ref="L699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99" authorId="0" shapeId="0">
      <text>
        <t>fires when: schwarzermond_upgrade_amplifiedlens</t>
      </text>
    </comment>
    <comment ref="AB704" authorId="0" shapeId="0">
      <text>
        <t>fires when: rank-elite</t>
      </text>
    </comment>
    <comment ref="L705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07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0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10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10" authorId="0" shapeId="0">
      <text>
        <t>fires when: inwater</t>
      </text>
    </comment>
    <comment ref="L712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1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16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20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2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2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26" authorId="0" shapeId="0">
      <text>
        <t>per-shot TOTAL across 3 main warhead(s).
raw warhead damages: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28" authorId="0" shapeId="0">
      <text>
        <t>per-shot TOTAL across 5 main warhead(s).
raw warhead damages: 10000, 10000, 10000, 10000, 5, 10000, 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29" authorId="0" shapeId="0">
      <text>
        <t>per-shot TOTAL across 3 main warhead(s).
raw warhead damages: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30" authorId="0" shapeId="0">
      <text>
        <t>per-shot TOTAL across 3 main warhead(s).
raw warhead damages: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3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34" authorId="0" shapeId="0">
      <text>
        <t>fires when: !ixian_upgrade_tungstenneedleguns</t>
      </text>
    </comment>
    <comment ref="L735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35" authorId="0" shapeId="0">
      <text>
        <t>fires when: ixian_upgrade_tungstenneedleguns</t>
      </text>
    </comment>
    <comment ref="L743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45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46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66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71" authorId="0" shapeId="0">
      <text>
        <t>per-shot TOTAL across 6 main warhead(s).
raw warhead damages: 2000, 2000, 2000, 2000, 2000, 1000, 2000, 1000,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71" authorId="0" shapeId="0">
      <text>
        <t>fires when: !rank-elite</t>
      </text>
    </comment>
    <comment ref="L772" authorId="0" shapeId="0">
      <text>
        <t>per-shot TOTAL across 6 main warhead(s).
raw warhead damages: 2000, 2000, 2000, 2000, 2000, 1000, 2000, 1000,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72" authorId="0" shapeId="0">
      <text>
        <t>fires when: rank-elite</t>
      </text>
    </comment>
    <comment ref="L784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91" authorId="0" shapeId="0">
      <text>
        <t>per-shot TOTAL across 2 main warhead(s).
raw warhead damages: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91" authorId="0" shapeId="0">
      <text>
        <t>fires when: !td_nod_upgrade_blackmarketupgrades</t>
      </text>
    </comment>
    <comment ref="L792" authorId="0" shapeId="0">
      <text>
        <t>per-shot TOTAL across 6 main warhead(s).
raw warhead damages: 6000, 3000, 3, 6000, 3000, 3, 6000, 3, 6000, 3,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92" authorId="0" shapeId="0">
      <text>
        <t>fires when: td_nod_upgrade_blackmarketupgrades</t>
      </text>
    </comment>
    <comment ref="L794" authorId="0" shapeId="0">
      <text>
        <t>per-shot TOTAL across 4 main warhead(s).
raw warhead damages: 30000, 15, 30000, 15, 30000, 15, 30000, 15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96" authorId="0" shapeId="0">
      <text>
        <t>per-shot TOTAL across 2 main warhead(s).
raw warhead damages: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96" authorId="0" shapeId="0">
      <text>
        <t>fires when: !td_nod_upgrade_blackmarketupgrades</t>
      </text>
    </comment>
    <comment ref="L797" authorId="0" shapeId="0">
      <text>
        <t>per-shot TOTAL across 8 main warhead(s).
raw warhead damages: 4000, 2, 4000, 2, 4000, 2, 4000, 2, 4000, 2, 4000, 2,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97" authorId="0" shapeId="0">
      <text>
        <t>fires when: td_nod_upgrade_blackmarketupgrades</t>
      </text>
    </comment>
    <comment ref="L799" authorId="0" shapeId="0">
      <text>
        <t>per-shot TOTAL across 4 main warhead(s).
raw warhead damages: 10000, 5000, 5, 10000, 5,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00" authorId="0" shapeId="0">
      <text>
        <t>per-shot TOTAL across 4 main warhead(s).
raw warhead damages: 10000, 5000, 5, 10000, 5,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00" authorId="0" shapeId="0">
      <text>
        <t>fires when: japan_upgrade_energizedarrows</t>
      </text>
    </comment>
    <comment ref="L802" authorId="0" shapeId="0">
      <text>
        <t>per-shot TOTAL across 1 main warhead(s).
raw warhead damages: 300000,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02" authorId="0" shapeId="0">
      <text>
        <t>fires when: !ra1_soviets_upgrade_thermonuclearrockets</t>
      </text>
    </comment>
    <comment ref="L803" authorId="0" shapeId="0">
      <text>
        <t>per-shot TOTAL across 1 main warhead(s).
raw warhead damages: 300000,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03" authorId="0" shapeId="0">
      <text>
        <t>fires when: ra1_soviets_upgrade_thermonuclearrockets</t>
      </text>
    </comment>
    <comment ref="L805" authorId="0" shapeId="0">
      <text>
        <t>per-shot TOTAL across 2 main warhead(s).
raw warhead damages: 12000,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05" authorId="0" shapeId="0">
      <text>
        <t>fires when: !ra1_soviets_upgrade_scorchedearth</t>
      </text>
    </comment>
    <comment ref="L806" authorId="0" shapeId="0">
      <text>
        <t>per-shot TOTAL across 3 main warhead(s).
raw warhead damages: 8000, 4, 8000, 4000,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06" authorId="0" shapeId="0">
      <text>
        <t>fires when: ra1_soviets_upgrade_scorchedearth</t>
      </text>
    </comment>
    <comment ref="L808" authorId="0" shapeId="0">
      <text>
        <t>per-shot TOTAL across 2 main warhead(s).
raw warhead damages: 60000, 60000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08" authorId="0" shapeId="0">
      <text>
        <t>fires when: !ra1_soviets_upgrade_highexplosiverockets &amp;&amp; !ra1_soviets_upgrade_teslarockets</t>
      </text>
    </comment>
    <comment ref="L809" authorId="0" shapeId="0">
      <text>
        <t>per-shot TOTAL across 5 main warhead(s).
raw warhead damages: 40000, 60000, 60000, 40000, 20, 40000, 20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09" authorId="0" shapeId="0">
      <text>
        <t>fires when: ra1_soviets_upgrade_highexplosiverockets</t>
      </text>
    </comment>
    <comment ref="L810" authorId="0" shapeId="0">
      <text>
        <t>per-shot TOTAL across 5 main warhead(s).
raw warhead damages: 30000, 15000, 60000, 60000, 30000, 15, 30000, 15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10" authorId="0" shapeId="0">
      <text>
        <t>fires when: ra1_soviets_upgrade_teslarockets</t>
      </text>
    </comment>
    <comment ref="L812" authorId="0" shapeId="0">
      <text>
        <t>per-shot TOTAL across 3 main warhead(s).
raw warhead damages: 10000, 5, 10000, 5000, 5, 10000, 5000,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12" authorId="0" shapeId="0">
      <text>
        <t>fires when: !ra1_allies_upgrade_cryomissiles</t>
      </text>
    </comment>
    <comment ref="L813" authorId="0" shapeId="0">
      <text>
        <t>per-shot TOTAL across 3 main warhead(s).
raw warhead damages: 10000, 5, 10000, 5000, 5, 10000, 5000,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13" authorId="0" shapeId="0">
      <text>
        <t>fires when: ra1_allies_upgrade_cryomissiles</t>
      </text>
    </comment>
    <comment ref="L815" authorId="0" shapeId="0">
      <text>
        <t>per-shot TOTAL across 4 main warhead(s).
raw warhead damages: 42000, 21000, 21, 42000, 21000, 21, 42000, 21, 42000, 21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15" authorId="0" shapeId="0">
      <text>
        <t>fires when: !cabal_upgrade_neutronnuclearcatalyst</t>
      </text>
    </comment>
    <comment ref="L816" authorId="0" shapeId="0">
      <text>
        <t>per-shot TOTAL across 8 main warhead(s).
raw warhead damages: 42000, 21000, 21, 42000, 21000, 21, 42000, 21, 42000, 21, 42000, 21, 42000, 1000, 21, 42000, 21, 888, 42000, 21,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16" authorId="0" shapeId="0">
      <text>
        <t>fires when: cabal_upgrade_neutronnuclearcatalyst</t>
      </text>
    </comment>
    <comment ref="AB820" authorId="0" shapeId="0">
      <text>
        <t>fires when: !rank-elite</t>
      </text>
    </comment>
    <comment ref="AB821" authorId="0" shapeId="0">
      <text>
        <t>fires when: rank-elite</t>
      </text>
    </comment>
    <comment ref="L823" authorId="0" shapeId="0">
      <text>
        <t>per-shot TOTAL across 6 main warhead(s).
raw warhead damages: 4000, 2, 4000, 2, 4000, 2, 4000, 2, 4000, 2000,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23" authorId="0" shapeId="0">
      <text>
        <t>fires when: !rank-elite</t>
      </text>
    </comment>
    <comment ref="L824" authorId="0" shapeId="0">
      <text>
        <t>per-shot TOTAL across 6 main warhead(s).
raw warhead damages: 4000, 2, 4000, 2, 4000, 2, 4000, 2, 4000, 2000,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24" authorId="0" shapeId="0">
      <text>
        <t>fires when: rank-elite</t>
      </text>
    </comment>
    <comment ref="L826" authorId="0" shapeId="0">
      <text>
        <t>per-shot TOTAL across 4 main warhead(s).
raw warhead damages: 2000, 1, 2000, 1000, 1,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26" authorId="0" shapeId="0">
      <text>
        <t>fires when: !rank-elite</t>
      </text>
    </comment>
    <comment ref="L827" authorId="0" shapeId="0">
      <text>
        <t>per-shot TOTAL across 4 main warhead(s).
raw warhead damages: 2000, 1, 2000, 1000, 1,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27" authorId="0" shapeId="0">
      <text>
        <t>fires when: rank-elite</t>
      </text>
    </comment>
    <comment ref="AB829" authorId="0" shapeId="0">
      <text>
        <t>fires when: undeployed</t>
      </text>
    </comment>
    <comment ref="L830" authorId="0" shapeId="0">
      <text>
        <t>per-shot TOTAL across 2 main warhead(s).
raw warhead damages: 22222, 11111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30" authorId="0" shapeId="0">
      <text>
        <t>fires when: deployed</t>
      </text>
    </comment>
    <comment ref="AB831" authorId="0" shapeId="0">
      <text>
        <t>fires when: botmicro</t>
      </text>
    </comment>
    <comment ref="L833" authorId="0" shapeId="0">
      <text>
        <t>per-shot TOTAL across 5 main warhead(s).
raw warhead damages: 4000, 4000, 2000, 2, 4000, 2, 4000,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34" authorId="0" shapeId="0">
      <text>
        <t>per-shot TOTAL across 5 main warhead(s).
raw warhead damages: 4000, 4000, 2000, 2, 4000, 2, 4000,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34" authorId="0" shapeId="0">
      <text>
        <t>fires when: rank-elite</t>
      </text>
    </comment>
    <comment ref="L836" authorId="0" shapeId="0">
      <text>
        <t>per-shot TOTAL across 3 main warhead(s).
raw warhead damages: 14000, 14000, 14000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36" authorId="0" shapeId="0">
      <text>
        <t>fires when: !rank-elite</t>
      </text>
    </comment>
    <comment ref="L837" authorId="0" shapeId="0">
      <text>
        <t>per-shot TOTAL across 3 main warhead(s).
raw warhead damages: 14000, 14000, 14000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37" authorId="0" shapeId="0">
      <text>
        <t>fires when: rank-elite</t>
      </text>
    </comment>
    <comment ref="AB839" authorId="0" shapeId="0">
      <text>
        <t>fires when: athena-charged == 1</t>
      </text>
    </comment>
    <comment ref="L842" authorId="0" shapeId="0">
      <text>
        <t>per-shot TOTAL across 3 main warhead(s).
raw warhead damages: 16000,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42" authorId="0" shapeId="0">
      <text>
        <t>fires when: !rank-elite</t>
      </text>
    </comment>
    <comment ref="L843" authorId="0" shapeId="0">
      <text>
        <t>per-shot TOTAL across 3 main warhead(s).
raw warhead damages: 16000,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43" authorId="0" shapeId="0">
      <text>
        <t>fires when: rank-elite</t>
      </text>
    </comment>
    <comment ref="L845" authorId="0" shapeId="0">
      <text>
        <t>per-shot TOTAL across 6 main warhead(s).
raw warhead damages: 32000, 16, 32000, 16, 32000, 16, 32000, 16, 32000, 1000, 16, 32000, 16,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45" authorId="0" shapeId="0">
      <text>
        <t>fires when: athena-charged == 1</t>
      </text>
    </comment>
    <comment ref="AB850" authorId="0" shapeId="0">
      <text>
        <t>fires when: !tkm_upgrade_cryorocketsupgrade &amp;&amp; !tkm_upgrade_twinrocketsupgrade &amp;&amp; !tkm_upgrade_incendiaryrocketsupgrade</t>
      </text>
    </comment>
    <comment ref="AB851" authorId="0" shapeId="0">
      <text>
        <t>fires when: tkm_upgrade_cryorocketsupgrade</t>
      </text>
    </comment>
    <comment ref="AB852" authorId="0" shapeId="0">
      <text>
        <t>fires when: tkm_upgrade_twinrocketsupgrade</t>
      </text>
    </comment>
    <comment ref="L853" authorId="0" shapeId="0">
      <text>
        <t>per-shot TOTAL across 3 main warhead(s).
raw warhead damages: 2000, 6000,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53" authorId="0" shapeId="0">
      <text>
        <t>fires when: tkm_upgrade_incendiaryrocketsupgrade</t>
      </text>
    </comment>
    <comment ref="L855" authorId="0" shapeId="0">
      <text>
        <t>per-shot TOTAL across 4 main warhead(s).
raw warhead damages: 12000, 12000, 12000,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57" authorId="0" shapeId="0">
      <text>
        <t>per-shot TOTAL across 6 main warhead(s).
raw warhead damages: 10000, 5000, 5, 10000, 5, 10000, 10000, 5, 10000, 5,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59" authorId="0" shapeId="0">
      <text>
        <t>per-shot TOTAL across 4 main warhead(s).
raw warhead damages: 12000, 6000, 6, 12000, 6, 12000, 6000, 6, 12000, 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61" authorId="0" shapeId="0">
      <text>
        <t>per-shot TOTAL across 4 main warhead(s).
raw warhead damages: 30000, 15000, 15, 30000, 15, 30000, 15000, 15, 30000, 15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63" authorId="0" shapeId="0">
      <text>
        <t>per-shot TOTAL across 14 main warhead(s).
raw warhead damages: 10000, 5, 10000, 5, 10000, 5, 10000, 5, 10000, 5, 10000, 5, 10000, 5, 10000, 5, 10000, 5000, 5, 10000, 5000, 5, 10000, 5, 10000, 5,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65" authorId="0" shapeId="0">
      <text>
        <t>per-shot TOTAL across 3 main warhead(s).
raw warhead damages: 30000, 30000, 30000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67" authorId="0" shapeId="0">
      <text>
        <t>per-shot TOTAL across 14 main warhead(s).
raw warhead damages: 10000, 5, 10000, 5, 10000, 5, 10000, 5, 10000, 5, 10000, 5, 10000, 5, 10000, 5, 10000, 5000, 5, 10000, 5000, 5, 10000, 5, 10000, 5,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70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70" authorId="0" shapeId="0">
      <text>
        <t>fires when: undeployed</t>
      </text>
    </comment>
    <comment ref="L871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71" authorId="0" shapeId="0">
      <text>
        <t>fires when: deployed</t>
      </text>
    </comment>
    <comment ref="L872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72" authorId="0" shapeId="0">
      <text>
        <t>fires when: undeployed</t>
      </text>
    </comment>
    <comment ref="L873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73" authorId="0" shapeId="0">
      <text>
        <t>fires when: deployed</t>
      </text>
    </comment>
    <comment ref="L874" authorId="0" shapeId="0">
      <text>
        <t>per-shot TOTAL across 6 main warhead(s).
raw warhead damages: 4000, 2, 4000, 2, 4000, 1000, 2, 4000,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74" authorId="0" shapeId="0">
      <text>
        <t>fires when: undeployed</t>
      </text>
    </comment>
    <comment ref="L875" authorId="0" shapeId="0">
      <text>
        <t>per-shot TOTAL across 6 main warhead(s).
raw warhead damages: 4000, 2, 4000, 2, 4000, 1000, 2, 4000,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75" authorId="0" shapeId="0">
      <text>
        <t>fires when: deployed</t>
      </text>
    </comment>
    <comment ref="L876" authorId="0" shapeId="0">
      <text>
        <t>per-shot TOTAL across 1 main warhead(s).
raw warhead damages: 160000,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76" authorId="0" shapeId="0">
      <text>
        <t>fires when: deployed</t>
      </text>
    </comment>
    <comment ref="AB877" authorId="0" shapeId="0">
      <text>
        <t>fires when: !td_gdi_upgrade_advancedmissiletargeting &amp;&amp; deployed</t>
      </text>
    </comment>
    <comment ref="AB878" authorId="0" shapeId="0">
      <text>
        <t>fires when: td_gdi_upgrade_advancedmissiletargeting &amp;&amp; deployed</t>
      </text>
    </comment>
    <comment ref="AB882" authorId="0" shapeId="0">
      <text>
        <t>fires when: !japan_upgrade_advancedplasmaweapons</t>
      </text>
    </comment>
    <comment ref="AB883" authorId="0" shapeId="0">
      <text>
        <t>fires when: !japan_upgrade_advancedplasmaweapons</t>
      </text>
    </comment>
    <comment ref="AB884" authorId="0" shapeId="0">
      <text>
        <t>fires when: !japan_upgrade_advancedplasmaweapons</t>
      </text>
    </comment>
    <comment ref="L885" authorId="0" shapeId="0">
      <text>
        <t>per-shot TOTAL across 4 main warhead(s).
raw warhead damages: 2000, 1, 2000, 1000, 1, 2000, 1, 1000,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85" authorId="0" shapeId="0">
      <text>
        <t>fires when: japan_upgrade_advancedplasmaweapons</t>
      </text>
    </comment>
    <comment ref="L886" authorId="0" shapeId="0">
      <text>
        <t>per-shot TOTAL across 4 main warhead(s).
raw warhead damages: 2000, 1, 2000, 1000, 1, 2000, 1, 1000,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86" authorId="0" shapeId="0">
      <text>
        <t>fires when: japan_upgrade_advancedplasmaweapons</t>
      </text>
    </comment>
    <comment ref="L887" authorId="0" shapeId="0">
      <text>
        <t>per-shot TOTAL across 4 main warhead(s).
raw warhead damages: 2000, 1, 2000, 1000, 1, 2000, 1, 1000,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87" authorId="0" shapeId="0">
      <text>
        <t>fires when: japan_upgrade_advancedplasmaweapons</t>
      </text>
    </comment>
    <comment ref="AB888" authorId="0" shapeId="0">
      <text>
        <t>fires when: !japan_upgrade_advancedplasmaweapons</t>
      </text>
    </comment>
    <comment ref="AB889" authorId="0" shapeId="0">
      <text>
        <t>fires when: !japan_upgrade_advancedplasmaweapons</t>
      </text>
    </comment>
    <comment ref="L89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90" authorId="0" shapeId="0">
      <text>
        <t>fires when: japan_upgrade_advancedplasmaweapons</t>
      </text>
    </comment>
    <comment ref="L89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91" authorId="0" shapeId="0">
      <text>
        <t>fires when: japan_upgrade_advancedplasmaweapons</t>
      </text>
    </comment>
    <comment ref="AB897" authorId="0" shapeId="0">
      <text>
        <t>fires when: !ra1_soviets_doctrine_inferno</t>
      </text>
    </comment>
    <comment ref="AB898" authorId="0" shapeId="0">
      <text>
        <t>fires when: ra1_soviets_doctrine_inferno</t>
      </text>
    </comment>
    <comment ref="L899" authorId="0" shapeId="0">
      <text>
        <t>per-shot TOTAL across 2 main warhead(s).
raw warhead damages: 20000,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99" authorId="0" shapeId="0">
      <text>
        <t>fires when: !ra1_soviets_upgrade_teslarockets &amp;&amp; !ra1_soviets_upgrade_thermonuclearrockets</t>
      </text>
    </comment>
    <comment ref="L900" authorId="0" shapeId="0">
      <text>
        <t>per-shot TOTAL across 4 main warhead(s).
raw warhead damages: 26750, 13250, 13, 26750, 13, 26750, 13250, 13, 26750, 13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00" authorId="0" shapeId="0">
      <text>
        <t>fires when: ra1_soviets_upgrade_teslarockets</t>
      </text>
    </comment>
    <comment ref="L901" authorId="0" shapeId="0">
      <text>
        <t>per-shot TOTAL across 8 main warhead(s).
raw warhead damages: 13250, 7, 13250, 7, 13250, 7, 13250, 6750, 7, 13250, 7, 13250, 6750, 7, 13250, 7, 13250, 7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01" authorId="0" shapeId="0">
      <text>
        <t>fires when: ra1_soviets_upgrade_thermonuclearrockets</t>
      </text>
    </comment>
    <comment ref="L903" authorId="0" shapeId="0">
      <text>
        <t>per-shot TOTAL across 5 main warhead(s).
raw warhead damages: 4000, 2000, 2, 4000, 2, 4000,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03" authorId="0" shapeId="0">
      <text>
        <t>fires when: !ra1_allies_upgrade_cryomissiles</t>
      </text>
    </comment>
    <comment ref="L904" authorId="0" shapeId="0">
      <text>
        <t>per-shot TOTAL across 5 main warhead(s).
raw warhead damages: 4000, 2000, 2, 4000, 2, 4000,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04" authorId="0" shapeId="0">
      <text>
        <t>fires when: !ra1_allies_upgrade_cryomissiles</t>
      </text>
    </comment>
    <comment ref="L905" authorId="0" shapeId="0">
      <text>
        <t>per-shot TOTAL across 5 main warhead(s).
raw warhead damages: 4000, 2000, 2, 4000, 2, 4000,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05" authorId="0" shapeId="0">
      <text>
        <t>fires when: ra1_allies_upgrade_cryomissiles</t>
      </text>
    </comment>
    <comment ref="L906" authorId="0" shapeId="0">
      <text>
        <t>per-shot TOTAL across 5 main warhead(s).
raw warhead damages: 4000, 2000, 2, 4000, 2, 4000,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06" authorId="0" shapeId="0">
      <text>
        <t>fires when: ra1_allies_upgrade_cryomissiles</t>
      </text>
    </comment>
    <comment ref="L908" authorId="0" shapeId="0">
      <text>
        <t>per-shot TOTAL across 1 main warhead(s).
raw warhead damages: 160000,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09" authorId="0" shapeId="0">
      <text>
        <t>per-shot TOTAL across 1 main warhead(s).
raw warhead damages: 160000,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11" authorId="0" shapeId="0">
      <text>
        <t>per-shot TOTAL across 1 main warhead(s).
raw warhead damages: 80000, 1000, 40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11" authorId="0" shapeId="0">
      <text>
        <t>fires when: !ts_gdi_upgrade_railgunweaponry</t>
      </text>
    </comment>
    <comment ref="L913" authorId="0" shapeId="0">
      <text>
        <t>per-shot TOTAL across 1 main warhead(s).
raw warhead damages: 80000, 1000, 40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13" authorId="0" shapeId="0">
      <text>
        <t>fires when: ts_gdi_upgrade_railgunweaponry</t>
      </text>
    </comment>
    <comment ref="L916" authorId="0" shapeId="0">
      <text>
        <t>per-shot TOTAL across 1 main warhead(s).
raw warhead damages: 40000, 1000, 20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16" authorId="0" shapeId="0">
      <text>
        <t>fires when: !ts_gdi_upgrade_railgunweaponry</t>
      </text>
    </comment>
    <comment ref="L918" authorId="0" shapeId="0">
      <text>
        <t>per-shot TOTAL across 1 main warhead(s).
raw warhead damages: 40000, 1000, 20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18" authorId="0" shapeId="0">
      <text>
        <t>fires when: ts_gdi_upgrade_railgunweaponry</t>
      </text>
    </comment>
    <comment ref="L920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21" authorId="0" shapeId="0">
      <text>
        <t>per-shot TOTAL across 2 main warhead(s).
raw warhead damages: 20000, 10, 20000,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23" authorId="0" shapeId="0">
      <text>
        <t>per-shot TOTAL across 3 main warhead(s).
raw warhead damages: 30000, 3600, 30000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23" authorId="0" shapeId="0">
      <text>
        <t>fires when: !forgotten_upgrade_chemicalweapons</t>
      </text>
    </comment>
    <comment ref="L924" authorId="0" shapeId="0">
      <text>
        <t>per-shot TOTAL across 4 main warhead(s).
raw warhead damages: 30000, 3600, 30000, 15, 30000, 15000, 15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24" authorId="0" shapeId="0">
      <text>
        <t>fires when: forgotten_upgrade_chemicalweapons</t>
      </text>
    </comment>
    <comment ref="L932" authorId="0" shapeId="0">
      <text>
        <t>per-shot TOTAL across 6 main warhead(s).
raw warhead damages: 20000, 10, 20000, 10, 20000, 10, 20000, 10000, 10, 20000, 10, 20000, 10000,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34" authorId="0" shapeId="0">
      <text>
        <t>per-shot TOTAL across 6 main warhead(s).
raw warhead damages: 10000, 5, 10000, 5, 10000, 5000, 5, 10000, 5, 10000, 5,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35" authorId="0" shapeId="0">
      <text>
        <t>per-shot TOTAL across 4 main warhead(s).
raw warhead damages: 10000, 10000,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36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38" authorId="0" shapeId="0">
      <text>
        <t>per-shot TOTAL across 3 main warhead(s).
raw warhead damages: 50000, 25, 50000, 25, 50000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38" authorId="0" shapeId="0">
      <text>
        <t>fires when: !rank-elite</t>
      </text>
    </comment>
    <comment ref="L939" authorId="0" shapeId="0">
      <text>
        <t>per-shot TOTAL across 3 main warhead(s).
raw warhead damages: 50000, 25, 50000, 25, 50000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39" authorId="0" shapeId="0">
      <text>
        <t>fires when: rank-elite</t>
      </text>
    </comment>
    <comment ref="L940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41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43" authorId="0" shapeId="0">
      <text>
        <t>per-shot TOTAL across 3 main warhead(s).
raw warhead damages: 100000, 50000, 100000, 1000, 100000,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43" authorId="0" shapeId="0">
      <text>
        <t>fires when: !rank-elite</t>
      </text>
    </comment>
    <comment ref="L944" authorId="0" shapeId="0">
      <text>
        <t>per-shot TOTAL across 3 main warhead(s).
raw warhead damages: 200000, 100000, 200000, 1000, 200000,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44" authorId="0" shapeId="0">
      <text>
        <t>fires when: rank-elite</t>
      </text>
    </comment>
    <comment ref="L946" authorId="0" shapeId="0">
      <text>
        <t>per-shot TOTAL across 6 main warhead(s).
raw warhead damages: 100000, 50, 100000, 50, 100000, 50000, 50, 100000, 50000, 50, 100000, 50, 888, 100000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46" authorId="0" shapeId="0">
      <text>
        <t>fires when: !rank-elite</t>
      </text>
    </comment>
    <comment ref="L947" authorId="0" shapeId="0">
      <text>
        <t>per-shot TOTAL across 6 main warhead(s).
raw warhead damages: 100000, 50, 100000, 50, 100000, 50000, 50, 100000, 50000, 50, 100000, 50, 888, 100000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47" authorId="0" shapeId="0">
      <text>
        <t>fires when: rank-elite</t>
      </text>
    </comment>
    <comment ref="L949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49" authorId="0" shapeId="0">
      <text>
        <t>fires when: !tkm_upgrade_cryorocketsupgrade &amp;&amp; !tkm_upgrade_twinrocketsupgrade &amp;&amp; !uptitanarsenalupgrade</t>
      </text>
    </comment>
    <comment ref="L950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50" authorId="0" shapeId="0">
      <text>
        <t>fires when: tkm_upgrade_cryorocketsupgrade</t>
      </text>
    </comment>
    <comment ref="L951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51" authorId="0" shapeId="0">
      <text>
        <t>fires when: tkm_upgrade_cryorocketsupgrade</t>
      </text>
    </comment>
    <comment ref="L952" authorId="0" shapeId="0">
      <text>
        <t>per-shot TOTAL across 6 main warhead(s).
raw warhead damages: 4000, 40000, 4000,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52" authorId="0" shapeId="0">
      <text>
        <t>fires when: tkm_upgrade_twinrocketsupgrade</t>
      </text>
    </comment>
    <comment ref="L953" authorId="0" shapeId="0">
      <text>
        <t>per-shot TOTAL across 6 main warhead(s).
raw warhead damages: 4000, 40000, 4000,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53" authorId="0" shapeId="0">
      <text>
        <t>fires when: tkm_upgrade_twinrocketsupgrade</t>
      </text>
    </comment>
    <comment ref="L954" authorId="0" shapeId="0">
      <text>
        <t>per-shot TOTAL across 4 main warhead(s).
raw warhead damages: 2000, 6000,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54" authorId="0" shapeId="0">
      <text>
        <t>fires when: tkm_upgrade_incendiaryrocketsupgrade</t>
      </text>
    </comment>
    <comment ref="L955" authorId="0" shapeId="0">
      <text>
        <t>per-shot TOTAL across 4 main warhead(s).
raw warhead damages: 2000, 6000,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55" authorId="0" shapeId="0">
      <text>
        <t>fires when: tkm_upgrade_incendiaryrocketsupgrade</t>
      </text>
    </comment>
    <comment ref="L956" authorId="0" shapeId="0">
      <text>
        <t>per-shot TOTAL across 2 main warhead(s).
raw warhead damages: 80000, 80000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58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58" authorId="0" shapeId="0">
      <text>
        <t>fires when: !tkm_upgrade_cryorocketsupgrade &amp;&amp; !tkm_upgrade_twinrocketsupgrade &amp;&amp; !tkm_upgrade_incendiaryrocketsupgrade</t>
      </text>
    </comment>
    <comment ref="L959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59" authorId="0" shapeId="0">
      <text>
        <t>fires when: tkm_upgrade_cryorocketsupgrade</t>
      </text>
    </comment>
    <comment ref="L960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60" authorId="0" shapeId="0">
      <text>
        <t>fires when: tkm_upgrade_cryorocketsupgrade</t>
      </text>
    </comment>
    <comment ref="L961" authorId="0" shapeId="0">
      <text>
        <t>per-shot TOTAL across 6 main warhead(s).
raw warhead damages: 4000, 40000, 4000,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61" authorId="0" shapeId="0">
      <text>
        <t>fires when: tkm_upgrade_twinrocketsupgrade</t>
      </text>
    </comment>
    <comment ref="L962" authorId="0" shapeId="0">
      <text>
        <t>per-shot TOTAL across 6 main warhead(s).
raw warhead damages: 4000, 40000, 4000,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62" authorId="0" shapeId="0">
      <text>
        <t>fires when: tkm_upgrade_twinrocketsupgrade</t>
      </text>
    </comment>
    <comment ref="L963" authorId="0" shapeId="0">
      <text>
        <t>per-shot TOTAL across 4 main warhead(s).
raw warhead damages: 2000, 6000,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63" authorId="0" shapeId="0">
      <text>
        <t>fires when: tkm_upgrade_incendiaryrocketsupgrade</t>
      </text>
    </comment>
    <comment ref="L964" authorId="0" shapeId="0">
      <text>
        <t>per-shot TOTAL across 4 main warhead(s).
raw warhead damages: 2000, 6000,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64" authorId="0" shapeId="0">
      <text>
        <t>fires when: tkm_upgrade_incendiaryrocketsupgrade</t>
      </text>
    </comment>
    <comment ref="L965" authorId="0" shapeId="0">
      <text>
        <t>per-shot TOTAL across 2 main warhead(s).
raw warhead damages: 120000, 120000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67" authorId="0" shapeId="0">
      <text>
        <t>per-shot TOTAL across 2 main warhead(s).
raw warhead damages: 40000, 40000,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69" authorId="0" shapeId="0">
      <text>
        <t>fires when: end_disable == 0</t>
      </text>
    </comment>
    <comment ref="L970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70" authorId="0" shapeId="0">
      <text>
        <t>fires when: end_disable &gt;= 1</t>
      </text>
    </comment>
    <comment ref="L972" authorId="0" shapeId="0">
      <text>
        <t>per-shot TOTAL across 2 main warhead(s).
raw warhead damages: 10000, 10000,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73" authorId="0" shapeId="0">
      <text>
        <t>per-shot TOTAL across 2 main warhead(s).
raw warhead damages: 10000, 5000,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74" authorId="0" shapeId="0">
      <text>
        <t>per-shot TOTAL across 2 main warhead(s).
raw warhead damages: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76" authorId="0" shapeId="0">
      <text>
        <t>per-shot TOTAL across 6 main warhead(s).
raw warhead damages: 2000, 1000, 1, 2000, 1000, 1,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79" authorId="0" shapeId="0">
      <text>
        <t>per-shot TOTAL across 8 main warhead(s).
raw warhead damages: 2000, 1, 2000, 1, 2000, 1, 2000, 1000, 1,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79" authorId="0" shapeId="0">
      <text>
        <t>fires when: !japan_upgrade_waveforcebullets</t>
      </text>
    </comment>
    <comment ref="L980" authorId="0" shapeId="0">
      <text>
        <t>per-shot TOTAL across 8 main warhead(s).
raw warhead damages: 2000, 1, 2000, 1, 2000, 1, 2000, 1000, 1,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80" authorId="0" shapeId="0">
      <text>
        <t>fires when: !japan_upgrade_waveforcebullets</t>
      </text>
    </comment>
    <comment ref="L981" authorId="0" shapeId="0">
      <text>
        <t>per-shot TOTAL across 10 main warhead(s).
raw warhead damages: 1000, 1, 2000, 1000, 2000, 1, 2000, 1, 2000, 1, 2000, 1000, 1,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81" authorId="0" shapeId="0">
      <text>
        <t>fires when: japan_upgrade_waveforcebullets</t>
      </text>
    </comment>
    <comment ref="L982" authorId="0" shapeId="0">
      <text>
        <t>per-shot TOTAL across 10 main warhead(s).
raw warhead damages: 1000, 1, 2000, 1000, 2000, 1, 2000, 1, 2000, 1, 2000, 1000, 1,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82" authorId="0" shapeId="0">
      <text>
        <t>fires when: japan_upgrade_waveforcebullets</t>
      </text>
    </comment>
    <comment ref="L98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8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87" authorId="0" shapeId="0">
      <text>
        <t>fires when: !ra1_soviets_upgrade_incendiarybullets</t>
      </text>
    </comment>
    <comment ref="AB988" authorId="0" shapeId="0">
      <text>
        <t>fires when: !ra1_soviets_upgrade_incendiarybullets</t>
      </text>
    </comment>
    <comment ref="L98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89" authorId="0" shapeId="0">
      <text>
        <t>fires when: ra1_soviets_upgrade_incendiarybullets</t>
      </text>
    </comment>
    <comment ref="L99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90" authorId="0" shapeId="0">
      <text>
        <t>fires when: ra1_soviets_upgrade_incendiarybullets</t>
      </text>
    </comment>
    <comment ref="L991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91" authorId="0" shapeId="0">
      <text>
        <t>fires when: ra1_soviets_doctrine_teslaandexperimentaltech &amp;&amp; !ra1_soviets_upgrade_teslaarcing</t>
      </text>
    </comment>
    <comment ref="L992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92" authorId="0" shapeId="0">
      <text>
        <t>fires when: ra1_soviets_upgrade_teslaarcing</t>
      </text>
    </comment>
    <comment ref="L993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93" authorId="0" shapeId="0">
      <text>
        <t>fires when: ra1_soviets_doctrine_teslaandexperimentaltech &amp;&amp; !ra1_soviets_upgrade_teslaarcing</t>
      </text>
    </comment>
    <comment ref="L994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94" authorId="0" shapeId="0">
      <text>
        <t>fires when: ra1_soviets_upgrade_teslaarcing</t>
      </text>
    </comment>
    <comment ref="L996" authorId="0" shapeId="0">
      <text>
        <t>per-shot TOTAL across 4 main warhead(s).
raw warhead damages: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97" authorId="0" shapeId="0">
      <text>
        <t>per-shot TOTAL across 4 main warhead(s).
raw warhead damages: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99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99" authorId="0" shapeId="0">
      <text>
        <t>fires when: !forgotten_upgrade_chemicalweapons</t>
      </text>
    </comment>
    <comment ref="L1000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00" authorId="0" shapeId="0">
      <text>
        <t>fires when: !forgotten_upgrade_chemicalweapons</t>
      </text>
    </comment>
    <comment ref="L1001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01" authorId="0" shapeId="0">
      <text>
        <t>fires when: forgotten_upgrade_chemicalweapons</t>
      </text>
    </comment>
    <comment ref="L1002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02" authorId="0" shapeId="0">
      <text>
        <t>fires when: forgotten_upgrade_chemicalweapons</t>
      </text>
    </comment>
    <comment ref="L1004" authorId="0" shapeId="0">
      <text>
        <t>per-shot TOTAL across 4 main warhead(s).
raw warhead damages: 2000, 1, 2000, 1000,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04" authorId="0" shapeId="0">
      <text>
        <t>fires when: !rank-elite</t>
      </text>
    </comment>
    <comment ref="L1005" authorId="0" shapeId="0">
      <text>
        <t>per-shot TOTAL across 4 main warhead(s).
raw warhead damages: 2000, 1, 2000, 1000,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05" authorId="0" shapeId="0">
      <text>
        <t>fires when: !rank-elite</t>
      </text>
    </comment>
    <comment ref="L1006" authorId="0" shapeId="0">
      <text>
        <t>per-shot TOTAL across 4 main warhead(s).
raw warhead damages: 2000, 1, 2000, 1000,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06" authorId="0" shapeId="0">
      <text>
        <t>fires when: rank-elite</t>
      </text>
    </comment>
    <comment ref="L1007" authorId="0" shapeId="0">
      <text>
        <t>per-shot TOTAL across 4 main warhead(s).
raw warhead damages: 2000, 1, 2000, 1000,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07" authorId="0" shapeId="0">
      <text>
        <t>fires when: rank-elite</t>
      </text>
    </comment>
    <comment ref="L100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09" authorId="0" shapeId="0">
      <text>
        <t>fires when: !gatling</t>
      </text>
    </comment>
    <comment ref="L101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10" authorId="0" shapeId="0">
      <text>
        <t>fires when: gatling == 1</t>
      </text>
    </comment>
    <comment ref="L101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11" authorId="0" shapeId="0">
      <text>
        <t>fires when: gatling &gt; 1</t>
      </text>
    </comment>
    <comment ref="L1012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12" authorId="0" shapeId="0">
      <text>
        <t>fires when: !gatling</t>
      </text>
    </comment>
    <comment ref="L1013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13" authorId="0" shapeId="0">
      <text>
        <t>fires when: gatling == 1</t>
      </text>
    </comment>
    <comment ref="L1014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14" authorId="0" shapeId="0">
      <text>
        <t>fires when: gatling &gt; 1</t>
      </text>
    </comment>
    <comment ref="L1016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17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17" authorId="0" shapeId="0">
      <text>
        <t>fires when: asianalliance_doctrine_heavypulverizerweapons</t>
      </text>
    </comment>
    <comment ref="L101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2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21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22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2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23" authorId="0" shapeId="0">
      <text>
        <t>fires when: steelconsortium_upgrade_resonanceammo</t>
      </text>
    </comment>
    <comment ref="L102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24" authorId="0" shapeId="0">
      <text>
        <t>fires when: steelconsortium_upgrade_resonanceammo</t>
      </text>
    </comment>
    <comment ref="L1025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25" authorId="0" shapeId="0">
      <text>
        <t>fires when: steelconsortium_upgrade_resonanceammo</t>
      </text>
    </comment>
    <comment ref="L1026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26" authorId="0" shapeId="0">
      <text>
        <t>fires when: steelconsortium_upgrade_resonanceammo</t>
      </text>
    </comment>
    <comment ref="L1028" authorId="0" shapeId="0">
      <text>
        <t>per-shot TOTAL across 4 main warhead(s).
raw warhead damages: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28" authorId="0" shapeId="0">
      <text>
        <t>fires when: !rank-elite</t>
      </text>
    </comment>
    <comment ref="L1029" authorId="0" shapeId="0">
      <text>
        <t>per-shot TOTAL across 4 main warhead(s).
raw warhead damages: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29" authorId="0" shapeId="0">
      <text>
        <t>fires when: rank-elite</t>
      </text>
    </comment>
    <comment ref="L1030" authorId="0" shapeId="0">
      <text>
        <t>per-shot TOTAL across 4 main warhead(s).
raw warhead damages: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30" authorId="0" shapeId="0">
      <text>
        <t>fires when: !rank-elite</t>
      </text>
    </comment>
    <comment ref="L1031" authorId="0" shapeId="0">
      <text>
        <t>per-shot TOTAL across 4 main warhead(s).
raw warhead damages: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31" authorId="0" shapeId="0">
      <text>
        <t>fires when: rank-elite</t>
      </text>
    </comment>
    <comment ref="L103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35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35" authorId="0" shapeId="0">
      <text>
        <t>fires when: !rank-elite</t>
      </text>
    </comment>
    <comment ref="L1036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36" authorId="0" shapeId="0">
      <text>
        <t>fires when: rank-elite</t>
      </text>
    </comment>
    <comment ref="L1037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37" authorId="0" shapeId="0">
      <text>
        <t>fires when: !rank-elite</t>
      </text>
    </comment>
    <comment ref="L1038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38" authorId="0" shapeId="0">
      <text>
        <t>fires when: rank-elite</t>
      </text>
    </comment>
    <comment ref="AB1042" authorId="0" shapeId="0">
      <text>
        <t>fires when: !td_gdi_upgrade_advancedmissiletargeting</t>
      </text>
    </comment>
    <comment ref="AB1043" authorId="0" shapeId="0">
      <text>
        <t>fires when: td_gdi_upgrade_advancedmissiletargeting</t>
      </text>
    </comment>
    <comment ref="AB1045" authorId="0" shapeId="0">
      <text>
        <t>fires when: td_nod_upgrade_blackmarketupgrades</t>
      </text>
    </comment>
    <comment ref="L1046" authorId="0" shapeId="0">
      <text>
        <t>per-shot TOTAL across 4 main warhead(s).
raw warhead damages: 8000, 4, 8000, 4, 8000,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48" authorId="0" shapeId="0">
      <text>
        <t>fires when: td_nod_upgrade_blackmarketupgrades</t>
      </text>
    </comment>
    <comment ref="L1049" authorId="0" shapeId="0">
      <text>
        <t>per-shot TOTAL across 4 main warhead(s).
raw warhead damages: 4000,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51" authorId="0" shapeId="0">
      <text>
        <t>fires when: !td_nod_upgrade_blackmarketupgrades</t>
      </text>
    </comment>
    <comment ref="AB1052" authorId="0" shapeId="0">
      <text>
        <t>fires when: td_nod_upgrade_blackmarketupgrades</t>
      </text>
    </comment>
    <comment ref="L1054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54" authorId="0" shapeId="0">
      <text>
        <t>fires when: !ts_nod_upgrade_tiberiumcoremissiles</t>
      </text>
    </comment>
    <comment ref="L1055" authorId="0" shapeId="0">
      <text>
        <t>per-shot TOTAL across 4 main warhead(s).
raw warhead damages: 4000, 2, 4000, 2, 4000, 42,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55" authorId="0" shapeId="0">
      <text>
        <t>fires when: ts_nod_upgrade_tiberiumcoremissiles</t>
      </text>
    </comment>
    <comment ref="L1057" authorId="0" shapeId="0">
      <text>
        <t>per-shot TOTAL across 3 main warhead(s).
raw warhead damages: 4000, 2, 4000, 2, 4000, 2000,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59" authorId="0" shapeId="0">
      <text>
        <t>per-shot TOTAL across 4 main warhead(s).
raw warhead damages: 2000, 1, 2000, 1,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61" authorId="0" shapeId="0">
      <text>
        <t>per-shot TOTAL across 5 main warhead(s).
raw warhead damages: 2000,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62" authorId="0" shapeId="0">
      <text>
        <t>per-shot TOTAL across 5 main warhead(s).
raw warhead damages: 2000,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62" authorId="0" shapeId="0">
      <text>
        <t>fires when: rank-elite</t>
      </text>
    </comment>
    <comment ref="AB1065" authorId="0" shapeId="0">
      <text>
        <t>fires when: !tkm_upgrade_incendiaryrocketsupgrade</t>
      </text>
    </comment>
    <comment ref="L1066" authorId="0" shapeId="0">
      <text>
        <t>per-shot TOTAL across 2 main warhead(s).
raw warhead damages: 24000,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66" authorId="0" shapeId="0">
      <text>
        <t>fires when: tkm_upgrade_incendiaryrocketsupgrade</t>
      </text>
    </comment>
    <comment ref="L1068" authorId="0" shapeId="0">
      <text>
        <t>per-shot TOTAL across 3 main warhead(s).
raw warhead damages: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72" authorId="0" shapeId="0">
      <text>
        <t>per-shot TOTAL across 2 main warhead(s).
raw warhead damages: 2000, 15000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7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74" authorId="0" shapeId="0">
      <text>
        <t>fires when: !lockedon</t>
      </text>
    </comment>
    <comment ref="L107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75" authorId="0" shapeId="0">
      <text>
        <t>fires when: lockedon</t>
      </text>
    </comment>
  </commentList>
</comments>
</file>

<file path=xl/comments/comment4.xml><?xml version="1.0" encoding="utf-8"?>
<comments xmlns="http://schemas.openxmlformats.org/spreadsheetml/2006/main">
  <authors>
    <author>balance-pipeline</author>
  </authors>
  <commentList>
    <comment ref="L4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" authorId="0" shapeId="0">
      <text>
        <t>per-shot TOTAL across 2 main warhead(s).
raw warhead damages: 18000, 18000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" authorId="0" shapeId="0">
      <text>
        <t>fires when: !japan_upgrade_energizedarrows</t>
      </text>
    </comment>
    <comment ref="L8" authorId="0" shapeId="0">
      <text>
        <t>per-shot TOTAL across 4 main warhead(s).
raw warhead damages: 8000, 4, 8000, 4000, 4,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" authorId="0" shapeId="0">
      <text>
        <t>fires when: japan_upgrade_energizedarrows</t>
      </text>
    </comment>
    <comment ref="AB9" authorId="0" shapeId="0">
      <text>
        <t>fires when: !japan_upgrade_waveforcebullets</t>
      </text>
    </comment>
    <comment ref="L10" authorId="0" shapeId="0">
      <text>
        <t>per-shot TOTAL across 3 main warhead(s).
raw warhead damages: 4000, 1000, 1000, 500, 2,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" authorId="0" shapeId="0">
      <text>
        <t>fires when: japan_upgrade_waveforcebullets</t>
      </text>
    </comment>
    <comment ref="AB12" authorId="0" shapeId="0">
      <text>
        <t>fires when: !ra1_soviets_upgrade_incendiarybullets</t>
      </text>
    </comment>
    <comment ref="AB13" authorId="0" shapeId="0">
      <text>
        <t>fires when: !ra1_soviets_upgrade_incendiarybullets</t>
      </text>
    </comment>
    <comment ref="L14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" authorId="0" shapeId="0">
      <text>
        <t>fires when: ra1_soviets_upgrade_incendiarybullets</t>
      </text>
    </comment>
    <comment ref="L15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" authorId="0" shapeId="0">
      <text>
        <t>fires when: ra1_soviets_upgrade_incendiarybullets</t>
      </text>
    </comment>
    <comment ref="L17" authorId="0" shapeId="0">
      <text>
        <t>per-shot TOTAL across 4 main warhead(s).
raw warhead damages: 50000, 25, 50000, 25, 50000, 25, 50000, 25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" authorId="0" shapeId="0">
      <text>
        <t>fires when: !ra1_soviets_upgrade_incendiarybullets</t>
      </text>
    </comment>
    <comment ref="AB19" authorId="0" shapeId="0">
      <text>
        <t>fires when: !ra1_soviets_upgrade_incendiarybullets</t>
      </text>
    </comment>
    <comment ref="L20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" authorId="0" shapeId="0">
      <text>
        <t>fires when: ra1_soviets_upgrade_incendiarybullets</t>
      </text>
    </comment>
    <comment ref="L21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" authorId="0" shapeId="0">
      <text>
        <t>fires when: ra1_soviets_upgrade_incendiarybullets</t>
      </text>
    </comment>
    <comment ref="L23" authorId="0" shapeId="0">
      <text>
        <t>per-shot TOTAL across 4 main warhead(s).
raw warhead damages: 40000, 20000, 20, 40000, 20, 40000, 20, 40000, 20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4" authorId="0" shapeId="0">
      <text>
        <t>per-shot TOTAL across 2 main warhead(s).
raw warhead damages: 8000,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" authorId="0" shapeId="0">
      <text>
        <t>fires when: !ra1_soviets_upgrade_teslaarcing</t>
      </text>
    </comment>
    <comment ref="L25" authorId="0" shapeId="0">
      <text>
        <t>per-shot TOTAL across 2 main warhead(s).
raw warhead damages: 8000, 8000,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" authorId="0" shapeId="0">
      <text>
        <t>fires when: ra1_soviets_upgrade_teslaarcing</t>
      </text>
    </comment>
    <comment ref="AB26" authorId="0" shapeId="0">
      <text>
        <t>fires when: !ra1_soviets_upgrade_incendiarybullets</t>
      </text>
    </comment>
    <comment ref="AB27" authorId="0" shapeId="0">
      <text>
        <t>fires when: !ra1_soviets_upgrade_incendiarybullets</t>
      </text>
    </comment>
    <comment ref="L28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8" authorId="0" shapeId="0">
      <text>
        <t>fires when: ra1_soviets_upgrade_incendiarybullets</t>
      </text>
    </comment>
    <comment ref="L29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9" authorId="0" shapeId="0">
      <text>
        <t>fires when: ra1_soviets_upgrade_incendiarybullets</t>
      </text>
    </comment>
    <comment ref="L31" authorId="0" shapeId="0">
      <text>
        <t>per-shot TOTAL across 4 main warhead(s).
raw warhead damages: 10000, 5000, 5, 10000, 5,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2" authorId="0" shapeId="0">
      <text>
        <t>fires when: !ra1_soviets_upgrade_incendiarybullets</t>
      </text>
    </comment>
    <comment ref="AB33" authorId="0" shapeId="0">
      <text>
        <t>fires when: !ra1_soviets_upgrade_incendiarybullets</t>
      </text>
    </comment>
    <comment ref="L34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" authorId="0" shapeId="0">
      <text>
        <t>fires when: ra1_soviets_upgrade_incendiarybullets</t>
      </text>
    </comment>
    <comment ref="L35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5" authorId="0" shapeId="0">
      <text>
        <t>fires when: ra1_soviets_upgrade_incendiarybullets</t>
      </text>
    </comment>
    <comment ref="L37" authorId="0" shapeId="0">
      <text>
        <t>per-shot TOTAL across 6 main warhead(s).
raw warhead damages: 4000, 2, 4000, 2000, 2, 4000, 2, 4000, 2, 4000,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7" authorId="0" shapeId="0">
      <text>
        <t>fires when: !rank-elite</t>
      </text>
    </comment>
    <comment ref="L38" authorId="0" shapeId="0">
      <text>
        <t>per-shot TOTAL across 6 main warhead(s).
raw warhead damages: 4000, 2, 4000, 2000, 2, 4000, 2, 4000, 2, 4000, 2,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8" authorId="0" shapeId="0">
      <text>
        <t>fires when: rank-elite</t>
      </text>
    </comment>
    <comment ref="L40" authorId="0" shapeId="0">
      <text>
        <t>per-shot TOTAL across 8 main warhead(s).
raw warhead damages: 2000, 2000, 1, 2000, 1, 2000, 1, 2000, 1, 2000, 1000,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2" authorId="0" shapeId="0">
      <text>
        <t>per-shot TOTAL across 4 main warhead(s).
raw warhead damages: 4000, 1000, 4000,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2" authorId="0" shapeId="0">
      <text>
        <t>fires when: !steelconsortium_upgrade_quantumweaponpower</t>
      </text>
    </comment>
    <comment ref="L43" authorId="0" shapeId="0">
      <text>
        <t>per-shot TOTAL across 10 main warhead(s).
raw warhead damages: 2000, 1000, 1, 2000, 1, 2000, 1, 2000, 1000, 1, 2000, 1, 2000, 1000, 1, 2000, 1000,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3" authorId="0" shapeId="0">
      <text>
        <t>fires when: steelconsortium_upgrade_quantumweaponpower</t>
      </text>
    </comment>
    <comment ref="L45" authorId="0" shapeId="0">
      <text>
        <t>per-shot TOTAL across 4 main warhead(s).
raw warhead damages: 2000,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7" authorId="0" shapeId="0">
      <text>
        <t>per-shot TOTAL across 6 main warhead(s).
raw warhead damages: 2000, 1000, 1, 2000, 1, 2000, 1, 2000, 1, 600, 2000, 1,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7" authorId="0" shapeId="0">
      <text>
        <t>fires when: !steelconsortium_upgrade_quantumweaponpower</t>
      </text>
    </comment>
    <comment ref="L48" authorId="0" shapeId="0">
      <text>
        <t>per-shot TOTAL across 6 main warhead(s).
raw warhead damages: 2000, 1000, 1, 2000, 1, 2000, 1, 2000, 1, 600, 2000, 1,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8" authorId="0" shapeId="0">
      <text>
        <t>fires when: steelconsortium_upgrade_quantumweaponpower</t>
      </text>
    </comment>
    <comment ref="L50" authorId="0" shapeId="0">
      <text>
        <t>per-shot TOTAL across 5 main warhead(s).
raw warhead damages: 2000, 1000, 1,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0" authorId="0" shapeId="0">
      <text>
        <t>fires when: !rank-elite</t>
      </text>
    </comment>
    <comment ref="L51" authorId="0" shapeId="0">
      <text>
        <t>per-shot TOTAL across 5 main warhead(s).
raw warhead damages: 2000, 1000, 1,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1" authorId="0" shapeId="0">
      <text>
        <t>fires when: rank-elite</t>
      </text>
    </comment>
    <comment ref="L53" authorId="0" shapeId="0">
      <text>
        <t>per-shot TOTAL across 4 main warhead(s).
raw warhead damages: 2000,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3" authorId="0" shapeId="0">
      <text>
        <t>fires when: !rank-elite &amp;&amp; !latinsyndicate_upgrade_yuristolentechchainguns</t>
      </text>
    </comment>
    <comment ref="L54" authorId="0" shapeId="0">
      <text>
        <t>per-shot TOTAL across 4 main warhead(s).
raw warhead damages: 2000,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4" authorId="0" shapeId="0">
      <text>
        <t>fires when: rank-elite</t>
      </text>
    </comment>
    <comment ref="L55" authorId="0" shapeId="0">
      <text>
        <t>per-shot TOTAL across 4 main warhead(s).
raw warhead damages: 2000,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5" authorId="0" shapeId="0">
      <text>
        <t>fires when: latinsyndicate_upgrade_yuristolentechchainguns</t>
      </text>
    </comment>
    <comment ref="L57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8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8" authorId="0" shapeId="0">
      <text>
        <t>fires when: rank-elite</t>
      </text>
    </comment>
    <comment ref="L60" authorId="0" shapeId="0">
      <text>
        <t>per-shot TOTAL across 4 main warhead(s).
raw warhead damages: 6000, 6000, 3,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1" authorId="0" shapeId="0">
      <text>
        <t>per-shot TOTAL across 2 main warhead(s).
raw warhead damages: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3" authorId="0" shapeId="0">
      <text>
        <t>per-shot TOTAL across 2 main warhead(s).
raw warhead damages: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4" authorId="0" shapeId="0">
      <text>
        <t>per-shot TOTAL across 2 main warhead(s).
raw warhead damages: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4" authorId="0" shapeId="0">
      <text>
        <t>fires when: rank-elite</t>
      </text>
    </comment>
    <comment ref="L65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6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6" authorId="0" shapeId="0">
      <text>
        <t>fires when: rank-elite</t>
      </text>
    </comment>
    <comment ref="L70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2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3" authorId="0" shapeId="0">
      <text>
        <t>per-shot TOTAL across 6 main warhead(s).
raw warhead damages: 2000, 1, 2000, 1,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5" authorId="0" shapeId="0">
      <text>
        <t>per-shot TOTAL across 5 main warhead(s).
raw warhead damages: 2000, 1000, 1,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5" authorId="0" shapeId="0">
      <text>
        <t>fires when: !rank-elite</t>
      </text>
    </comment>
    <comment ref="L76" authorId="0" shapeId="0">
      <text>
        <t>per-shot TOTAL across 5 main warhead(s).
raw warhead damages: 2000, 1000, 1,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6" authorId="0" shapeId="0">
      <text>
        <t>fires when: rank-elite</t>
      </text>
    </comment>
    <comment ref="AB78" authorId="0" shapeId="0">
      <text>
        <t>fires when: !ordos_upgrade_lasercartridges</t>
      </text>
    </comment>
    <comment ref="L79" authorId="0" shapeId="0">
      <text>
        <t>per-shot TOTAL across 2 main warhead(s).
raw warhead damages: 4000, 1000,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9" authorId="0" shapeId="0">
      <text>
        <t>fires when: ordos_upgrade_lasercartridges</t>
      </text>
    </comment>
    <comment ref="L81" authorId="0" shapeId="0">
      <text>
        <t>per-shot TOTAL across 2 main warhead(s).
raw warhead damages: 50000, 50000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5" authorId="0" shapeId="0">
      <text>
        <t>per-shot TOTAL across 2 main warhead(s).
raw warhead damages: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8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2" authorId="0" shapeId="0">
      <text>
        <t>fires when: td_gdi_upgrade_cuttingedgeequipment</t>
      </text>
    </comment>
    <comment ref="L93" authorId="0" shapeId="0">
      <text>
        <t>per-shot TOTAL across 4 main warhead(s).
raw warhead damages: 10000, 5, 10000, 5, 10000, 5000,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5" authorId="0" shapeId="0">
      <text>
        <t>fires when: !japan_upgrade_waveforcebullets</t>
      </text>
    </comment>
    <comment ref="AB96" authorId="0" shapeId="0">
      <text>
        <t>fires when: !japan_upgrade_waveforcebullets</t>
      </text>
    </comment>
    <comment ref="L97" authorId="0" shapeId="0">
      <text>
        <t>per-shot TOTAL across 3 main warhead(s).
raw warhead damages: 4000, 1000, 1000, 500, 2,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7" authorId="0" shapeId="0">
      <text>
        <t>fires when: japan_upgrade_waveforcebullets</t>
      </text>
    </comment>
    <comment ref="L98" authorId="0" shapeId="0">
      <text>
        <t>per-shot TOTAL across 3 main warhead(s).
raw warhead damages: 4000, 1000, 1000, 500, 2,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8" authorId="0" shapeId="0">
      <text>
        <t>fires when: japan_upgrade_waveforcebullets</t>
      </text>
    </comment>
    <comment ref="AB101" authorId="0" shapeId="0">
      <text>
        <t>fires when: !japan_upgrade_waveforcebullets</t>
      </text>
    </comment>
    <comment ref="L102" authorId="0" shapeId="0">
      <text>
        <t>per-shot TOTAL across 3 main warhead(s).
raw warhead damages: 4000, 1000, 1000, 500, 2,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2" authorId="0" shapeId="0">
      <text>
        <t>fires when: japan_upgrade_waveforcebullets</t>
      </text>
    </comment>
    <comment ref="AB103" authorId="0" shapeId="0">
      <text>
        <t>fires when: !japan_upgrade_advancedplasmaweapons</t>
      </text>
    </comment>
    <comment ref="L104" authorId="0" shapeId="0">
      <text>
        <t>per-shot TOTAL across 3 main warhead(s).
raw warhead damages: 10000,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4" authorId="0" shapeId="0">
      <text>
        <t>fires when: japan_upgrade_advancedplasmaweapons</t>
      </text>
    </comment>
    <comment ref="AB106" authorId="0" shapeId="0">
      <text>
        <t>fires when: !ra1_soviets_upgrade_teslarockets &amp;&amp; !ra1_soviets_upgrade_thermonuclearrockets</t>
      </text>
    </comment>
    <comment ref="AB107" authorId="0" shapeId="0">
      <text>
        <t>fires when: !ra1_soviets_upgrade_teslarockets &amp;&amp; !ra1_soviets_upgrade_thermonuclearrockets</t>
      </text>
    </comment>
    <comment ref="L108" authorId="0" shapeId="0">
      <text>
        <t>per-shot TOTAL across 2 main warhead(s).
raw warhead damages: 16000, 8000,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8" authorId="0" shapeId="0">
      <text>
        <t>fires when: ra1_soviets_upgrade_teslarockets</t>
      </text>
    </comment>
    <comment ref="L109" authorId="0" shapeId="0">
      <text>
        <t>per-shot TOTAL across 2 main warhead(s).
raw warhead damages: 16000, 8000,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9" authorId="0" shapeId="0">
      <text>
        <t>fires when: ra1_soviets_upgrade_teslarockets</t>
      </text>
    </comment>
    <comment ref="L110" authorId="0" shapeId="0">
      <text>
        <t>per-shot TOTAL across 4 main warhead(s).
raw warhead damages: 12000, 6, 12000, 6, 12000, 6,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0" authorId="0" shapeId="0">
      <text>
        <t>fires when: ra1_soviets_upgrade_thermonuclearrockets</t>
      </text>
    </comment>
    <comment ref="L111" authorId="0" shapeId="0">
      <text>
        <t>per-shot TOTAL across 4 main warhead(s).
raw warhead damages: 12000, 6, 12000, 6, 12000, 6,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1" authorId="0" shapeId="0">
      <text>
        <t>fires when: ra1_soviets_upgrade_thermonuclearrockets</t>
      </text>
    </comment>
    <comment ref="AB113" authorId="0" shapeId="0">
      <text>
        <t>fires when: !ra1_soviets_upgrade_highexplosiverockets</t>
      </text>
    </comment>
    <comment ref="AB114" authorId="0" shapeId="0">
      <text>
        <t>fires when: ra1_soviets_upgrade_highexplosiverockets</t>
      </text>
    </comment>
    <comment ref="AB115" authorId="0" shapeId="0">
      <text>
        <t>fires when: !ra1_soviets_upgrade_incendiarybullets</t>
      </text>
    </comment>
    <comment ref="AB116" authorId="0" shapeId="0">
      <text>
        <t>fires when: !ra1_soviets_upgrade_incendiarybullets</t>
      </text>
    </comment>
    <comment ref="L117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7" authorId="0" shapeId="0">
      <text>
        <t>fires when: ra1_soviets_upgrade_incendiarybullets</t>
      </text>
    </comment>
    <comment ref="L118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8" authorId="0" shapeId="0">
      <text>
        <t>fires when: ra1_soviets_upgrade_incendiarybullets</t>
      </text>
    </comment>
    <comment ref="L120" authorId="0" shapeId="0">
      <text>
        <t>per-shot TOTAL across 4 main warhead(s).
raw warhead damages: 100000, 50, 100000, 50, 100000, 50, 100000, 50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2" authorId="0" shapeId="0">
      <text>
        <t>fires when: !ra1_allies_upgrade_cryomissiles</t>
      </text>
    </comment>
    <comment ref="AB123" authorId="0" shapeId="0">
      <text>
        <t>fires when: ra1_allies_upgrade_cryomissiles</t>
      </text>
    </comment>
    <comment ref="L124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4" authorId="0" shapeId="0">
      <text>
        <t>fires when: !ra1_allies_upgrade_cryomissiles</t>
      </text>
    </comment>
    <comment ref="L125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5" authorId="0" shapeId="0">
      <text>
        <t>fires when: ra1_allies_upgrade_cryomissiles</t>
      </text>
    </comment>
    <comment ref="L127" authorId="0" shapeId="0">
      <text>
        <t>per-shot TOTAL across 2 main warhead(s).
raw warhead damages: 4000, 4000,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29" authorId="0" shapeId="0">
      <text>
        <t>per-shot TOTAL across 2 main warhead(s).
raw warhead damages: 30000, 15, 30000, 15,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31" authorId="0" shapeId="0">
      <text>
        <t>per-shot TOTAL across 2 main warhead(s).
raw warhead damages: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1" authorId="0" shapeId="0">
      <text>
        <t>fires when: !ts_gdi_upgrade_sonicweaponry</t>
      </text>
    </comment>
    <comment ref="L132" authorId="0" shapeId="0">
      <text>
        <t>per-shot TOTAL across 2 main warhead(s).
raw warhead damages: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2" authorId="0" shapeId="0">
      <text>
        <t>fires when: ts_gdi_upgrade_sonicweaponry</t>
      </text>
    </comment>
    <comment ref="L135" authorId="0" shapeId="0">
      <text>
        <t>per-shot TOTAL across 2 main warhead(s).
raw warhead damages: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8" authorId="0" shapeId="0">
      <text>
        <t>fires when: !forgotten_upgrade_chemicalweapons</t>
      </text>
    </comment>
    <comment ref="L139" authorId="0" shapeId="0">
      <text>
        <t>per-shot TOTAL across 2 main warhead(s).
raw warhead damages: 120000, 60000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9" authorId="0" shapeId="0">
      <text>
        <t>fires when: forgotten_upgrade_chemicalweapons</t>
      </text>
    </comment>
    <comment ref="AB141" authorId="0" shapeId="0">
      <text>
        <t>fires when: !forgotten_upgrade_chemicalweapons</t>
      </text>
    </comment>
    <comment ref="L142" authorId="0" shapeId="0">
      <text>
        <t>per-shot TOTAL across 2 main warhead(s).
raw warhead damages: 180000, 90000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2" authorId="0" shapeId="0">
      <text>
        <t>fires when: forgotten_upgrade_chemicalweapons</t>
      </text>
    </comment>
    <comment ref="L146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48" authorId="0" shapeId="0">
      <text>
        <t>per-shot TOTAL across 4 main warhead(s).
raw warhead damages: 8000,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8" authorId="0" shapeId="0">
      <text>
        <t>fires when: !ra2_soviets_doctrine_nuclearmunitions &amp;&amp; !ra2_soviets_doctrine_firemunitions &amp;&amp; !ra2_soviets_doctrine_teslamunitions</t>
      </text>
    </comment>
    <comment ref="L149" authorId="0" shapeId="0">
      <text>
        <t>per-shot TOTAL across 5 main warhead(s).
raw warhead damages: 4000, 8000,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9" authorId="0" shapeId="0">
      <text>
        <t>fires when: ra2_soviets_doctrine_nuclearmunitions</t>
      </text>
    </comment>
    <comment ref="L150" authorId="0" shapeId="0">
      <text>
        <t>per-shot TOTAL across 4 main warhead(s).
raw warhead damages: 8000,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0" authorId="0" shapeId="0">
      <text>
        <t>fires when: ra2_soviets_doctrine_firemunitions</t>
      </text>
    </comment>
    <comment ref="L151" authorId="0" shapeId="0">
      <text>
        <t>per-shot TOTAL across 4 main warhead(s).
raw warhead damages: 8000,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1" authorId="0" shapeId="0">
      <text>
        <t>fires when: ra2_soviets_doctrine_teslamunitions</t>
      </text>
    </comment>
    <comment ref="L153" authorId="0" shapeId="0">
      <text>
        <t>per-shot TOTAL across 3 main warhead(s).
raw warhead damages: 16000,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3" authorId="0" shapeId="0">
      <text>
        <t>fires when: !rank-elite &amp;&amp; !ra2_allies_upgrade_thunderboltmissiles</t>
      </text>
    </comment>
    <comment ref="L154" authorId="0" shapeId="0">
      <text>
        <t>per-shot TOTAL across 3 main warhead(s).
raw warhead damages: 16000,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4" authorId="0" shapeId="0">
      <text>
        <t>fires when: rank-elite &amp;&amp; !ra2_allies_upgrade_thunderboltmissiles</t>
      </text>
    </comment>
    <comment ref="L155" authorId="0" shapeId="0">
      <text>
        <t>per-shot TOTAL across 9 main warhead(s).
raw warhead damages: 6000, 3000, 3, 6000, 3000, 3, 6000, 3, 6000, 3, 6000, 3, 6000, 3, 6000, 3, 6000, 3,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5" authorId="0" shapeId="0">
      <text>
        <t>fires when: !rank-elite &amp;&amp; ra2_allies_upgrade_thunderboltmissiles</t>
      </text>
    </comment>
    <comment ref="L156" authorId="0" shapeId="0">
      <text>
        <t>per-shot TOTAL across 9 main warhead(s).
raw warhead damages: 6000, 3000, 3, 6000, 3000, 3, 6000, 3, 6000, 3, 6000, 3, 6000, 3, 6000, 3, 6000, 3,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6" authorId="0" shapeId="0">
      <text>
        <t>fires when: rank-elite &amp;&amp; ra2_allies_upgrade_thunderboltmissiles</t>
      </text>
    </comment>
    <comment ref="L158" authorId="0" shapeId="0">
      <text>
        <t>per-shot TOTAL across 4 main warhead(s).
raw warhead damages: 8000,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8" authorId="0" shapeId="0">
      <text>
        <t>fires when: !rank-elite &amp;&amp; !ra2_soviets_doctrine_nuclearmunitions &amp;&amp; !ra2_soviets_doctrine_firemunitions &amp;&amp; !ra2_soviets_doctrine_teslamunitions</t>
      </text>
    </comment>
    <comment ref="L159" authorId="0" shapeId="0">
      <text>
        <t>per-shot TOTAL across 5 main warhead(s).
raw warhead damages: 4000, 8000,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9" authorId="0" shapeId="0">
      <text>
        <t>fires when: !rank-elite &amp;&amp; ra2_soviets_doctrine_nuclearmunitions</t>
      </text>
    </comment>
    <comment ref="L160" authorId="0" shapeId="0">
      <text>
        <t>per-shot TOTAL across 4 main warhead(s).
raw warhead damages: 8000,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0" authorId="0" shapeId="0">
      <text>
        <t>fires when: !rank-elite &amp;&amp; ra2_soviets_doctrine_firemunitions</t>
      </text>
    </comment>
    <comment ref="L161" authorId="0" shapeId="0">
      <text>
        <t>per-shot TOTAL across 4 main warhead(s).
raw warhead damages: 8000,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1" authorId="0" shapeId="0">
      <text>
        <t>fires when: !rank-elite &amp;&amp; ra2_soviets_doctrine_teslamunitions</t>
      </text>
    </comment>
    <comment ref="L162" authorId="0" shapeId="0">
      <text>
        <t>per-shot TOTAL across 4 main warhead(s).
raw warhead damages: 8000,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2" authorId="0" shapeId="0">
      <text>
        <t>fires when: rank-elite  &amp;&amp; !ra2_soviets_doctrine_nuclearmunitions &amp;&amp; !ra2_soviets_doctrine_firemunitions &amp;&amp; !ra2_soviets_doctrine_teslamunitions</t>
      </text>
    </comment>
    <comment ref="L163" authorId="0" shapeId="0">
      <text>
        <t>per-shot TOTAL across 4 main warhead(s).
raw warhead damages: 8000,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3" authorId="0" shapeId="0">
      <text>
        <t>fires when: rank-elite &amp;&amp; ra2_soviets_doctrine_teslamunitions</t>
      </text>
    </comment>
    <comment ref="L164" authorId="0" shapeId="0">
      <text>
        <t>per-shot TOTAL across 4 main warhead(s).
raw warhead damages: 8000,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4" authorId="0" shapeId="0">
      <text>
        <t>fires when: !rank-elite</t>
      </text>
    </comment>
    <comment ref="L165" authorId="0" shapeId="0">
      <text>
        <t>per-shot TOTAL across 4 main warhead(s).
raw warhead damages: 8000,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5" authorId="0" shapeId="0">
      <text>
        <t>fires when: rank-elite</t>
      </text>
    </comment>
    <comment ref="L167" authorId="0" shapeId="0">
      <text>
        <t>per-shot TOTAL across 3 main warhead(s).
raw warhead damages: 20000, 20000,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7" authorId="0" shapeId="0">
      <text>
        <t>fires when: !rank-elite</t>
      </text>
    </comment>
    <comment ref="L168" authorId="0" shapeId="0">
      <text>
        <t>per-shot TOTAL across 3 main warhead(s).
raw warhead damages: 20000, 20000,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8" authorId="0" shapeId="0">
      <text>
        <t>fires when: rank-elite</t>
      </text>
    </comment>
    <comment ref="L17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7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77" authorId="0" shapeId="0">
      <text>
        <t>per-shot TOTAL across 5 main warhead(s).
raw warhead damages: 2000, 1, 600, 2000, 1000, 2000,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78" authorId="0" shapeId="0">
      <text>
        <t>per-shot TOTAL across 6 main warhead(s).
raw warhead damages: 2000, 1, 2000, 1000, 1, 2000, 1, 2000, 2000,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8" authorId="0" shapeId="0">
      <text>
        <t>fires when: steelconsortium_upgrade_quantumweaponpower</t>
      </text>
    </comment>
    <comment ref="L180" authorId="0" shapeId="0">
      <text>
        <t>per-shot TOTAL across 4 main warhead(s).
raw warhead damages: 8000,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0" authorId="0" shapeId="0">
      <text>
        <t>fires when: !rank-elite</t>
      </text>
    </comment>
    <comment ref="L181" authorId="0" shapeId="0">
      <text>
        <t>per-shot TOTAL across 4 main warhead(s).
raw warhead damages: 8000,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1" authorId="0" shapeId="0">
      <text>
        <t>fires when: rank-elite</t>
      </text>
    </comment>
    <comment ref="L182" authorId="0" shapeId="0">
      <text>
        <t>per-shot TOTAL across 4 main warhead(s).
raw warhead damages: 8000,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2" authorId="0" shapeId="0">
      <text>
        <t>fires when: !rank-elite</t>
      </text>
    </comment>
    <comment ref="L183" authorId="0" shapeId="0">
      <text>
        <t>per-shot TOTAL across 4 main warhead(s).
raw warhead damages: 8000, 4, 8000, 4, 8000, 4,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3" authorId="0" shapeId="0">
      <text>
        <t>fires when: rank-elite</t>
      </text>
    </comment>
    <comment ref="L185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87" authorId="0" shapeId="0">
      <text>
        <t>per-shot TOTAL across 2 main warhead(s).
raw warhead damages: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7" authorId="0" shapeId="0">
      <text>
        <t>fires when: !tkm_upgrade_cryorocketsupgrade &amp;&amp; !tkm_upgrade_twinrocketsupgrade &amp;&amp; !uptitanarsenalupgrade</t>
      </text>
    </comment>
    <comment ref="L188" authorId="0" shapeId="0">
      <text>
        <t>per-shot TOTAL across 2 main warhead(s).
raw warhead damages: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8" authorId="0" shapeId="0">
      <text>
        <t>fires when: tkm_upgrade_cryorocketsupgrade</t>
      </text>
    </comment>
    <comment ref="L189" authorId="0" shapeId="0">
      <text>
        <t>per-shot TOTAL across 2 main warhead(s).
raw warhead damages: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89" authorId="0" shapeId="0">
      <text>
        <t>fires when: tkm_upgrade_twinrocketsupgrade</t>
      </text>
    </comment>
    <comment ref="L190" authorId="0" shapeId="0">
      <text>
        <t>per-shot TOTAL across 4 main warhead(s).
raw warhead damages: 2000, 6000,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90" authorId="0" shapeId="0">
      <text>
        <t>fires when: tkm_upgrade_incendiaryrocketsupgrade</t>
      </text>
    </comment>
    <comment ref="L194" authorId="0" shapeId="0">
      <text>
        <t>per-shot TOTAL across 7 main warhead(s).
raw warhead damages: 2000, 1, 2000, 1, 2000, 1, 2000, 1, 2000, 1, 2000,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96" authorId="0" shapeId="0">
      <text>
        <t>per-shot TOTAL across 5 main warhead(s).
raw warhead damages: 20000, 10000, 10, 20000, 10, 20000, 10, 20000, 10000, 10, 20000,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00" authorId="0" shapeId="0">
      <text>
        <t>per-shot TOTAL across 6 main warhead(s).
raw warhead damages: 2000, 1, 2000, 1,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01" authorId="0" shapeId="0">
      <text>
        <t>per-shot TOTAL across 3 main warhead(s).
raw warhead damages: 4000,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1" authorId="0" shapeId="0">
      <text>
        <t>fires when: !ixian_upgrade_tungstenneedleguns</t>
      </text>
    </comment>
    <comment ref="L202" authorId="0" shapeId="0">
      <text>
        <t>per-shot TOTAL across 4 main warhead(s).
raw warhead damages: 2000, 4000,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2" authorId="0" shapeId="0">
      <text>
        <t>fires when: ixian_upgrade_tungstenneedleguns</t>
      </text>
    </comment>
    <comment ref="L204" authorId="0" shapeId="0">
      <text>
        <t>per-shot TOTAL across 3 main warhead(s).
raw warhead damages: 30000, 15, 30000, 15, 30000, 15000, 15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07" authorId="0" shapeId="0">
      <text>
        <t>per-shot TOTAL across 6 main warhead(s).
raw warhead damages: 2000, 1, 2000, 1, 2000, 1000, 1, 2000, 1000,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7" authorId="0" shapeId="0">
      <text>
        <t>fires when: !td_gdi_upgrade_advancedmissiletargeting</t>
      </text>
    </comment>
    <comment ref="L208" authorId="0" shapeId="0">
      <text>
        <t>per-shot TOTAL across 6 main warhead(s).
raw warhead damages: 2000, 1, 2000, 1, 2000, 1000, 1, 2000, 1000,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8" authorId="0" shapeId="0">
      <text>
        <t>fires when: td_gdi_upgrade_advancedmissiletargeting</t>
      </text>
    </comment>
    <comment ref="AB211" authorId="0" shapeId="0">
      <text>
        <t>fires when: td_nod_upgrade_blackmarketupgrades</t>
      </text>
    </comment>
    <comment ref="L213" authorId="0" shapeId="0">
      <text>
        <t>per-shot TOTAL across 1 main warhead(s).
raw warhead damages: 8000,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3" authorId="0" shapeId="0">
      <text>
        <t>fires when: !td_nod_upgrade_elitecapacitors &amp;&amp; !td_nod_upgrade_burninglasers</t>
      </text>
    </comment>
    <comment ref="AB214" authorId="0" shapeId="0">
      <text>
        <t>fires when: td_nod_upgrade_elitecapacitors &amp;&amp; !td_nod_upgrade_burninglasers</t>
      </text>
    </comment>
    <comment ref="AB215" authorId="0" shapeId="0">
      <text>
        <t>fires when: td_nod_upgrade_burninglasers</t>
      </text>
    </comment>
    <comment ref="L217" authorId="0" shapeId="0">
      <text>
        <t>per-shot TOTAL across 2 main warhead(s).
raw warhead damages: 32000, 32000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7" authorId="0" shapeId="0">
      <text>
        <t>fires when: !japan_upgrade_energizedarrows</t>
      </text>
    </comment>
    <comment ref="L218" authorId="0" shapeId="0">
      <text>
        <t>per-shot TOTAL across 4 main warhead(s).
raw warhead damages: 16000, 8, 16000, 8000, 8,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8" authorId="0" shapeId="0">
      <text>
        <t>fires when: japan_upgrade_energizedarrows</t>
      </text>
    </comment>
    <comment ref="L219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9" authorId="0" shapeId="0">
      <text>
        <t>fires when: !japan_upgrade_advancedplasmaweapons</t>
      </text>
    </comment>
    <comment ref="L220" authorId="0" shapeId="0">
      <text>
        <t>per-shot TOTAL across 4 main warhead(s).
raw warhead damages: 4000, 2000, 4000,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0" authorId="0" shapeId="0">
      <text>
        <t>fires when: japan_upgrade_advancedplasmaweapons</t>
      </text>
    </comment>
    <comment ref="L22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1" authorId="0" shapeId="0">
      <text>
        <t>fires when: !japan_upgrade_waveforcebullets</t>
      </text>
    </comment>
    <comment ref="L222" authorId="0" shapeId="0">
      <text>
        <t>per-shot TOTAL across 3 main warhead(s).
raw warhead damages: 2000, 1000, 2000, 2000, 500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2" authorId="0" shapeId="0">
      <text>
        <t>fires when: japan_upgrade_waveforcebullets</t>
      </text>
    </comment>
    <comment ref="L224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4" authorId="0" shapeId="0">
      <text>
        <t>fires when: !ra1_soviets_upgrade_highexplosiverockets &amp;&amp; !ra1_soviets_upgrade_thermonuclearrockets &amp;&amp; !ra1_soviets_promotion_hurricanerocketpods</t>
      </text>
    </comment>
    <comment ref="L225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5" authorId="0" shapeId="0">
      <text>
        <t>fires when: !ra1_soviets_upgrade_highexplosiverockets &amp;&amp; !ra1_soviets_upgrade_thermonuclearrockets &amp;&amp; ra1_soviets_promotion_hurricanerocketpods</t>
      </text>
    </comment>
    <comment ref="L226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6" authorId="0" shapeId="0">
      <text>
        <t>fires when: !ra1_soviets_upgrade_highexplosiverockets &amp;&amp; !ra1_soviets_upgrade_thermonuclearrockets &amp;&amp; ra1_soviets_promotion_hurricanerocketpods</t>
      </text>
    </comment>
    <comment ref="L227" authorId="0" shapeId="0">
      <text>
        <t>per-shot TOTAL across 5 main warhead(s).
raw warhead damages: 2000, 2000, 1000, 1, 2000, 1000,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7" authorId="0" shapeId="0">
      <text>
        <t>fires when: ra1_soviets_upgrade_highexplosiverockets &amp;&amp; !ra1_soviets_promotion_hurricanerocketpods</t>
      </text>
    </comment>
    <comment ref="L228" authorId="0" shapeId="0">
      <text>
        <t>per-shot TOTAL across 5 main warhead(s).
raw warhead damages: 2000, 2000, 1000, 1, 2000, 1000,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8" authorId="0" shapeId="0">
      <text>
        <t>fires when: ra1_soviets_upgrade_highexplosiverockets &amp;&amp; ra1_soviets_promotion_hurricanerocketpods</t>
      </text>
    </comment>
    <comment ref="L229" authorId="0" shapeId="0">
      <text>
        <t>per-shot TOTAL across 5 main warhead(s).
raw warhead damages: 2000, 2000, 1000, 1, 2000, 1000,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9" authorId="0" shapeId="0">
      <text>
        <t>fires when: ra1_soviets_upgrade_highexplosiverockets &amp;&amp; ra1_soviets_promotion_hurricanerocketpods</t>
      </text>
    </comment>
    <comment ref="L230" authorId="0" shapeId="0">
      <text>
        <t>per-shot TOTAL across 4 main warhead(s).
raw warhead damages: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0" authorId="0" shapeId="0">
      <text>
        <t>fires when: ra1_soviets_upgrade_thermonuclearrockets &amp;&amp; !ra1_soviets_promotion_hurricanerocketpods</t>
      </text>
    </comment>
    <comment ref="L231" authorId="0" shapeId="0">
      <text>
        <t>per-shot TOTAL across 4 main warhead(s).
raw warhead damages: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1" authorId="0" shapeId="0">
      <text>
        <t>fires when: ra1_soviets_upgrade_thermonuclearrockets &amp;&amp; ra1_soviets_promotion_hurricanerocketpods</t>
      </text>
    </comment>
    <comment ref="L232" authorId="0" shapeId="0">
      <text>
        <t>per-shot TOTAL across 4 main warhead(s).
raw warhead damages: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2" authorId="0" shapeId="0">
      <text>
        <t>fires when: ra1_soviets_upgrade_thermonuclearrockets &amp;&amp; ra1_soviets_promotion_hurricanerocketpods</t>
      </text>
    </comment>
    <comment ref="AB233" authorId="0" shapeId="0">
      <text>
        <t>fires when: !ra1_soviets_upgrade_incendiarybullets</t>
      </text>
    </comment>
    <comment ref="AB234" authorId="0" shapeId="0">
      <text>
        <t>fires when: !ra1_soviets_upgrade_incendiarybullets</t>
      </text>
    </comment>
    <comment ref="L23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5" authorId="0" shapeId="0">
      <text>
        <t>fires when: ra1_soviets_upgrade_incendiarybullets</t>
      </text>
    </comment>
    <comment ref="L236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6" authorId="0" shapeId="0">
      <text>
        <t>fires when: ra1_soviets_upgrade_incendiarybullets</t>
      </text>
    </comment>
    <comment ref="L238" authorId="0" shapeId="0">
      <text>
        <t>per-shot TOTAL across 2 main warhead(s).
raw warhead damages: 16000, 16000,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8" authorId="0" shapeId="0">
      <text>
        <t>fires when: !ra1_soviets_upgrade_teslaarcing</t>
      </text>
    </comment>
    <comment ref="L239" authorId="0" shapeId="0">
      <text>
        <t>per-shot TOTAL across 2 main warhead(s).
raw warhead damages: 16000, 16000,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9" authorId="0" shapeId="0">
      <text>
        <t>fires when: ra1_soviets_upgrade_teslaarcing</t>
      </text>
    </comment>
    <comment ref="L240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0" authorId="0" shapeId="0">
      <text>
        <t>fires when: !ra1_soviets_upgrade_teslarockets &amp;&amp; !ra1_soviets_promotion_hurricanerocketpods</t>
      </text>
    </comment>
    <comment ref="L241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1" authorId="0" shapeId="0">
      <text>
        <t>fires when: !ra1_soviets_upgrade_teslarockets &amp;&amp; ra1_soviets_promotion_hurricanerocketpods</t>
      </text>
    </comment>
    <comment ref="L242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2" authorId="0" shapeId="0">
      <text>
        <t>fires when: !ra1_soviets_upgrade_teslarockets &amp;&amp; ra1_soviets_promotion_hurricanerocketpods</t>
      </text>
    </comment>
    <comment ref="L243" authorId="0" shapeId="0">
      <text>
        <t>per-shot TOTAL across 5 main warhead(s).
raw warhead damages: 2000, 1000, 1, 2000, 1000, 1, 2000, 1, 2000, 1000,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3" authorId="0" shapeId="0">
      <text>
        <t>fires when: ra1_soviets_upgrade_teslarockets &amp;&amp; !ra1_soviets_promotion_hurricanerocketpods</t>
      </text>
    </comment>
    <comment ref="L244" authorId="0" shapeId="0">
      <text>
        <t>per-shot TOTAL across 5 main warhead(s).
raw warhead damages: 2000, 1000, 1, 2000, 1000, 1, 2000, 1, 2000, 1000,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4" authorId="0" shapeId="0">
      <text>
        <t>fires when: ra1_soviets_upgrade_teslarockets &amp;&amp; ra1_soviets_promotion_hurricanerocketpods</t>
      </text>
    </comment>
    <comment ref="L245" authorId="0" shapeId="0">
      <text>
        <t>per-shot TOTAL across 5 main warhead(s).
raw warhead damages: 2000, 1000, 1, 2000, 1000, 1, 2000, 1, 2000, 1000,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5" authorId="0" shapeId="0">
      <text>
        <t>fires when: ra1_soviets_upgrade_teslarockets &amp;&amp; ra1_soviets_promotion_hurricanerocketpods</t>
      </text>
    </comment>
    <comment ref="AB246" authorId="0" shapeId="0">
      <text>
        <t>fires when: !ra1_soviets_upgrade_incendiarybullets</t>
      </text>
    </comment>
    <comment ref="AB247" authorId="0" shapeId="0">
      <text>
        <t>fires when: !ra1_soviets_upgrade_incendiarybullets</t>
      </text>
    </comment>
    <comment ref="L248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8" authorId="0" shapeId="0">
      <text>
        <t>fires when: ra1_soviets_upgrade_incendiarybullets</t>
      </text>
    </comment>
    <comment ref="L24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9" authorId="0" shapeId="0">
      <text>
        <t>fires when: ra1_soviets_upgrade_incendiarybullets</t>
      </text>
    </comment>
    <comment ref="AB251" authorId="0" shapeId="0">
      <text>
        <t>fires when: !ra1_allies_upgrade_cryomissiles</t>
      </text>
    </comment>
    <comment ref="AB252" authorId="0" shapeId="0">
      <text>
        <t>fires when: !ra1_allies_upgrade_cryomissiles</t>
      </text>
    </comment>
    <comment ref="AB253" authorId="0" shapeId="0">
      <text>
        <t>fires when: ra1_allies_upgrade_cryomissiles</t>
      </text>
    </comment>
    <comment ref="AB254" authorId="0" shapeId="0">
      <text>
        <t>fires when: ra1_allies_upgrade_cryomissiles</t>
      </text>
    </comment>
    <comment ref="L256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6" authorId="0" shapeId="0">
      <text>
        <t>fires when: !ra1_allies_upgrade_cryomissiles</t>
      </text>
    </comment>
    <comment ref="L257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7" authorId="0" shapeId="0">
      <text>
        <t>fires when: ra1_allies_upgrade_cryomissiles</t>
      </text>
    </comment>
    <comment ref="L259" authorId="0" shapeId="0">
      <text>
        <t>per-shot TOTAL across 2 main warhead(s).
raw warhead damages: 8000, 4, 600,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60" authorId="0" shapeId="0">
      <text>
        <t>per-shot TOTAL across 6 main warhead(s).
raw warhead damages: 4000, 2, 4000, 2, 4000, 2000,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62" authorId="0" shapeId="0">
      <text>
        <t>per-shot TOTAL across 3 main warhead(s).
raw warhead damages: 10000, 5, 600, 10000, 5, 1000,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63" authorId="0" shapeId="0">
      <text>
        <t>per-shot TOTAL across 6 main warhead(s).
raw warhead damages: 4000, 2, 4000, 2, 4000, 2000, 2, 4000, 2000,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65" authorId="0" shapeId="0">
      <text>
        <t>per-shot TOTAL across 1 main warhead(s).
raw warhead damages: 12500,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66" authorId="0" shapeId="0">
      <text>
        <t>per-shot TOTAL across 1 main warhead(s).
raw warhead damages: 12500,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68" authorId="0" shapeId="0">
      <text>
        <t>per-shot TOTAL across 2 main warhead(s).
raw warhead damages: -1600,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0" authorId="0" shapeId="0">
      <text>
        <t>fires when: !ts_nod_upgrade_tiberiumlenses &amp;&amp; !ts_nod_upgrade_auxiliaryweapon</t>
      </text>
    </comment>
    <comment ref="AB271" authorId="0" shapeId="0">
      <text>
        <t>fires when: !ts_nod_upgrade_tiberiumlenses &amp;&amp; ts_nod_upgrade_auxiliaryweapon</t>
      </text>
    </comment>
    <comment ref="AB272" authorId="0" shapeId="0">
      <text>
        <t>fires when: !ts_nod_upgrade_tiberiumlenses &amp;&amp; ts_nod_upgrade_auxiliaryweapon</t>
      </text>
    </comment>
    <comment ref="L273" authorId="0" shapeId="0">
      <text>
        <t>per-shot TOTAL across 2 main warhead(s).
raw warhead damages: 4000, 4000,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3" authorId="0" shapeId="0">
      <text>
        <t>fires when: ts_nod_upgrade_tiberiumlenses &amp;&amp; !ts_nod_upgrade_auxiliaryweapon</t>
      </text>
    </comment>
    <comment ref="L274" authorId="0" shapeId="0">
      <text>
        <t>per-shot TOTAL across 3 main warhead(s).
raw warhead damages: 0, 4000, 1000, 0, 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4" authorId="0" shapeId="0">
      <text>
        <t>fires when: ts_nod_upgrade_tiberiumlenses &amp;&amp; ts_nod_upgrade_auxiliaryweapon</t>
      </text>
    </comment>
    <comment ref="L275" authorId="0" shapeId="0">
      <text>
        <t>per-shot TOTAL across 2 main warhead(s).
raw warhead damages: 4000, 4000,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5" authorId="0" shapeId="0">
      <text>
        <t>fires when: ts_nod_upgrade_tiberiumlenses &amp;&amp; ts_nod_upgrade_auxiliaryweapon</t>
      </text>
    </comment>
    <comment ref="AB279" authorId="0" shapeId="0">
      <text>
        <t>fires when: !ts_gdi_upgrade_sonicweaponry</t>
      </text>
    </comment>
    <comment ref="AB280" authorId="0" shapeId="0">
      <text>
        <t>fires when: ts_gdi_upgrade_sonicweaponry</t>
      </text>
    </comment>
    <comment ref="AB282" authorId="0" shapeId="0">
      <text>
        <t>fires when: !ts_gdi_upgrade_sonicweaponry</t>
      </text>
    </comment>
    <comment ref="L283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83" authorId="0" shapeId="0">
      <text>
        <t>fires when: ts_gdi_upgrade_sonicweaponry</t>
      </text>
    </comment>
    <comment ref="AB285" authorId="0" shapeId="0">
      <text>
        <t>fires when: !forgotten_upgrade_chemicalweapons</t>
      </text>
    </comment>
    <comment ref="AB286" authorId="0" shapeId="0">
      <text>
        <t>fires when: forgotten_upgrade_chemicalweapons</t>
      </text>
    </comment>
    <comment ref="AB288" authorId="0" shapeId="0">
      <text>
        <t>fires when: !forgotten_upgrade_chemicalweapons</t>
      </text>
    </comment>
    <comment ref="AB289" authorId="0" shapeId="0">
      <text>
        <t>fires when: forgotten_upgrade_chemicalweapons</t>
      </text>
    </comment>
    <comment ref="L29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95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95" authorId="0" shapeId="0">
      <text>
        <t>fires when: undeployed</t>
      </text>
    </comment>
    <comment ref="AB296" authorId="0" shapeId="0">
      <text>
        <t>fires when: botmicro</t>
      </text>
    </comment>
    <comment ref="L297" authorId="0" shapeId="0">
      <text>
        <t>per-shot TOTAL across 2 main warhead(s).
raw warhead damages: 60000, 60000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97" authorId="0" shapeId="0">
      <text>
        <t>fires when: !rank-elite &amp;&amp; !ra2_soviets_doctrine_nuclearmunitions &amp;&amp; !ra2_soviets_doctrine_firemunitions &amp;&amp; !ra2_soviets_doctrine_teslamunitions &amp;&amp; deployed</t>
      </text>
    </comment>
    <comment ref="L298" authorId="0" shapeId="0">
      <text>
        <t>per-shot TOTAL across 3 main warhead(s).
raw warhead damages: 36000, 36000, 36000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98" authorId="0" shapeId="0">
      <text>
        <t>fires when: !rank-elite &amp;&amp; ra2_soviets_doctrine_nuclearmunitions &amp;&amp; deployed</t>
      </text>
    </comment>
    <comment ref="L299" authorId="0" shapeId="0">
      <text>
        <t>per-shot TOTAL across 2 main warhead(s).
raw warhead damages: 60000, 60000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99" authorId="0" shapeId="0">
      <text>
        <t>fires when: !rank-elite &amp;&amp; ra2_soviets_doctrine_firemunitions &amp;&amp; deployed</t>
      </text>
    </comment>
    <comment ref="L300" authorId="0" shapeId="0">
      <text>
        <t>per-shot TOTAL across 2 main warhead(s).
raw warhead damages: 60000, 60000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00" authorId="0" shapeId="0">
      <text>
        <t>fires when: !rank-elite &amp;&amp; ra2_soviets_doctrine_teslamunitions &amp;&amp; deployed</t>
      </text>
    </comment>
    <comment ref="L301" authorId="0" shapeId="0">
      <text>
        <t>per-shot TOTAL across 2 main warhead(s).
raw warhead damages: 60000, 60000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01" authorId="0" shapeId="0">
      <text>
        <t>fires when: rank-elite &amp;&amp; !ra2_soviets_doctrine_nuclearmunitions &amp;&amp; !ra2_soviets_doctrine_firemunitions &amp;&amp; !ra2_soviets_doctrine_teslamunitions &amp;&amp; deployed</t>
      </text>
    </comment>
    <comment ref="L302" authorId="0" shapeId="0">
      <text>
        <t>per-shot TOTAL across 4 main warhead(s).
raw warhead damages: 36000, 18, 36000, 36000, 36000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02" authorId="0" shapeId="0">
      <text>
        <t>fires when: rank-elite &amp;&amp; ra2_soviets_doctrine_nuclearmunitions &amp;&amp; deployed</t>
      </text>
    </comment>
    <comment ref="L303" authorId="0" shapeId="0">
      <text>
        <t>per-shot TOTAL across 2 main warhead(s).
raw warhead damages: 60000, 60000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03" authorId="0" shapeId="0">
      <text>
        <t>fires when: rank-elite &amp;&amp; ra2_soviets_doctrine_firemunitions &amp;&amp; deployed</t>
      </text>
    </comment>
    <comment ref="L304" authorId="0" shapeId="0">
      <text>
        <t>per-shot TOTAL across 2 main warhead(s).
raw warhead damages: 60000, 60000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04" authorId="0" shapeId="0">
      <text>
        <t>fires when: rank-elite &amp;&amp; ra2_soviets_doctrine_teslamunitions &amp;&amp; deployed</t>
      </text>
    </comment>
    <comment ref="L306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08" authorId="0" shapeId="0">
      <text>
        <t>per-shot TOTAL across 3 main warhead(s).
raw warhead damages: 4000,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08" authorId="0" shapeId="0">
      <text>
        <t>fires when: !rank-elite</t>
      </text>
    </comment>
    <comment ref="L309" authorId="0" shapeId="0">
      <text>
        <t>per-shot TOTAL across 3 main warhead(s).
raw warhead damages: 4000,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09" authorId="0" shapeId="0">
      <text>
        <t>fires when: rank-elite</t>
      </text>
    </comment>
    <comment ref="L310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10" authorId="0" shapeId="0">
      <text>
        <t>fires when: asianalliance_doctrine_asianphalanx &amp;&amp; !rank-elite</t>
      </text>
    </comment>
    <comment ref="L311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11" authorId="0" shapeId="0">
      <text>
        <t>fires when: asianalliance_doctrine_asianphalanx &amp;&amp; rank-elite</t>
      </text>
    </comment>
    <comment ref="L31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15" authorId="0" shapeId="0">
      <text>
        <t>per-shot TOTAL across 2 main warhead(s).
raw warhead damages: 24000, 12, 600, 24000, 12,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15" authorId="0" shapeId="0">
      <text>
        <t>fires when: !rank-elite</t>
      </text>
    </comment>
    <comment ref="L316" authorId="0" shapeId="0">
      <text>
        <t>per-shot TOTAL across 3 main warhead(s).
raw warhead damages: 16000, 8000, 16000, 8, 600, 16000, 8,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16" authorId="0" shapeId="0">
      <text>
        <t>fires when: !rank-elite &amp;&amp; steelconsortium_upgrade_quantumweaponpower</t>
      </text>
    </comment>
    <comment ref="L317" authorId="0" shapeId="0">
      <text>
        <t>per-shot TOTAL across 3 main warhead(s).
raw warhead damages: 24000, 12000, 24000, 12, 600, 24000, 12,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17" authorId="0" shapeId="0">
      <text>
        <t>fires when: rank-elite</t>
      </text>
    </comment>
    <comment ref="L31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21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21" authorId="0" shapeId="0">
      <text>
        <t>fires when: !rank-elite</t>
      </text>
    </comment>
    <comment ref="L322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22" authorId="0" shapeId="0">
      <text>
        <t>fires when: rank-elite</t>
      </text>
    </comment>
    <comment ref="L323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23" authorId="0" shapeId="0">
      <text>
        <t>fires when: !rank-elite</t>
      </text>
    </comment>
    <comment ref="L324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24" authorId="0" shapeId="0">
      <text>
        <t>fires when: rank-elite</t>
      </text>
    </comment>
    <comment ref="L326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26" authorId="0" shapeId="0">
      <text>
        <t>fires when: !rank-elite &amp;&amp; !schwarzermond_upgrade_crystallens &amp;&amp; !schwarzermond_upgrade_amplifiedlens</t>
      </text>
    </comment>
    <comment ref="L327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27" authorId="0" shapeId="0">
      <text>
        <t>fires when: rank-elite &amp;&amp; !schwarzermond_upgrade_crystallens &amp;&amp; !schwarzermond_upgrade_amplifiedlens</t>
      </text>
    </comment>
    <comment ref="L328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28" authorId="0" shapeId="0">
      <text>
        <t>fires when: !rank-elite &amp;&amp; !schwarzermond_upgrade_crystallens &amp;&amp; !schwarzermond_upgrade_amplifiedlens</t>
      </text>
    </comment>
    <comment ref="L329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29" authorId="0" shapeId="0">
      <text>
        <t>fires when: rank-elite &amp;&amp; !schwarzermond_upgrade_crystallens &amp;&amp; !schwarzermond_upgrade_amplifiedlens</t>
      </text>
    </comment>
    <comment ref="L330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30" authorId="0" shapeId="0">
      <text>
        <t>fires when: !rank-elite &amp;&amp; schwarzermond_upgrade_crystallens &amp;&amp; !schwarzermond_upgrade_amplifiedlens</t>
      </text>
    </comment>
    <comment ref="L331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31" authorId="0" shapeId="0">
      <text>
        <t>fires when: rank-elite &amp;&amp; schwarzermond_upgrade_crystallens &amp;&amp; !schwarzermond_upgrade_amplifiedlens</t>
      </text>
    </comment>
    <comment ref="L332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32" authorId="0" shapeId="0">
      <text>
        <t>fires when: !rank-elite &amp;&amp; schwarzermond_upgrade_crystallens &amp;&amp; !schwarzermond_upgrade_amplifiedlens</t>
      </text>
    </comment>
    <comment ref="L333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33" authorId="0" shapeId="0">
      <text>
        <t>fires when: rank-elite &amp;&amp; schwarzermond_upgrade_crystallens &amp;&amp; !schwarzermond_upgrade_amplifiedlens</t>
      </text>
    </comment>
    <comment ref="L334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34" authorId="0" shapeId="0">
      <text>
        <t>fires when: !rank-elite &amp;&amp; schwarzermond_upgrade_amplifiedlens</t>
      </text>
    </comment>
    <comment ref="L335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35" authorId="0" shapeId="0">
      <text>
        <t>fires when: rank-elite &amp;&amp; schwarzermond_upgrade_amplifiedlens</t>
      </text>
    </comment>
    <comment ref="L336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36" authorId="0" shapeId="0">
      <text>
        <t>fires when: !rank-elite &amp;&amp; schwarzermond_upgrade_amplifiedlens</t>
      </text>
    </comment>
    <comment ref="L337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37" authorId="0" shapeId="0">
      <text>
        <t>fires when: rank-elite &amp;&amp; schwarzermond_upgrade_amplifiedlens</t>
      </text>
    </comment>
    <comment ref="L339" authorId="0" shapeId="0">
      <text>
        <t>per-shot TOTAL across 3 main warhead(s).
raw warhead damages: 16000, 8000, 8,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40" authorId="0" shapeId="0">
      <text>
        <t>per-shot TOTAL across 6 main warhead(s).
raw warhead damages: 1000, 1, 2000, 1, 2000, 1, 2000, 1, 2000, 1000,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3" authorId="0" shapeId="0">
      <text>
        <t>fires when: !tkm_upgrade_cryorocketsupgrade &amp;&amp; !tkm_upgrade_twinrocketsupgrade &amp;&amp; !tkm_upgrade_incendiaryrocketsupgrade</t>
      </text>
    </comment>
    <comment ref="L344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4" authorId="0" shapeId="0">
      <text>
        <t>fires when: tkm_upgrade_cryorocketsupgrade</t>
      </text>
    </comment>
    <comment ref="L345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5" authorId="0" shapeId="0">
      <text>
        <t>fires when: tkm_upgrade_twinrocketsupgrade</t>
      </text>
    </comment>
    <comment ref="L346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46" authorId="0" shapeId="0">
      <text>
        <t>fires when: tkm_upgrade_incendiaryrocketsupgrade</t>
      </text>
    </comment>
    <comment ref="L349" authorId="0" shapeId="0">
      <text>
        <t>per-shot TOTAL across 5 main warhead(s).
raw warhead damages: 10000, 10000, 10000, 10000, 5, 10000, 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50" authorId="0" shapeId="0">
      <text>
        <t>per-shot TOTAL across 3 main warhead(s).
raw warhead damages: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51" authorId="0" shapeId="0">
      <text>
        <t>per-shot TOTAL across 3 main warhead(s).
raw warhead damages: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53" authorId="0" shapeId="0">
      <text>
        <t>per-shot TOTAL across 4 main warhead(s).
raw warhead damages: 6000, 3, 6000, 3, 6000, 3, 1000,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55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57" authorId="0" shapeId="0">
      <text>
        <t>per-shot TOTAL across 4 main warhead(s).
raw warhead damages: 10000, 5, 10000, 5,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60" authorId="0" shapeId="0">
      <text>
        <t>per-shot TOTAL across 1 main warhead(s).
raw warhead damages: 5000, 2500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6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62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64" authorId="0" shapeId="0">
      <text>
        <t>per-shot TOTAL across 10 main warhead(s).
raw warhead damages: 2000, 2000, 1000, 1, 2000, 1, 2000, 1, 2000, 1, 2000, 1,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65" authorId="0" shapeId="0">
      <text>
        <t>per-shot TOTAL across 10 main warhead(s).
raw warhead damages: 2000, 2000, 1000, 1, 2000, 1, 2000, 1, 2000, 1, 2000, 1,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67" authorId="0" shapeId="0">
      <text>
        <t>per-shot TOTAL across 11 main warhead(s).
raw warhead damages: 10000, 5, 10000, 5, 10000, 5, 10000, 5000, 5, 10000, 5, 10000, 5, 10000, 5, 10000, 5, 10000, 5,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7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7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75" authorId="0" shapeId="0">
      <text>
        <t>per-shot TOTAL across 6 main warhead(s).
raw warhead damages: 2000, 1, 2000, 1, 2000, 1, 2000, 1, 2000, 1000,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79" authorId="0" shapeId="0">
      <text>
        <t>per-shot TOTAL across 4 main warhead(s).
raw warhead damages: 8000, 4000, 4, 20000, 10, 8000,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81" authorId="0" shapeId="0">
      <text>
        <t>per-shot TOTAL across 6 main warhead(s).
raw warhead damages: 2000, 1, 2000, 1, 2000, 1000, 1, 1000,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85" authorId="0" shapeId="0">
      <text>
        <t>per-shot TOTAL across 3 main warhead(s).
raw warhead damages: 8000, 4000, 4, 8000, 4000,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87" authorId="0" shapeId="0">
      <text>
        <t>per-shot TOTAL across 4 main warhead(s).
raw warhead damages: 8000, 4000, 4, 8000, 4, 8000,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90" authorId="0" shapeId="0">
      <text>
        <t>per-shot TOTAL across 2 main warhead(s).
raw warhead damages: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92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96" authorId="0" shapeId="0">
      <text>
        <t>per-shot TOTAL across 1 main warhead(s).
raw warhead damages: 100000, 50000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98" authorId="0" shapeId="0">
      <text>
        <t>per-shot TOTAL across 1 main warhead(s).
raw warhead damages: 16000,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02" authorId="0" shapeId="0">
      <text>
        <t>per-shot TOTAL across 4 main warhead(s).
raw warhead damages: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03" authorId="0" shapeId="0">
      <text>
        <t>per-shot TOTAL across 4 main warhead(s).
raw warhead damages: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05" authorId="0" shapeId="0">
      <text>
        <t>per-shot TOTAL across 1 main warhead(s).
raw warhead damages: 16000,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09" authorId="0" shapeId="0">
      <text>
        <t>per-shot TOTAL across 8 main warhead(s).
raw warhead damages: 2000, 2000, 1, 2000, 1, 2000, 1,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10" authorId="0" shapeId="0">
      <text>
        <t>per-shot TOTAL across 8 main warhead(s).
raw warhead damages: 2000, 2000, 1, 2000, 1, 2000, 1,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22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25" authorId="0" shapeId="0">
      <text>
        <t>per-shot TOTAL across 2 main warhead(s).
raw warhead damages: -2000, -1000, -1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29" authorId="0" shapeId="0">
      <text>
        <t>per-shot TOTAL across 1 main warhead(s).
raw warhead damages: 24000,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30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32" authorId="0" shapeId="0">
      <text>
        <t>per-shot TOTAL across 1 main warhead(s).
raw warhead damages: 20000,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33" authorId="0" shapeId="0">
      <text>
        <t>per-shot TOTAL across 6 main warhead(s).
raw warhead damages: 10000, 5000, 5, 10000, 5, 10000, 5, 10000, 5, 10000, 5000,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35" authorId="0" shapeId="0">
      <text>
        <t>per-shot TOTAL across 5 main warhead(s).
raw warhead damages: 8000, 8000, 4, 8000, 4, 1000, 8000, 4,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35" authorId="0" shapeId="0">
      <text>
        <t>fires when: !ts_gdi_upgrade_sonicweaponry</t>
      </text>
    </comment>
    <comment ref="L436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36" authorId="0" shapeId="0">
      <text>
        <t>fires when: ts_gdi_upgrade_sonicweaponry</t>
      </text>
    </comment>
    <comment ref="AB439" authorId="0" shapeId="0">
      <text>
        <t>fires when: !rank-elite &amp;&amp; !ra2_soviets_doctrine_nuclearmunitions &amp;&amp; !ra2_soviets_doctrine_firemunitions &amp;&amp; !ra2_soviets_doctrine_teslamunitions &amp;&amp; !ra2_soviets_upgrade_kirovatomicbombs</t>
      </text>
    </comment>
    <comment ref="L440" authorId="0" shapeId="0">
      <text>
        <t>per-shot TOTAL across 2 main warhead(s).
raw warhead damages: 48000, 48000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40" authorId="0" shapeId="0">
      <text>
        <t>fires when: !rank-elite &amp;&amp; ra2_soviets_doctrine_nuclearmunitions &amp;&amp; !ra2_soviets_upgrade_kirovatomicbombs</t>
      </text>
    </comment>
    <comment ref="AB441" authorId="0" shapeId="0">
      <text>
        <t>fires when: !rank-elite &amp;&amp; ra2_soviets_doctrine_firemunitions &amp;&amp; !ra2_soviets_upgrade_kirovatomicbombs</t>
      </text>
    </comment>
    <comment ref="L442" authorId="0" shapeId="0">
      <text>
        <t>per-shot TOTAL across 2 main warhead(s).
raw warhead damages: 80000, 40000, 80000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42" authorId="0" shapeId="0">
      <text>
        <t>fires when: !rank-elite &amp;&amp; ra2_soviets_doctrine_teslamunitions &amp;&amp; !ra2_soviets_upgrade_kirovatomicbombs</t>
      </text>
    </comment>
    <comment ref="L443" authorId="0" shapeId="0">
      <text>
        <t>per-shot TOTAL across 2 main warhead(s).
raw warhead damages: 80000, 40, 80000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43" authorId="0" shapeId="0">
      <text>
        <t>fires when: (rank-elite &amp;&amp; !ra2_soviets_upgrade_kirovatomicbombs) || (!rank-elite &amp;&amp; ra2_soviets_upgrade_kirovatomicbombs)</t>
      </text>
    </comment>
    <comment ref="L444" authorId="0" shapeId="0">
      <text>
        <t>per-shot TOTAL across 2 main warhead(s).
raw warhead damages: 100000, 50, 100000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44" authorId="0" shapeId="0">
      <text>
        <t>fires when: rank-elite &amp;&amp; ra2_soviets_upgrade_kirovatomicbombs</t>
      </text>
    </comment>
    <comment ref="L446" authorId="0" shapeId="0">
      <text>
        <t>per-shot TOTAL across 1 main warhead(s).
raw warhead damages: 24000,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46" authorId="0" shapeId="0">
      <text>
        <t>fires when: !rank-elite</t>
      </text>
    </comment>
    <comment ref="L447" authorId="0" shapeId="0">
      <text>
        <t>per-shot TOTAL across 1 main warhead(s).
raw warhead damages: 48000,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47" authorId="0" shapeId="0">
      <text>
        <t>fires when: rank-elite</t>
      </text>
    </comment>
    <comment ref="L448" authorId="0" shapeId="0">
      <text>
        <t>per-shot TOTAL across 2 main warhead(s).
raw warhead damages: 2000,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48" authorId="0" shapeId="0">
      <text>
        <t>fires when: yuri_upgrade_disksiphonattack</t>
      </text>
    </comment>
    <comment ref="L451" authorId="0" shapeId="0">
      <text>
        <t>per-shot TOTAL across 4 main warhead(s).
raw warhead damages: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51" authorId="0" shapeId="0">
      <text>
        <t>fires when: !rank-elite</t>
      </text>
    </comment>
    <comment ref="L452" authorId="0" shapeId="0">
      <text>
        <t>per-shot TOTAL across 4 main warhead(s).
raw warhead damages: 2000,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52" authorId="0" shapeId="0">
      <text>
        <t>fires when: rank-elite</t>
      </text>
    </comment>
    <comment ref="L453" authorId="0" shapeId="0">
      <text>
        <t>per-shot TOTAL across 2 main warhead(s).
raw warhead damages: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53" authorId="0" shapeId="0">
      <text>
        <t>fires when: steelconsortium_upgrade_quantumweaponpower &amp;&amp; !rank-elite</t>
      </text>
    </comment>
    <comment ref="L454" authorId="0" shapeId="0">
      <text>
        <t>per-shot TOTAL across 2 main warhead(s).
raw warhead damages: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54" authorId="0" shapeId="0">
      <text>
        <t>fires when: steelconsortium_upgrade_quantumweaponpower &amp;&amp; rank-elite</t>
      </text>
    </comment>
    <comment ref="L456" authorId="0" shapeId="0">
      <text>
        <t>per-shot TOTAL across 3 main warhead(s).
raw warhead damages: 100000, 50000, 100000, 50000, 50000, 25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60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60" authorId="0" shapeId="0">
      <text>
        <t>fires when: !rank-elite</t>
      </text>
    </comment>
    <comment ref="L461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61" authorId="0" shapeId="0">
      <text>
        <t>fires when: rank-elite</t>
      </text>
    </comment>
    <comment ref="L463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63" authorId="0" shapeId="0">
      <text>
        <t>fires when: !rank-elite</t>
      </text>
    </comment>
    <comment ref="L464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64" authorId="0" shapeId="0">
      <text>
        <t>fires when: rank-elite</t>
      </text>
    </comment>
    <comment ref="L467" authorId="0" shapeId="0">
      <text>
        <t>per-shot TOTAL across 10 main warhead(s).
raw warhead damages: 4000, 4000, 2, 4000, 2, 4000, 2, 4000, 2000, 2, 4000, 2000, 2, 4000, 2, 888, 4000, 2, 600, 4000, 2, 1000,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67" authorId="0" shapeId="0">
      <text>
        <t>fires when: !rank-elite</t>
      </text>
    </comment>
    <comment ref="L468" authorId="0" shapeId="0">
      <text>
        <t>per-shot TOTAL across 10 main warhead(s).
raw warhead damages: 4000, 4000, 2, 4000, 2, 4000, 2, 4000, 2000, 2, 4000, 2000, 2, 4000, 2, 888, 4000, 2, 600, 4000, 2, 1000,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68" authorId="0" shapeId="0">
      <text>
        <t>fires when: rank-elite</t>
      </text>
    </comment>
    <comment ref="AB469" authorId="0" shapeId="0">
      <text>
        <t>fires when: !rank-elite</t>
      </text>
    </comment>
    <comment ref="AB470" authorId="0" shapeId="0">
      <text>
        <t>fires when: rank-elite</t>
      </text>
    </comment>
    <comment ref="L472" authorId="0" shapeId="0">
      <text>
        <t>per-shot TOTAL across 6 main warhead(s).
raw warhead damages: 10000, 5000, 5, 10000, 5, 10000, 10000, 5, 10000, 5,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76" authorId="0" shapeId="0">
      <text>
        <t>per-shot TOTAL across 3 main warhead(s).
raw warhead damages: 2000, 1000, 1, 2000, 1, 2000, 1,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77" authorId="0" shapeId="0">
      <text>
        <t>per-shot TOTAL across 3 main warhead(s).
raw warhead damages: 2000, 1000, 1, 2000, 1, 2000, 1,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81" authorId="0" shapeId="0">
      <text>
        <t>per-shot TOTAL across 6 main warhead(s).
raw warhead damages: 2000, 1, 2000, 1, 2000, 1, 2000, 1, 2000, 1000,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83" authorId="0" shapeId="0">
      <text>
        <t>per-shot TOTAL across 6 main warhead(s).
raw warhead damages: 2000, 1, 2000, 1, 2000, 1, 2000, 1000, 1, 2000, 1000,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85" authorId="0" shapeId="0">
      <text>
        <t>per-shot TOTAL across 9 main warhead(s).
raw warhead damages: 4000, 4000, 2, 4000, 2, 1000, 4000, 2, 4000, 2, 4000, 2, 4000, 2, 4000, 2, 4000, 2,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86" authorId="0" shapeId="0">
      <text>
        <t>per-shot TOTAL across 9 main warhead(s).
raw warhead damages: 16000, 16000, 8, 16000, 8, 1000, 16000, 8, 16000, 8, 16000, 8, 16000, 8, 16000, 8, 16000, 8,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86" authorId="0" shapeId="0">
      <text>
        <t>fires when: terran_upgrade_yamatocannonandtacticaljumpupgrade</t>
      </text>
    </comment>
    <comment ref="L488" authorId="0" shapeId="0">
      <text>
        <t>per-shot TOTAL across 8 main warhead(s).
raw warhead damages: 6000, 6000, 3, 1000, 6000, 3, 6000, 3, 6000, 3, 6000, 3, 6000, 3, 6000, 3,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89" authorId="0" shapeId="0">
      <text>
        <t>per-shot TOTAL across 9 main warhead(s).
raw warhead damages: 16000, 16000, 8, 16000, 8, 1000, 16000, 8, 16000, 8, 16000, 8, 16000, 8, 16000, 8, 16000, 8,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89" authorId="0" shapeId="0">
      <text>
        <t>fires when: terran_upgrade_yamatocannonandtacticaljumpupgrade</t>
      </text>
    </comment>
    <comment ref="L49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496" authorId="0" shapeId="0">
      <text>
        <t>per-shot TOTAL across 4 main warhead(s).
raw warhead damages: 10000, 5, 10000, 5, 10000, 5, 10000, 5000,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</commentList>
</comments>
</file>

<file path=xl/comments/comment5.xml><?xml version="1.0" encoding="utf-8"?>
<comments xmlns="http://schemas.openxmlformats.org/spreadsheetml/2006/main">
  <authors>
    <author>balance-pipeline</author>
  </authors>
  <commentList>
    <comment ref="L12" authorId="0" shapeId="0">
      <text>
        <t>per-shot TOTAL across 0 main warhead(s).
raw warhead damages: 5,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" authorId="0" shapeId="0">
      <text>
        <t>fires when: !ts_nod_tiberiumwastefacility</t>
      </text>
    </comment>
    <comment ref="L13" authorId="0" shapeId="0">
      <text>
        <t>per-shot TOTAL across 0 main warhead(s).
raw warhead damages: 5,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" authorId="0" shapeId="0">
      <text>
        <t>fires when: ts_nod_tiberiumwastefacility</t>
      </text>
    </comment>
    <comment ref="AB32" authorId="0" shapeId="0">
      <text>
        <t>fires when: !td_gdi_upgrade_armorpiercingbullets</t>
      </text>
    </comment>
    <comment ref="AB33" authorId="0" shapeId="0">
      <text>
        <t>fires when: td_gdi_upgrade_armorpiercingbullets</t>
      </text>
    </comment>
    <comment ref="L35" authorId="0" shapeId="0">
      <text>
        <t>per-shot TOTAL across 4 main warhead(s).
raw warhead damages: 1000, 3000, 3, 6000, 3000, 3,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5" authorId="0" shapeId="0">
      <text>
        <t>fires when: !td_nod_upgrade_blackmarketupgrades</t>
      </text>
    </comment>
    <comment ref="L36" authorId="0" shapeId="0">
      <text>
        <t>per-shot TOTAL across 6 main warhead(s).
raw warhead damages: 6000, 3, 6000, 3, 1000, 3000, 3, 6000, 3000, 3,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6" authorId="0" shapeId="0">
      <text>
        <t>fires when: td_nod_upgrade_blackmarketupgrades</t>
      </text>
    </comment>
    <comment ref="L38" authorId="0" shapeId="0">
      <text>
        <t>per-shot TOTAL across 1 main warhead(s).
raw warhead damages: 12000,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8" authorId="0" shapeId="0">
      <text>
        <t>fires when: !td_nod_upgrade_elitecapacitors &amp;&amp; !td_nod_upgrade_burninglasers</t>
      </text>
    </comment>
    <comment ref="AB39" authorId="0" shapeId="0">
      <text>
        <t>fires when: td_nod_upgrade_elitecapacitors &amp;&amp; !td_nod_upgrade_burninglasers</t>
      </text>
    </comment>
    <comment ref="AB40" authorId="0" shapeId="0">
      <text>
        <t>fires when: td_nod_upgrade_burninglasers</t>
      </text>
    </comment>
    <comment ref="L42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2" authorId="0" shapeId="0">
      <text>
        <t>fires when: !japan_upgrade_waveforcebullets</t>
      </text>
    </comment>
    <comment ref="L43" authorId="0" shapeId="0">
      <text>
        <t>per-shot TOTAL across 3 main warhead(s).
raw warhead damages: 4000, 1000,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3" authorId="0" shapeId="0">
      <text>
        <t>fires when: japan_upgrade_waveforcebullets</t>
      </text>
    </comment>
    <comment ref="AB45" authorId="0" shapeId="0">
      <text>
        <t>fires when: !ra1_soviets_doctrine_inferno</t>
      </text>
    </comment>
    <comment ref="AB46" authorId="0" shapeId="0">
      <text>
        <t>fires when: ra1_soviets_doctrine_inferno</t>
      </text>
    </comment>
    <comment ref="L48" authorId="0" shapeId="0">
      <text>
        <t>per-shot TOTAL across 2 main warhead(s).
raw warhead damages: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3" authorId="0" shapeId="0">
      <text>
        <t>per-shot TOTAL across 2 main warhead(s).
raw warhead damages: 10000, 10000,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55" authorId="0" shapeId="0">
      <text>
        <t>per-shot TOTAL across 2 main warhead(s).
raw warhead damages: 10000, 10000,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5" authorId="0" shapeId="0">
      <text>
        <t>fires when: !ts_nod_upgrade_tiberiumlenses</t>
      </text>
    </comment>
    <comment ref="L56" authorId="0" shapeId="0">
      <text>
        <t>per-shot TOTAL across 2 main warhead(s).
raw warhead damages: 16000, 16000,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6" authorId="0" shapeId="0">
      <text>
        <t>fires when: ts_nod_upgrade_tiberiumlenses</t>
      </text>
    </comment>
    <comment ref="L58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8" authorId="0" shapeId="0">
      <text>
        <t>fires when: !ts_gdi_upgrade_sonicweaponry</t>
      </text>
    </comment>
    <comment ref="L59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59" authorId="0" shapeId="0">
      <text>
        <t>fires when: ts_gdi_upgrade_sonicweaponry</t>
      </text>
    </comment>
    <comment ref="L61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1" authorId="0" shapeId="0">
      <text>
        <t>fires when: !forgotten_upgrade_chemicalweapons</t>
      </text>
    </comment>
    <comment ref="L62" authorId="0" shapeId="0">
      <text>
        <t>per-shot TOTAL across 3 main warhead(s).
raw warhead damages: 4000,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2" authorId="0" shapeId="0">
      <text>
        <t>fires when: forgotten_upgrade_chemicalweapons</t>
      </text>
    </comment>
    <comment ref="L64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2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3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4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76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0" authorId="0" shapeId="0">
      <text>
        <t>per-shot TOTAL across 4 main warhead(s).
raw warhead damages: 2000, 1, 2000, 1, 2000, 1000, 1, 2000, 1, 888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0" authorId="0" shapeId="0">
      <text>
        <t>fires when: !asianalliance_upgrade_celestialpower</t>
      </text>
    </comment>
    <comment ref="L81" authorId="0" shapeId="0">
      <text>
        <t>per-shot TOTAL across 4 main warhead(s).
raw warhead damages: 2000, 1, 2000, 1, 2000, 1000, 1, 2000, 1, 888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1" authorId="0" shapeId="0">
      <text>
        <t>fires when: asianalliance_upgrade_celestialpower</t>
      </text>
    </comment>
    <comment ref="AB83" authorId="0" shapeId="0">
      <text>
        <t>fires when: steelconsortium_upgrade_scalpeldefenders</t>
      </text>
    </comment>
    <comment ref="L84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5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5" authorId="0" shapeId="0">
      <text>
        <t>fires when: steelconsortium_upgrade_resonanceammo</t>
      </text>
    </comment>
    <comment ref="L89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9" authorId="0" shapeId="0">
      <text>
        <t>fires when: !rank-elite</t>
      </text>
    </comment>
    <comment ref="L90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0" authorId="0" shapeId="0">
      <text>
        <t>fires when: rank-elite</t>
      </text>
    </comment>
    <comment ref="L94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5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1" authorId="0" shapeId="0">
      <text>
        <t>per-shot TOTAL across 3 main warhead(s).
raw warhead damages: 30000, 30000,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1" authorId="0" shapeId="0">
      <text>
        <t>fires when: !schwarzermond_upgrade_vrilpoweredweapons</t>
      </text>
    </comment>
    <comment ref="L102" authorId="0" shapeId="0">
      <text>
        <t>per-shot TOTAL across 4 main warhead(s).
raw warhead damages: 2000, 1000, 30000, 30000,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2" authorId="0" shapeId="0">
      <text>
        <t>fires when: schwarzermond_upgrade_vrilpoweredweapons</t>
      </text>
    </comment>
    <comment ref="L104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4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!ifv-healer &amp;&amp; !ifv-chrono &amp;&amp; !ifv-spy &amp;&amp; !ifv-thief</t>
      </text>
    </comment>
    <comment ref="AB105" authorId="0" shapeId="0">
      <text>
        <t>fires when: ifv-miss</t>
      </text>
    </comment>
    <comment ref="AB106" authorId="0" shapeId="0">
      <text>
        <t>fires when: ifv-mg || ifv-hmg || ifv-repair || ifv-ra1_allies_alliedsniper || ifv-flak || ifv-tesla || ifv-chem || ifv-fire || ifv-cannon || ifv-deso || ifv-demo || ifv-healer || ifv-chrono || ifv-spy || ifv-thief</t>
      </text>
    </comment>
    <comment ref="L107" authorId="0" shapeId="0">
      <text>
        <t>per-shot TOTAL across 5 main warhead(s).
raw warhead damages: 10000, 5000, 5, 10000, 5, 888, 10000, 5, 10000, 5000,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7" authorId="0" shapeId="0">
      <text>
        <t>fires when: ifv-hero</t>
      </text>
    </comment>
    <comment ref="L109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1" authorId="0" shapeId="0">
      <text>
        <t>per-shot TOTAL across 2 main warhead(s).
raw warhead damages: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3" authorId="0" shapeId="0">
      <text>
        <t>per-shot TOTAL across 2 main warhead(s).
raw warhead damages: 20000,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5" authorId="0" shapeId="0">
      <text>
        <t>per-shot TOTAL across 3 main warhead(s).
raw warhead damages: 10000, 10000, 10000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1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7" authorId="0" shapeId="0">
      <text>
        <t>fires when: !ixian_upgrade_tungstenneedleguns</t>
      </text>
    </comment>
    <comment ref="L118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8" authorId="0" shapeId="0">
      <text>
        <t>fires when: ixian_upgrade_tungstenneedleguns</t>
      </text>
    </comment>
    <comment ref="L122" authorId="0" shapeId="0">
      <text>
        <t>per-shot TOTAL across 4 main warhead(s).
raw warhead damages: 6000, 6000, 3, 1000, 6000, 3, 6000, 3000,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2" authorId="0" shapeId="0">
      <text>
        <t>fires when: sunken</t>
      </text>
    </comment>
    <comment ref="L123" authorId="0" shapeId="0">
      <text>
        <t>per-shot TOTAL across 3 main warhead(s).
raw warhead damages: 12000, 6, 12000, 6, 12000, 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3" authorId="0" shapeId="0">
      <text>
        <t>fires when: spore</t>
      </text>
    </comment>
    <comment ref="L125" authorId="0" shapeId="0">
      <text>
        <t>per-shot TOTAL across 4 main warhead(s).
raw warhead damages: 6000, 6000, 3, 1000, 6000, 3, 6000, 3000,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5" authorId="0" shapeId="0">
      <text>
        <t>fires when: sunken</t>
      </text>
    </comment>
    <comment ref="L126" authorId="0" shapeId="0">
      <text>
        <t>per-shot TOTAL across 3 main warhead(s).
raw warhead damages: 12000, 6, 12000, 6, 12000, 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6" authorId="0" shapeId="0">
      <text>
        <t>fires when: spore</t>
      </text>
    </comment>
    <comment ref="L128" authorId="0" shapeId="0">
      <text>
        <t>per-shot TOTAL across 4 main warhead(s).
raw warhead damages: 6000, 6000, 3, 1000, 6000, 3, 6000, 3000,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8" authorId="0" shapeId="0">
      <text>
        <t>fires when: sunken</t>
      </text>
    </comment>
    <comment ref="L129" authorId="0" shapeId="0">
      <text>
        <t>per-shot TOTAL across 3 main warhead(s).
raw warhead damages: 12000, 6, 12000, 6, 12000, 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9" authorId="0" shapeId="0">
      <text>
        <t>fires when: spore</t>
      </text>
    </comment>
    <comment ref="L131" authorId="0" shapeId="0">
      <text>
        <t>per-shot TOTAL across 4 main warhead(s).
raw warhead damages: 6000, 6000, 3, 1000, 6000, 3, 6000, 3000,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1" authorId="0" shapeId="0">
      <text>
        <t>fires when: sunken</t>
      </text>
    </comment>
    <comment ref="L132" authorId="0" shapeId="0">
      <text>
        <t>per-shot TOTAL across 3 main warhead(s).
raw warhead damages: 12000, 6, 12000, 6, 12000, 6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2" authorId="0" shapeId="0">
      <text>
        <t>fires when: spore</t>
      </text>
    </comment>
    <comment ref="L134" authorId="0" shapeId="0">
      <text>
        <t>per-shot TOTAL across 3 main warhead(s).
raw warhead damages: 6000, 3, 1000,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4" authorId="0" shapeId="0">
      <text>
        <t>fires when: guard</t>
      </text>
    </comment>
    <comment ref="AB135" authorId="0" shapeId="0">
      <text>
        <t>fires when: cannon</t>
      </text>
    </comment>
    <comment ref="L137" authorId="0" shapeId="0">
      <text>
        <t>per-shot TOTAL across 3 main warhead(s).
raw warhead damages: 6000, 3, 1000,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7" authorId="0" shapeId="0">
      <text>
        <t>fires when: guard</t>
      </text>
    </comment>
    <comment ref="AB138" authorId="0" shapeId="0">
      <text>
        <t>fires when: cannon</t>
      </text>
    </comment>
    <comment ref="L140" authorId="0" shapeId="0">
      <text>
        <t>per-shot TOTAL across 3 main warhead(s).
raw warhead damages: 6000, 3, 1000,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0" authorId="0" shapeId="0">
      <text>
        <t>fires when: guard</t>
      </text>
    </comment>
    <comment ref="AB141" authorId="0" shapeId="0">
      <text>
        <t>fires when: cannon</t>
      </text>
    </comment>
    <comment ref="L143" authorId="0" shapeId="0">
      <text>
        <t>per-shot TOTAL across 3 main warhead(s).
raw warhead damages: 6000, 3, 1000,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3" authorId="0" shapeId="0">
      <text>
        <t>fires when: guard</t>
      </text>
    </comment>
    <comment ref="AB144" authorId="0" shapeId="0">
      <text>
        <t>fires when: cannon</t>
      </text>
    </comment>
    <comment ref="L146" authorId="0" shapeId="0">
      <text>
        <t>per-shot TOTAL across 3 main warhead(s).
raw warhead damages: 6000, 3, 1000,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6" authorId="0" shapeId="0">
      <text>
        <t>fires when: guard</t>
      </text>
    </comment>
    <comment ref="AB147" authorId="0" shapeId="0">
      <text>
        <t>fires when: cannon</t>
      </text>
    </comment>
    <comment ref="L149" authorId="0" shapeId="0">
      <text>
        <t>per-shot TOTAL across 3 main warhead(s).
raw warhead damages: 6000, 3, 1000, 6000, 3, 6000, 3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49" authorId="0" shapeId="0">
      <text>
        <t>fires when: guard</t>
      </text>
    </comment>
    <comment ref="AB150" authorId="0" shapeId="0">
      <text>
        <t>fires when: cannon</t>
      </text>
    </comment>
    <comment ref="L156" authorId="0" shapeId="0">
      <text>
        <t>per-shot TOTAL across 3 main warhead(s).
raw warhead damages: 16000,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6" authorId="0" shapeId="0">
      <text>
        <t>fires when: mortar</t>
      </text>
    </comment>
    <comment ref="L157" authorId="0" shapeId="0">
      <text>
        <t>per-shot TOTAL across 2 main warhead(s).
raw warhead damages: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7" authorId="0" shapeId="0">
      <text>
        <t>fires when: mg</t>
      </text>
    </comment>
    <comment ref="L158" authorId="0" shapeId="0">
      <text>
        <t>per-shot TOTAL across 4 main warhead(s).
raw warhead damages: 1000, 1000, 1, 2000,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58" authorId="0" shapeId="0">
      <text>
        <t>fires when: aa</t>
      </text>
    </comment>
    <comment ref="L16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0" authorId="0" shapeId="0">
      <text>
        <t>fires when: !td_gdi_upgrade_armorpiercingbullets</t>
      </text>
    </comment>
    <comment ref="AB161" authorId="0" shapeId="0">
      <text>
        <t>fires when: td_gdi_upgrade_armorpiercingbullets</t>
      </text>
    </comment>
    <comment ref="L165" authorId="0" shapeId="0">
      <text>
        <t>per-shot TOTAL across 4 main warhead(s).
raw warhead damages: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69" authorId="0" shapeId="0">
      <text>
        <t>per-shot TOTAL across 4 main warhead(s).
raw warhead damages: 4000, 2, 4000, 2, 4000, 2, 4000,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1" authorId="0" shapeId="0">
      <text>
        <t>fires when: !ra1_allies_upgrade_cryomissiles</t>
      </text>
    </comment>
    <comment ref="AB172" authorId="0" shapeId="0">
      <text>
        <t>fires when: ra1_allies_upgrade_cryomissiles</t>
      </text>
    </comment>
    <comment ref="L174" authorId="0" shapeId="0">
      <text>
        <t>per-shot TOTAL across 1 main warhead(s).
raw warhead damages: 36000,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6" authorId="0" shapeId="0">
      <text>
        <t>fires when: !ts_nod_upgrade_tiberiumcoremissiles</t>
      </text>
    </comment>
    <comment ref="AB177" authorId="0" shapeId="0">
      <text>
        <t>fires when: ts_nod_upgrade_tiberiumcoremissiles</t>
      </text>
    </comment>
    <comment ref="AB183" authorId="0" shapeId="0">
      <text>
        <t>fires when: !ra2_allies_upgrade_thunderboltmissiles</t>
      </text>
    </comment>
    <comment ref="AB184" authorId="0" shapeId="0">
      <text>
        <t>fires when: ra2_allies_upgrade_thunderboltmissiles</t>
      </text>
    </comment>
    <comment ref="L188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90" authorId="0" shapeId="0">
      <text>
        <t>per-shot TOTAL across 4 main warhead(s).
raw warhead damages: 2000, 1, 2000, 1, 2000, 1000, 1, 2000, 1, 888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90" authorId="0" shapeId="0">
      <text>
        <t>fires when: !asianalliance_upgrade_celestialpower</t>
      </text>
    </comment>
    <comment ref="L191" authorId="0" shapeId="0">
      <text>
        <t>per-shot TOTAL across 4 main warhead(s).
raw warhead damages: 2000, 1, 2000, 1, 2000, 1000, 1, 2000, 1, 888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91" authorId="0" shapeId="0">
      <text>
        <t>fires when: asianalliance_upgrade_celestialpower</t>
      </text>
    </comment>
    <comment ref="AB193" authorId="0" shapeId="0">
      <text>
        <t>fires when: steelconsortium_upgrade_scalpeldefenders</t>
      </text>
    </comment>
    <comment ref="L194" authorId="0" shapeId="0">
      <text>
        <t>per-shot TOTAL across 4 main warhead(s).
raw warhead damages: 6000, 3000, 3, 6000, 3,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94" authorId="0" shapeId="0">
      <text>
        <t>fires when: !steelconsortium_upgrade_quantumweaponpower</t>
      </text>
    </comment>
    <comment ref="L195" authorId="0" shapeId="0">
      <text>
        <t>per-shot TOTAL across 4 main warhead(s).
raw warhead damages: 6000, 3000, 3, 6000, 3, 6000, 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95" authorId="0" shapeId="0">
      <text>
        <t>fires when: steelconsortium_upgrade_quantumweaponpower</t>
      </text>
    </comment>
    <comment ref="L197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98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0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02" authorId="0" shapeId="0">
      <text>
        <t>per-shot TOTAL across 4 main warhead(s).
raw warhead damages: 10000, 5, 10000, 5,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08" authorId="0" shapeId="0">
      <text>
        <t>per-shot TOTAL across 7 main warhead(s).
raw warhead damages: 2000, 1, 2000, 1000, 1, 2000, 1000, 1,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8" authorId="0" shapeId="0">
      <text>
        <t>fires when: !td_gdi_upgrade_advancedmissiletargeting</t>
      </text>
    </comment>
    <comment ref="L209" authorId="0" shapeId="0">
      <text>
        <t>per-shot TOTAL across 7 main warhead(s).
raw warhead damages: 2000, 1, 2000, 1000, 1, 2000, 1000, 1, 2000, 1, 2000, 1, 2000, 1, 2000,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9" authorId="0" shapeId="0">
      <text>
        <t>fires when: td_gdi_upgrade_advancedmissiletargeting</t>
      </text>
    </comment>
    <comment ref="L211" authorId="0" shapeId="0">
      <text>
        <t>per-shot TOTAL across 1 main warhead(s).
raw warhead damages: 96000,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1" authorId="0" shapeId="0">
      <text>
        <t>fires when: !td_nod_upgrade_elitecapacitors &amp;&amp; !td_nod_upgrade_burninglasers</t>
      </text>
    </comment>
    <comment ref="L212" authorId="0" shapeId="0">
      <text>
        <t>per-shot TOTAL across 1 main warhead(s).
raw warhead damages: 96000,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2" authorId="0" shapeId="0">
      <text>
        <t>fires when: td_nod_upgrade_elitecapacitors &amp;&amp; !td_nod_upgrade_burninglasers</t>
      </text>
    </comment>
    <comment ref="L213" authorId="0" shapeId="0">
      <text>
        <t>per-shot TOTAL across 2 main warhead(s).
raw warhead damages: 96000, 1000, 24000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3" authorId="0" shapeId="0">
      <text>
        <t>fires when: td_nod_upgrade_burninglasers</t>
      </text>
    </comment>
    <comment ref="L215" authorId="0" shapeId="0">
      <text>
        <t>per-shot TOTAL across 4 main warhead(s).
raw warhead damages: 10000, 5000, 5, 10000, 5,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17" authorId="0" shapeId="0">
      <text>
        <t>per-shot TOTAL across 4 main warhead(s).
raw warhead damages: 10000, 5000, 5, 10000, 5, 10000, 5, 10000,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7" authorId="0" shapeId="0">
      <text>
        <t>fires when: japan_upgrade_energizedarrows</t>
      </text>
    </comment>
    <comment ref="L218" authorId="0" shapeId="0">
      <text>
        <t>per-shot TOTAL across 8 main warhead(s).
raw warhead damages: 20000, 20000, 10, 20000, 10, 20000, 10000, 10, 20000, 10, 20000, 10000, 10, 20000, 20000, 10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18" authorId="0" shapeId="0">
      <text>
        <t>fires when: japan_upgrade_energizedarrows</t>
      </text>
    </comment>
    <comment ref="L222" authorId="0" shapeId="0">
      <text>
        <t>per-shot TOTAL across 1 main warhead(s).
raw warhead damages: 32000,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2" authorId="0" shapeId="0">
      <text>
        <t>fires when: !ra1_soviets_doctrine_teslaandexperimentaltech &amp;&amp; !ra1_soviets_upgrade_teslaarcing</t>
      </text>
    </comment>
    <comment ref="L223" authorId="0" shapeId="0">
      <text>
        <t>per-shot TOTAL across 1 main warhead(s).
raw warhead damages: 32000,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3" authorId="0" shapeId="0">
      <text>
        <t>fires when: ra1_soviets_doctrine_teslaandexperimentaltech &amp;&amp; !ra1_soviets_upgrade_teslaarcing</t>
      </text>
    </comment>
    <comment ref="L224" authorId="0" shapeId="0">
      <text>
        <t>per-shot TOTAL across 1 main warhead(s).
raw warhead damages: 32000,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4" authorId="0" shapeId="0">
      <text>
        <t>fires when: ra1_soviets_upgrade_teslaarcing</t>
      </text>
    </comment>
    <comment ref="L226" authorId="0" shapeId="0">
      <text>
        <t>per-shot TOTAL across 3 main warhead(s).
raw warhead damages: 10000, 5, 10000, 5000, 5, 10000, 5000,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6" authorId="0" shapeId="0">
      <text>
        <t>fires when: !disabled &amp;&amp; !lowpower &amp;&amp; !ra1_allies_upgrade_cryomissiles</t>
      </text>
    </comment>
    <comment ref="L227" authorId="0" shapeId="0">
      <text>
        <t>per-shot TOTAL across 3 main warhead(s).
raw warhead damages: 10000, 5, 10000, 5000, 5, 10000, 5000,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27" authorId="0" shapeId="0">
      <text>
        <t>fires when: !disabled &amp;&amp; !lowpower &amp;&amp; ra1_allies_upgrade_cryomissiles</t>
      </text>
    </comment>
    <comment ref="L230" authorId="0" shapeId="0">
      <text>
        <t>per-shot TOTAL across 4 main warhead(s).
raw warhead damages: 70000, 35, 70000, 35, 600, 70000, 35, 70000, 35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32" authorId="0" shapeId="0">
      <text>
        <t>per-shot TOTAL across 2 main warhead(s).
raw warhead damages: 52000, 52000,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2" authorId="0" shapeId="0">
      <text>
        <t>fires when: !ts_nod_upgrade_tiberiumlenses</t>
      </text>
    </comment>
    <comment ref="L233" authorId="0" shapeId="0">
      <text>
        <t>per-shot TOTAL across 2 main warhead(s).
raw warhead damages: 80000, 80000,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3" authorId="0" shapeId="0">
      <text>
        <t>fires when: ts_nod_upgrade_tiberiumlenses</t>
      </text>
    </comment>
    <comment ref="L235" authorId="0" shapeId="0">
      <text>
        <t>per-shot TOTAL across 2 main warhead(s).
raw warhead damages: 10000, 5000, 5, 10000, 5000, 5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37" authorId="0" shapeId="0">
      <text>
        <t>per-shot TOTAL across 2 main warhead(s).
raw warhead damages: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7" authorId="0" shapeId="0">
      <text>
        <t>fires when: !ts_gdi_upgrade_railgunweaponry</t>
      </text>
    </comment>
    <comment ref="L238" authorId="0" shapeId="0">
      <text>
        <t>per-shot TOTAL across 3 main warhead(s).
raw warhead damages: 16000, 16000, 8000, 8, 16000, 1, 1000, 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38" authorId="0" shapeId="0">
      <text>
        <t>fires when: ts_gdi_upgrade_railgunweaponry</t>
      </text>
    </comment>
    <comment ref="L240" authorId="0" shapeId="0">
      <text>
        <t>per-shot TOTAL across 2 main warhead(s).
raw warhead damages: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0" authorId="0" shapeId="0">
      <text>
        <t>fires when: !forgotten_upgrade_chemicalweapons</t>
      </text>
    </comment>
    <comment ref="L241" authorId="0" shapeId="0">
      <text>
        <t>per-shot TOTAL across 3 main warhead(s).
raw warhead damages: 16000, 16000, 8, 16000, 8000, 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1" authorId="0" shapeId="0">
      <text>
        <t>fires when: forgotten_upgrade_chemicalweapons</t>
      </text>
    </comment>
    <comment ref="L246" authorId="0" shapeId="0">
      <text>
        <t>per-shot TOTAL across 6 main warhead(s).
raw warhead damages: 50000, 50000, 25, 50000, 25, 50000, 25000, 25, 50000, 25, 50000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48" authorId="0" shapeId="0">
      <text>
        <t>fires when: ra2_allies_upgrade_prismlinking</t>
      </text>
    </comment>
    <comment ref="L249" authorId="0" shapeId="0">
      <text>
        <t>per-shot TOTAL across 1 main warhead(s).
raw warhead damages: 32000,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51" authorId="0" shapeId="0">
      <text>
        <t>per-shot TOTAL across 1 main warhead(s).
raw warhead damages: 64000, 32000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1" authorId="0" shapeId="0">
      <text>
        <t>fires when: ((!TeslaCoilCharge &amp;&amp; !unpowered) || (TeslaCoilCharge == 1 &amp;&amp; unpowered)) &amp;&amp; (!ra2_soviets_upgrade_teslaoverload &amp;&amp; !rank-elite)</t>
      </text>
    </comment>
    <comment ref="L252" authorId="0" shapeId="0">
      <text>
        <t>per-shot TOTAL across 1 main warhead(s).
raw warhead damages: 64000, 32000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2" authorId="0" shapeId="0">
      <text>
        <t>fires when: ((!TeslaCoilCharge &amp;&amp; !unpowered) || (TeslaCoilCharge == 1 &amp;&amp; unpowered)) &amp;&amp; (ra2_soviets_upgrade_teslaoverload &amp;&amp; !rank-elite) || (!ra2_soviets_upgrade_teslaoverload &amp;&amp; rank-elite)</t>
      </text>
    </comment>
    <comment ref="L253" authorId="0" shapeId="0">
      <text>
        <t>per-shot TOTAL across 1 main warhead(s).
raw warhead damages: 64000, 32000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3" authorId="0" shapeId="0">
      <text>
        <t>fires when: ((!TeslaCoilCharge &amp;&amp; !unpowered) || (TeslaCoilCharge == 1 &amp;&amp; unpowered)) &amp;&amp; (ra2_soviets_upgrade_teslaoverload &amp;&amp; rank-elite)</t>
      </text>
    </comment>
    <comment ref="L254" authorId="0" shapeId="0">
      <text>
        <t>per-shot TOTAL across 1 main warhead(s).
raw warhead damages: 64000, 32000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4" authorId="0" shapeId="0">
      <text>
        <t>fires when: ((TeslaCoilCharge &amp;&amp; !unpowered) || (TeslaCoilCharge &gt; 1 &amp;&amp; unpowered)) &amp;&amp; (!ra2_soviets_upgrade_teslaoverload &amp;&amp; !rank-elite)</t>
      </text>
    </comment>
    <comment ref="L255" authorId="0" shapeId="0">
      <text>
        <t>per-shot TOTAL across 1 main warhead(s).
raw warhead damages: 64000, 32000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5" authorId="0" shapeId="0">
      <text>
        <t>fires when: ((TeslaCoilCharge &amp;&amp; !unpowered) || (TeslaCoilCharge &gt; 1 &amp;&amp; unpowered)) &amp;&amp; (ra2_soviets_upgrade_teslaoverload &amp;&amp; !rank-elite) || (!ra2_soviets_upgrade_teslaoverload &amp;&amp; rank-elite)</t>
      </text>
    </comment>
    <comment ref="L256" authorId="0" shapeId="0">
      <text>
        <t>per-shot TOTAL across 1 main warhead(s).
raw warhead damages: 64000, 32000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56" authorId="0" shapeId="0">
      <text>
        <t>fires when: ((TeslaCoilCharge &amp;&amp; !unpowered) || (TeslaCoilCharge &gt; 1 &amp;&amp; unpowered)) &amp;&amp; (ra2_soviets_upgrade_teslaoverload &amp;&amp; rank-elite)</t>
      </text>
    </comment>
    <comment ref="L262" authorId="0" shapeId="0">
      <text>
        <t>per-shot TOTAL across 8 main warhead(s).
raw warhead damages: 2000, 2000, 1, 2000, 1, 2000, 1, 2000, 1, 2000, 1000,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64" authorId="0" shapeId="0">
      <text>
        <t>per-shot TOTAL across 1 main warhead(s).
raw warhead damages: 30000,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66" authorId="0" shapeId="0">
      <text>
        <t>per-shot TOTAL across 4 main warhead(s).
raw warhead damages: 4000, 1, 4000, 1, 4000, 4000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69" authorId="0" shapeId="0">
      <text>
        <t>per-shot TOTAL across 4 main warhead(s).
raw warhead damages: 250000, 125000, 125, 250000, 125, 888, 250000, 125, 600, 250000, 125,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71" authorId="0" shapeId="0">
      <text>
        <t>per-shot TOTAL across 4 main warhead(s).
raw warhead damages: 250000, 125000, 125, 250000, 125, 888, 250000, 125, 600, 250000, 125,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3" authorId="0" shapeId="0">
      <text>
        <t>fires when: steelconsortium_upgrade_scalpeldefenders</t>
      </text>
    </comment>
    <comment ref="L274" authorId="0" shapeId="0">
      <text>
        <t>per-shot TOTAL across 6 main warhead(s).
raw warhead damages: 2000, 1000, 1, 2000, 1, 2000, 1, 2000, 1, 600, 2000, 1,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4" authorId="0" shapeId="0">
      <text>
        <t>fires when: !steelconsortium_upgrade_quantumweaponpower</t>
      </text>
    </comment>
    <comment ref="L275" authorId="0" shapeId="0">
      <text>
        <t>per-shot TOTAL across 6 main warhead(s).
raw warhead damages: 2000, 1000, 1, 2000, 1, 2000, 1, 2000, 1, 600, 2000, 1,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5" authorId="0" shapeId="0">
      <text>
        <t>fires when: !steelconsortium_upgrade_quantumweaponpower</t>
      </text>
    </comment>
    <comment ref="L276" authorId="0" shapeId="0">
      <text>
        <t>per-shot TOTAL across 6 main warhead(s).
raw warhead damages: 2000, 1000, 1, 2000, 1, 2000, 1, 2000, 1, 600, 2000, 1,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6" authorId="0" shapeId="0">
      <text>
        <t>fires when: steelconsortium_upgrade_quantumweaponpower</t>
      </text>
    </comment>
    <comment ref="L277" authorId="0" shapeId="0">
      <text>
        <t>per-shot TOTAL across 6 main warhead(s).
raw warhead damages: 2000, 1000, 1, 2000, 1, 2000, 1, 2000, 1, 600, 2000, 1, 1000,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77" authorId="0" shapeId="0">
      <text>
        <t>fires when: steelconsortium_upgrade_quantumweaponpower</t>
      </text>
    </comment>
    <comment ref="L281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81" authorId="0" shapeId="0">
      <text>
        <t>fires when: !schwarzermond_upgrade_crystallens &amp;&amp; !schwarzermond_upgrade_amplifiedlens</t>
      </text>
    </comment>
    <comment ref="L282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82" authorId="0" shapeId="0">
      <text>
        <t>fires when: schwarzermond_upgrade_crystallens &amp;&amp; !schwarzermond_upgrade_amplifiedlens</t>
      </text>
    </comment>
    <comment ref="L283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83" authorId="0" shapeId="0">
      <text>
        <t>fires when: schwarzermond_upgrade_amplifiedlens</t>
      </text>
    </comment>
    <comment ref="L285" authorId="0" shapeId="0">
      <text>
        <t>per-shot TOTAL across 6 main warhead(s).
raw warhead damages: 1000, 1, 2000, 1, 2000, 1, 2000, 1, 2000, 1000,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87" authorId="0" shapeId="0">
      <text>
        <t>per-shot TOTAL across 4 main warhead(s).
raw warhead damages: 12000, 12000, 12000,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89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95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299" authorId="0" shapeId="0">
      <text>
        <t>per-shot TOTAL across 4 main warhead(s).
raw warhead damages: 2000, 1, 2000, 1, 2000, 1, 2000, 1, 600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99" authorId="0" shapeId="0">
      <text>
        <t>fires when: !schwarzermond_upgrade_crystallens</t>
      </text>
    </comment>
  </commentList>
</comments>
</file>

<file path=xl/comments/comment6.xml><?xml version="1.0" encoding="utf-8"?>
<comments xmlns="http://schemas.openxmlformats.org/spreadsheetml/2006/main">
  <authors>
    <author>balance-pipeline</author>
  </authors>
  <commentList>
    <comment ref="AB11" authorId="0" shapeId="0">
      <text>
        <t>fires when: !td_gdi_upgrade_advancedmissiletargeting</t>
      </text>
    </comment>
    <comment ref="AB12" authorId="0" shapeId="0">
      <text>
        <t>fires when: td_gdi_upgrade_advancedmissiletargeting</t>
      </text>
    </comment>
    <comment ref="L16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6" authorId="0" shapeId="0">
      <text>
        <t>fires when: !td_nod_upgrade_blackmarketupgrades</t>
      </text>
    </comment>
    <comment ref="L17" authorId="0" shapeId="0">
      <text>
        <t>per-shot TOTAL across 2 main warhead(s).
raw warhead damages: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7" authorId="0" shapeId="0">
      <text>
        <t>fires when: td_nod_upgrade_blackmarketupgrades</t>
      </text>
    </comment>
    <comment ref="L19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9" authorId="0" shapeId="0">
      <text>
        <t>fires when: !japan_upgrade_waveforcebullets</t>
      </text>
    </comment>
    <comment ref="L20" authorId="0" shapeId="0">
      <text>
        <t>per-shot TOTAL across 3 main warhead(s).
raw warhead damages: 2000, 1000,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0" authorId="0" shapeId="0">
      <text>
        <t>fires when: japan_upgrade_waveforcebullets</t>
      </text>
    </comment>
    <comment ref="AB24" authorId="0" shapeId="0">
      <text>
        <t>fires when: !ra1_allies_upgrade_cryomissiles</t>
      </text>
    </comment>
    <comment ref="AB25" authorId="0" shapeId="0">
      <text>
        <t>fires when: !ra1_allies_upgrade_cryomissiles</t>
      </text>
    </comment>
    <comment ref="AB26" authorId="0" shapeId="0">
      <text>
        <t>fires when: ra1_allies_upgrade_cryomissiles</t>
      </text>
    </comment>
    <comment ref="AB27" authorId="0" shapeId="0">
      <text>
        <t>fires when: ra1_allies_upgrade_cryomissiles</t>
      </text>
    </comment>
    <comment ref="L29" authorId="0" shapeId="0">
      <text>
        <t>per-shot TOTAL across 2 main warhead(s).
raw warhead damages: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29" authorId="0" shapeId="0">
      <text>
        <t>fires when: !ra1_soviets_doctrine_inferno</t>
      </text>
    </comment>
    <comment ref="AB30" authorId="0" shapeId="0">
      <text>
        <t>fires when: ra1_soviets_doctrine_inferno</t>
      </text>
    </comment>
    <comment ref="L32" authorId="0" shapeId="0">
      <text>
        <t>per-shot TOTAL across 1 main warhead(s).
raw warhead damages: 40000,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33" authorId="0" shapeId="0">
      <text>
        <t>per-shot TOTAL across 1 main warhead(s).
raw warhead damages: 36000,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6" authorId="0" shapeId="0">
      <text>
        <t>fires when: end_disable == 0</t>
      </text>
    </comment>
    <comment ref="L37" authorId="0" shapeId="0">
      <text>
        <t>per-shot TOTAL across 1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7" authorId="0" shapeId="0">
      <text>
        <t>fires when: end_disable &gt;= 1</t>
      </text>
    </comment>
    <comment ref="L39" authorId="0" shapeId="0">
      <text>
        <t>per-shot TOTAL across 2 main warhead(s).
raw warhead damages: 9000, 9000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39" authorId="0" shapeId="0">
      <text>
        <t>fires when: !rank-elite</t>
      </text>
    </comment>
    <comment ref="L40" authorId="0" shapeId="0">
      <text>
        <t>per-shot TOTAL across 3 main warhead(s).
raw warhead damages: 10000, 10000, 5, 10000, 5, 5000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0" authorId="0" shapeId="0">
      <text>
        <t>fires when: rank-elite</t>
      </text>
    </comment>
    <comment ref="L42" authorId="0" shapeId="0">
      <text>
        <t>per-shot TOTAL across 2 main warhead(s).
raw warhead damages: 18000, 18000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2" authorId="0" shapeId="0">
      <text>
        <t>fires when: !rank-elite</t>
      </text>
    </comment>
    <comment ref="L43" authorId="0" shapeId="0">
      <text>
        <t>per-shot TOTAL across 2 main warhead(s).
raw warhead damages: 18000, 18000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43" authorId="0" shapeId="0">
      <text>
        <t>fires when: rank-elite</t>
      </text>
    </comment>
    <comment ref="AB46" authorId="0" shapeId="0">
      <text>
        <t>fires when: !forgotten_upgrade_chemicalweapons</t>
      </text>
    </comment>
    <comment ref="AB47" authorId="0" shapeId="0">
      <text>
        <t>fires when: forgotten_upgrade_chemicalweapons</t>
      </text>
    </comment>
    <comment ref="AB50" authorId="0" shapeId="0">
      <text>
        <t>fires when: !forgotten_upgrade_chemicalweapons</t>
      </text>
    </comment>
    <comment ref="AB51" authorId="0" shapeId="0">
      <text>
        <t>fires when: forgotten_upgrade_chemicalweapons</t>
      </text>
    </comment>
    <comment ref="AB53" authorId="0" shapeId="0">
      <text>
        <t>fires when: !rank-elite</t>
      </text>
    </comment>
    <comment ref="AB54" authorId="0" shapeId="0">
      <text>
        <t>fires when: rank-elite</t>
      </text>
    </comment>
    <comment ref="L57" authorId="0" shapeId="0">
      <text>
        <t>per-shot TOTAL across 2 main warhead(s).
raw warhead damages: 2000,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63" authorId="0" shapeId="0">
      <text>
        <t>per-shot TOTAL across 2 main warhead(s).
raw warhead damages: 18000, 18000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3" authorId="0" shapeId="0">
      <text>
        <t>fires when: !rank-elite</t>
      </text>
    </comment>
    <comment ref="L64" authorId="0" shapeId="0">
      <text>
        <t>per-shot TOTAL across 2 main warhead(s).
raw warhead damages: 18000, 18000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4" authorId="0" shapeId="0">
      <text>
        <t>fires when: rank-elite</t>
      </text>
    </comment>
    <comment ref="AB66" authorId="0" shapeId="0">
      <text>
        <t>fires when: !rank-elite</t>
      </text>
    </comment>
    <comment ref="AB67" authorId="0" shapeId="0">
      <text>
        <t>fires when: rank-elite</t>
      </text>
    </comment>
    <comment ref="L68" authorId="0" shapeId="0">
      <text>
        <t>per-shot TOTAL across 4 main warhead(s).
raw warhead damages: 2000, 1, 2000, 1000,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8" authorId="0" shapeId="0">
      <text>
        <t>fires when: !rank-elite</t>
      </text>
    </comment>
    <comment ref="L69" authorId="0" shapeId="0">
      <text>
        <t>per-shot TOTAL across 4 main warhead(s).
raw warhead damages: 2000, 1, 2000, 1000,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69" authorId="0" shapeId="0">
      <text>
        <t>fires when: rank-elite</t>
      </text>
    </comment>
    <comment ref="AB71" authorId="0" shapeId="0">
      <text>
        <t>fires when: rank-elite</t>
      </text>
    </comment>
    <comment ref="L75" authorId="0" shapeId="0">
      <text>
        <t>per-shot TOTAL across 2 main warhead(s).
raw warhead damages: 12000,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77" authorId="0" shapeId="0">
      <text>
        <t>fires when: !rank-elite</t>
      </text>
    </comment>
    <comment ref="AB78" authorId="0" shapeId="0">
      <text>
        <t>fires when: rank-elite</t>
      </text>
    </comment>
    <comment ref="L80" authorId="0" shapeId="0">
      <text>
        <t>per-shot TOTAL across 3 main warhead(s).
raw warhead damages: 2000, 5, 10000, 5, 600, 2000, 1000,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0" authorId="0" shapeId="0">
      <text>
        <t>fires when: !rank-elite</t>
      </text>
    </comment>
    <comment ref="L81" authorId="0" shapeId="0">
      <text>
        <t>per-shot TOTAL across 3 main warhead(s).
raw warhead damages: 2000, 5, 10000, 5, 600, 2000, 1000, 1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81" authorId="0" shapeId="0">
      <text>
        <t>fires when: rank-elite</t>
      </text>
    </comment>
    <comment ref="L83" authorId="0" shapeId="0">
      <text>
        <t>per-shot TOTAL across 3 main warhead(s).
raw warhead damages: 8000, 8000, 8000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5" authorId="0" shapeId="0">
      <text>
        <t>per-shot TOTAL across 2 main warhead(s).
raw warhead damages: 12000, 12000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8" authorId="0" shapeId="0">
      <text>
        <t>per-shot TOTAL across 1 main warhead(s).
raw warhead damages: 50000,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89" authorId="0" shapeId="0">
      <text>
        <t>per-shot TOTAL across 1 main warhead(s).
raw warhead damages: 50000,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1" authorId="0" shapeId="0">
      <text>
        <t>per-shot TOTAL across 1 main warhead(s).
raw warhead damages: 120000, 1000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4" authorId="0" shapeId="0">
      <text>
        <t>per-shot TOTAL across 2 main warhead(s).
raw warhead damages: 20000,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95" authorId="0" shapeId="0">
      <text>
        <t>per-shot TOTAL across 2 main warhead(s).
raw warhead damages: 20000,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98" authorId="0" shapeId="0">
      <text>
        <t>fires when: !ra1_allies_upgrade_cryomissiles</t>
      </text>
    </comment>
    <comment ref="AB99" authorId="0" shapeId="0">
      <text>
        <t>fires when: ra1_allies_upgrade_cryomissiles</t>
      </text>
    </comment>
    <comment ref="AB100" authorId="0" shapeId="0">
      <text>
        <t>fires when: !ra1_allies_upgrade_cryomissiles</t>
      </text>
    </comment>
    <comment ref="AB101" authorId="0" shapeId="0">
      <text>
        <t>fires when: !ra1_allies_upgrade_cryomissiles</t>
      </text>
    </comment>
    <comment ref="AB102" authorId="0" shapeId="0">
      <text>
        <t>fires when: ra1_allies_upgrade_cryomissiles</t>
      </text>
    </comment>
    <comment ref="AB103" authorId="0" shapeId="0">
      <text>
        <t>fires when: ra1_allies_upgrade_cryomissiles</t>
      </text>
    </comment>
    <comment ref="L105" authorId="0" shapeId="0">
      <text>
        <t>per-shot TOTAL across 3 main warhead(s).
raw warhead damages: 4000, 2, 4000, 2, 4000, 2000,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09" authorId="0" shapeId="0">
      <text>
        <t>per-shot TOTAL across 2 main warhead(s).
raw warhead damages: 2000,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09" authorId="0" shapeId="0">
      <text>
        <t>fires when: !forgotten_upgrade_chemicalweapons</t>
      </text>
    </comment>
    <comment ref="L110" authorId="0" shapeId="0">
      <text>
        <t>per-shot TOTAL across 3 main warhead(s).
raw warhead damages: 1000, 500, 1, 16000, 8, 8000, 4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10" authorId="0" shapeId="0">
      <text>
        <t>fires when: forgotten_upgrade_chemicalweapons</t>
      </text>
    </comment>
    <comment ref="AB115" authorId="0" shapeId="0">
      <text>
        <t>fires when: upra2aegismissiles</t>
      </text>
    </comment>
    <comment ref="L118" authorId="0" shapeId="0">
      <text>
        <t>per-shot TOTAL across 4 main warhead(s).
raw warhead damages: 2000, 1, 2000, 1000, 1, 2000, 1,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20" authorId="0" shapeId="0">
      <text>
        <t>per-shot TOTAL across 4 main warhead(s).
raw warhead damages: 2000, 1, 2000, 1, 2000, 1000, 1, 2000, 1, 888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0" authorId="0" shapeId="0">
      <text>
        <t>fires when: !asianalliance_upgrade_celestialpower</t>
      </text>
    </comment>
    <comment ref="L121" authorId="0" shapeId="0">
      <text>
        <t>per-shot TOTAL across 4 main warhead(s).
raw warhead damages: 2000, 1, 2000, 1, 2000, 1000, 1, 2000, 1, 888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1" authorId="0" shapeId="0">
      <text>
        <t>fires when: asianalliance_upgrade_celestialpower</t>
      </text>
    </comment>
    <comment ref="L122" authorId="0" shapeId="0">
      <text>
        <t>per-shot TOTAL across 4 main warhead(s).
raw warhead damages: 2000, 1, 2000, 1, 2000, 1000, 1, 2000, 1, 888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2" authorId="0" shapeId="0">
      <text>
        <t>fires when: !asianalliance_upgrade_celestialpower</t>
      </text>
    </comment>
    <comment ref="L123" authorId="0" shapeId="0">
      <text>
        <t>per-shot TOTAL across 4 main warhead(s).
raw warhead damages: 2000, 1, 2000, 1, 2000, 1000, 1, 2000, 1, 888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3" authorId="0" shapeId="0">
      <text>
        <t>fires when: asianalliance_upgrade_celestialpower</t>
      </text>
    </comment>
    <comment ref="L125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5" authorId="0" shapeId="0">
      <text>
        <t>fires when: !rank-elite</t>
      </text>
    </comment>
    <comment ref="L126" authorId="0" shapeId="0">
      <text>
        <t>per-shot TOTAL across 3 main warhead(s).
raw warhead damages: 2000,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26" authorId="0" shapeId="0">
      <text>
        <t>fires when: rank-elite</t>
      </text>
    </comment>
    <comment ref="L135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5" authorId="0" shapeId="0">
      <text>
        <t>fires when: !ra1_allies_upgrade_cryomissiles</t>
      </text>
    </comment>
    <comment ref="L136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AB136" authorId="0" shapeId="0">
      <text>
        <t>fires when: !ra1_allies_upgrade_cryomissiles</t>
      </text>
    </comment>
    <comment ref="AB137" authorId="0" shapeId="0">
      <text>
        <t>fires when: ra1_allies_upgrade_cryomissiles</t>
      </text>
    </comment>
    <comment ref="AB138" authorId="0" shapeId="0">
      <text>
        <t>fires when: ra1_allies_upgrade_cryomissiles</t>
      </text>
    </comment>
    <comment ref="L142" authorId="0" shapeId="0">
      <text>
        <t>per-shot TOTAL across 3 main warhead(s).
raw warhead damages: 25000, 12, 25000, 12, 25000, 12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44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45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46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47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48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50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51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52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53" authorId="0" shapeId="0">
      <text>
        <t>per-shot TOTAL across 2 main warhead(s).
raw warhead damages: 2000, 2000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56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57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58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59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60" authorId="0" shapeId="0">
      <text>
        <t>per-shot TOTAL across 3 main warhead(s).
raw warhead damages: 4000, 2, 4000, 2, 4000, 2000,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61" authorId="0" shapeId="0">
      <text>
        <t>per-shot TOTAL across 3 main warhead(s).
raw warhead damages: 4000, 2, 4000, 2, 4000, 2000, 2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67" authorId="0" shapeId="0">
      <text>
        <t>per-shot TOTAL across 2 main warhead(s).
raw warhead damages: 20000, 20000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74" authorId="0" shapeId="0">
      <text>
        <t>per-shot TOTAL across 3 main warhead(s).
raw warhead damages: 16000, 16000, 16000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76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77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78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  <comment ref="L179" authorId="0" shapeId="0">
      <text>
        <t>per-shot TOTAL across 2 main warhead(s).
raw warhead damages: 40000, 40000
editing this gives every main warhead the IDENTICAL value total/N snapped to the 100 grid (FriendlyFire + ExtraDamage twins 50%; percentage twins follow their node denominator; ExtraDamage excluded from the total). Actor FirepowerMultiplier is read for legacy compatibility, not used as a tuning knob.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cameo_balance_by_type — generated workbench (build_workbook.py).</t>
        </is>
      </c>
    </row>
    <row r="2">
      <c r="A2" s="1" t="inlineStr">
        <is>
          <t>TRACKED generated workbench; regenerate from the ledger, never treat as source.</t>
        </is>
      </c>
    </row>
    <row r="3">
      <c r="A3" s="1" t="inlineStr">
        <is>
          <t>Formula law (formula.py, Tiger anchor O=P=Q=Cost=800):</t>
        </is>
      </c>
    </row>
    <row r="4">
      <c r="A4" s="2" t="inlineStr">
        <is>
          <t>DPS</t>
        </is>
      </c>
      <c r="B4" t="inlineStr">
        <is>
          <t>Damage*Burst/(Reload+sum of every burst gap; blank delay = 5 each)*FirepowerMultiplier</t>
        </is>
      </c>
    </row>
    <row r="5">
      <c r="A5" s="2" t="inlineStr">
        <is>
          <t>WeapClass</t>
        </is>
      </c>
      <c r="B5" t="inlineStr">
        <is>
          <t>design data only — retired from pricing 2026-08-11 (W4)</t>
        </is>
      </c>
    </row>
    <row r="6">
      <c r="A6" s="2" t="inlineStr">
        <is>
          <t>O</t>
        </is>
      </c>
      <c r="B6" t="inlineStr">
        <is>
          <t>(HP/1e5+Speed/100+Rng*Spec/5+DPS/200)*200*UC*Tier</t>
        </is>
      </c>
    </row>
    <row r="7">
      <c r="A7" s="2" t="inlineStr">
        <is>
          <t>P</t>
        </is>
      </c>
      <c r="B7" t="inlineStr">
        <is>
          <t>((HP*Speed/25000)+(Rng*Spec*DPS/2.5))*UC*Tier</t>
        </is>
      </c>
    </row>
    <row r="8">
      <c r="A8" s="2" t="inlineStr">
        <is>
          <t>Q</t>
        </is>
      </c>
      <c r="B8" t="inlineStr">
        <is>
          <t>(HP*Speed*Rng*Spec*DPS*UC*Tier)/12.5e6</t>
        </is>
      </c>
    </row>
    <row r="9">
      <c r="A9" s="2" t="inlineStr">
        <is>
          <t>Price</t>
        </is>
      </c>
      <c r="B9" t="inlineStr">
        <is>
          <t>(O+P+Q)/3   |   RangeSolve: price(range)=Cost, exact</t>
        </is>
      </c>
    </row>
    <row r="10">
      <c r="A10" s="2" t="inlineStr">
        <is>
          <t>Generator fingerprint</t>
        </is>
      </c>
      <c r="B10" t="inlineStr">
        <is>
          <t>986da27f1d864c3ab9824b518e7caccc4adc6397edb8235590381c7801537e14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23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Infantry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shared</t>
        </is>
      </c>
      <c r="B3" t="inlineStr">
        <is>
          <t>E6</t>
        </is>
      </c>
      <c r="C3" t="inlineStr">
        <is>
          <t>Engineer</t>
        </is>
      </c>
      <c r="D3" s="6" t="inlineStr">
        <is>
          <t>Infantry</t>
        </is>
      </c>
      <c r="E3" s="6" t="n">
        <v>5000</v>
      </c>
      <c r="F3" s="6" t="n">
        <v>50</v>
      </c>
      <c r="G3" t="inlineStr">
        <is>
          <t>None</t>
        </is>
      </c>
      <c r="H3" s="6" t="n">
        <v>1</v>
      </c>
      <c r="I3" s="6" t="n">
        <v>1</v>
      </c>
      <c r="J3" s="6" t="n">
        <v>1</v>
      </c>
      <c r="X3" s="6" t="n">
        <v>500</v>
      </c>
    </row>
    <row r="4">
      <c r="B4" s="7" t="inlineStr">
        <is>
          <t xml:space="preserve">  ↳ DefuseKit</t>
        </is>
      </c>
      <c r="C4" s="7" t="inlineStr">
        <is>
          <t>Armament@defuse</t>
        </is>
      </c>
      <c r="M4" s="6" t="n">
        <v>20</v>
      </c>
      <c r="N4" s="6" t="n">
        <v>1</v>
      </c>
      <c r="O4" s="6" t="n"/>
      <c r="P4" s="6" t="n">
        <v>1536</v>
      </c>
      <c r="Q4" s="6" t="n">
        <v>1</v>
      </c>
      <c r="R4">
        <f>M4+IF(MAX(N4-1,0)&gt;0,IF(ISBLANK(O4),5*MAX(N4-1,0),IF(ISNUMBER(O4),O4*MAX(N4-1,0),SUM(IFERROR(VALUE(TEXTSPLIT(O4,",")),0)))),0)</f>
        <v/>
      </c>
      <c r="S4">
        <f>IFERROR(L4*MAX(N4,1)/R4*IF(ISBLANK(K3),1,K3),0)</f>
        <v/>
      </c>
      <c r="AB4" s="7" t="inlineStr">
        <is>
          <t>^RemovesIvanBombs, ^RemovesTerrorDrone</t>
        </is>
      </c>
    </row>
    <row r="5">
      <c r="B5" s="7" t="inlineStr">
        <is>
          <t xml:space="preserve">  ↳ LeechDisinfect</t>
        </is>
      </c>
      <c r="C5" s="7" t="inlineStr">
        <is>
          <t>Armament@leechdisinfect</t>
        </is>
      </c>
      <c r="M5" s="6" t="n">
        <v>100</v>
      </c>
      <c r="N5" s="6" t="n">
        <v>1</v>
      </c>
      <c r="O5" s="6" t="n"/>
      <c r="P5" s="6" t="n">
        <v>1536</v>
      </c>
      <c r="Q5" s="6" t="n">
        <v>1</v>
      </c>
      <c r="R5">
        <f>M5+IF(MAX(N5-1,0)&gt;0,IF(ISBLANK(O5),5*MAX(N5-1,0),IF(ISNUMBER(O5),O5*MAX(N5-1,0),SUM(IFERROR(VALUE(TEXTSPLIT(O5,",")),0)))),0)</f>
        <v/>
      </c>
      <c r="S5">
        <f>IFERROR(L5*MAX(N5,1)/R5*IF(ISBLANK(K3),1,K3),0)</f>
        <v/>
      </c>
      <c r="AB5" s="7" t="inlineStr"/>
    </row>
    <row r="6">
      <c r="A6" t="inlineStr">
        <is>
          <t>shared</t>
        </is>
      </c>
      <c r="B6" t="inlineStr">
        <is>
          <t>ra1_agentdelphi</t>
        </is>
      </c>
      <c r="C6" t="inlineStr">
        <is>
          <t>Agent Delphi</t>
        </is>
      </c>
      <c r="D6" s="6" t="inlineStr">
        <is>
          <t>Infantry</t>
        </is>
      </c>
      <c r="E6" s="6" t="n">
        <v>2500</v>
      </c>
      <c r="F6" s="6" t="n">
        <v>71</v>
      </c>
      <c r="G6" t="inlineStr">
        <is>
          <t>None</t>
        </is>
      </c>
      <c r="H6" s="6" t="n">
        <v>1</v>
      </c>
      <c r="I6" s="6" t="n">
        <v>1</v>
      </c>
      <c r="J6" s="6" t="n">
        <v>1</v>
      </c>
      <c r="P6">
        <f>MAX(P7)</f>
        <v/>
      </c>
      <c r="S6">
        <f>S7</f>
        <v/>
      </c>
      <c r="T6">
        <f>(E6/100000+F6/100+(P6/1000)*J6/5+S6/200)*200*I6*H6</f>
        <v/>
      </c>
      <c r="U6">
        <f>((E6*F6/25000)+((P6/1000)*J6*S6/2.5))*I6*H6</f>
        <v/>
      </c>
      <c r="V6">
        <f>(E6*F6*(P6/1000)*J6*S6*I6*H6)/12500000</f>
        <v/>
      </c>
      <c r="W6">
        <f>(T6+U6+V6)/3</f>
        <v/>
      </c>
      <c r="X6" s="6" t="n">
        <v>10</v>
      </c>
      <c r="Y6">
        <f>IFERROR(W6-X6,"")</f>
        <v/>
      </c>
      <c r="Z6">
        <f>IFERROR(ABS(Y6)/MAX(X6,1),"")</f>
        <v/>
      </c>
      <c r="AA6">
        <f>IFERROR((X6-(((E6/100000+F6/100+S6/200)*200*I6*H6)+((E6*F6/25000)*I6*H6))/3)/(((J6/5)*200*I6*H6)+((J6*S6/2.5)*I6*H6)+((E6*F6*J6*S6*I6*H6)/12500000))/3*1000,"")</f>
        <v/>
      </c>
    </row>
    <row r="7">
      <c r="B7" s="7" t="inlineStr">
        <is>
          <t xml:space="preserve">  ↳ Pistol</t>
        </is>
      </c>
      <c r="C7" s="7" t="inlineStr">
        <is>
          <t>Armament</t>
        </is>
      </c>
      <c r="L7" s="6" t="n">
        <v>100</v>
      </c>
      <c r="M7" s="6" t="n">
        <v>7</v>
      </c>
      <c r="N7" s="6" t="n">
        <v>1</v>
      </c>
      <c r="O7" s="6" t="n"/>
      <c r="P7" s="6" t="n">
        <v>3072</v>
      </c>
      <c r="Q7" s="6" t="n">
        <v>1</v>
      </c>
      <c r="R7">
        <f>M7+IF(MAX(N7-1,0)&gt;0,IF(ISBLANK(O7),5*MAX(N7-1,0),IF(ISNUMBER(O7),O7*MAX(N7-1,0),SUM(IFERROR(VALUE(TEXTSPLIT(O7,",")),0)))),0)</f>
        <v/>
      </c>
      <c r="S7">
        <f>IFERROR(L7*MAX(N7,1)/R7*IF(ISBLANK(K6),1,K6),0)</f>
        <v/>
      </c>
      <c r="AB7" s="7" t="inlineStr">
        <is>
          <t>^LightMG</t>
        </is>
      </c>
    </row>
    <row r="8">
      <c r="A8" t="inlineStr">
        <is>
          <t>shared</t>
        </is>
      </c>
      <c r="B8" t="inlineStr">
        <is>
          <t>ra1_einstein</t>
        </is>
      </c>
      <c r="C8" t="inlineStr">
        <is>
          <t>Prof. Einstein</t>
        </is>
      </c>
      <c r="D8" s="6" t="inlineStr">
        <is>
          <t>Infantry</t>
        </is>
      </c>
      <c r="E8" s="6" t="n">
        <v>2500</v>
      </c>
      <c r="F8" s="6" t="n">
        <v>71</v>
      </c>
      <c r="G8" t="inlineStr">
        <is>
          <t>None</t>
        </is>
      </c>
      <c r="H8" s="6" t="n">
        <v>1</v>
      </c>
      <c r="I8" s="6" t="n">
        <v>1</v>
      </c>
      <c r="J8" s="6" t="n">
        <v>1</v>
      </c>
      <c r="X8" s="6" t="n">
        <v>10</v>
      </c>
    </row>
    <row r="9">
      <c r="A9" t="inlineStr">
        <is>
          <t>shared</t>
        </is>
      </c>
      <c r="B9" t="inlineStr">
        <is>
          <t>ra1_engineer</t>
        </is>
      </c>
      <c r="C9" t="inlineStr">
        <is>
          <t>Engineer</t>
        </is>
      </c>
      <c r="D9" s="6" t="inlineStr">
        <is>
          <t>Infantry</t>
        </is>
      </c>
      <c r="E9" s="6" t="n">
        <v>5000</v>
      </c>
      <c r="F9" s="6" t="n">
        <v>50</v>
      </c>
      <c r="G9" t="inlineStr">
        <is>
          <t>None</t>
        </is>
      </c>
      <c r="H9" s="6" t="n">
        <v>1</v>
      </c>
      <c r="I9" s="6" t="n">
        <v>1</v>
      </c>
      <c r="J9" s="6" t="n">
        <v>1</v>
      </c>
      <c r="X9" s="6" t="n">
        <v>500</v>
      </c>
    </row>
    <row r="10">
      <c r="B10" s="7" t="inlineStr">
        <is>
          <t xml:space="preserve">  ↳ DefuseKit</t>
        </is>
      </c>
      <c r="C10" s="7" t="inlineStr">
        <is>
          <t>Armament@defuse</t>
        </is>
      </c>
      <c r="M10" s="6" t="n">
        <v>20</v>
      </c>
      <c r="N10" s="6" t="n">
        <v>1</v>
      </c>
      <c r="O10" s="6" t="n"/>
      <c r="P10" s="6" t="n">
        <v>1536</v>
      </c>
      <c r="Q10" s="6" t="n">
        <v>1</v>
      </c>
      <c r="R10">
        <f>M10+IF(MAX(N10-1,0)&gt;0,IF(ISBLANK(O10),5*MAX(N10-1,0),IF(ISNUMBER(O10),O10*MAX(N10-1,0),SUM(IFERROR(VALUE(TEXTSPLIT(O10,",")),0)))),0)</f>
        <v/>
      </c>
      <c r="S10">
        <f>IFERROR(L10*MAX(N10,1)/R10*IF(ISBLANK(K9),1,K9),0)</f>
        <v/>
      </c>
      <c r="AB10" s="7" t="inlineStr">
        <is>
          <t>^RemovesIvanBombs, ^RemovesTerrorDrone</t>
        </is>
      </c>
    </row>
    <row r="11">
      <c r="B11" s="7" t="inlineStr">
        <is>
          <t xml:space="preserve">  ↳ LeechDisinfect</t>
        </is>
      </c>
      <c r="C11" s="7" t="inlineStr">
        <is>
          <t>Armament@leechdisinfect</t>
        </is>
      </c>
      <c r="M11" s="6" t="n">
        <v>100</v>
      </c>
      <c r="N11" s="6" t="n">
        <v>1</v>
      </c>
      <c r="O11" s="6" t="n"/>
      <c r="P11" s="6" t="n">
        <v>1536</v>
      </c>
      <c r="Q11" s="6" t="n">
        <v>1</v>
      </c>
      <c r="R11">
        <f>M11+IF(MAX(N11-1,0)&gt;0,IF(ISBLANK(O11),5*MAX(N11-1,0),IF(ISNUMBER(O11),O11*MAX(N11-1,0),SUM(IFERROR(VALUE(TEXTSPLIT(O11,",")),0)))),0)</f>
        <v/>
      </c>
      <c r="S11">
        <f>IFERROR(L11*MAX(N11,1)/R11*IF(ISBLANK(K9),1,K9),0)</f>
        <v/>
      </c>
      <c r="AB11" s="7" t="inlineStr"/>
    </row>
    <row r="12">
      <c r="A12" t="inlineStr">
        <is>
          <t>shared</t>
        </is>
      </c>
      <c r="B12" t="inlineStr">
        <is>
          <t>ra1_general</t>
        </is>
      </c>
      <c r="C12" t="inlineStr">
        <is>
          <t>General</t>
        </is>
      </c>
      <c r="D12" s="6" t="inlineStr">
        <is>
          <t>Infantry</t>
        </is>
      </c>
      <c r="E12" s="6" t="n">
        <v>2500</v>
      </c>
      <c r="F12" s="6" t="n">
        <v>56</v>
      </c>
      <c r="G12" t="inlineStr">
        <is>
          <t>None</t>
        </is>
      </c>
      <c r="H12" s="6" t="n">
        <v>1</v>
      </c>
      <c r="I12" s="6" t="n">
        <v>1</v>
      </c>
      <c r="J12" s="6" t="n">
        <v>1</v>
      </c>
      <c r="P12">
        <f>MAX(P13)</f>
        <v/>
      </c>
      <c r="S12">
        <f>S13</f>
        <v/>
      </c>
      <c r="T12">
        <f>(E12/100000+F12/100+(P12/1000)*J12/5+S12/200)*200*I12*H12</f>
        <v/>
      </c>
      <c r="U12">
        <f>((E12*F12/25000)+((P12/1000)*J12*S12/2.5))*I12*H12</f>
        <v/>
      </c>
      <c r="V12">
        <f>(E12*F12*(P12/1000)*J12*S12*I12*H12)/12500000</f>
        <v/>
      </c>
      <c r="W12">
        <f>(T12+U12+V12)/3</f>
        <v/>
      </c>
      <c r="X12" s="6" t="n">
        <v>10</v>
      </c>
      <c r="Y12">
        <f>IFERROR(W12-X12,"")</f>
        <v/>
      </c>
      <c r="Z12">
        <f>IFERROR(ABS(Y12)/MAX(X12,1),"")</f>
        <v/>
      </c>
      <c r="AA12">
        <f>IFERROR((X12-(((E12/100000+F12/100+S12/200)*200*I12*H12)+((E12*F12/25000)*I12*H12))/3)/(((J12/5)*200*I12*H12)+((J12*S12/2.5)*I12*H12)+((E12*F12*J12*S12*I12*H12)/12500000))/3*1000,"")</f>
        <v/>
      </c>
    </row>
    <row r="13">
      <c r="B13" s="7" t="inlineStr">
        <is>
          <t xml:space="preserve">  ↳ Pistol</t>
        </is>
      </c>
      <c r="C13" s="7" t="inlineStr">
        <is>
          <t>Armament</t>
        </is>
      </c>
      <c r="L13" s="6" t="n">
        <v>100</v>
      </c>
      <c r="M13" s="6" t="n">
        <v>7</v>
      </c>
      <c r="N13" s="6" t="n">
        <v>1</v>
      </c>
      <c r="O13" s="6" t="n"/>
      <c r="P13" s="6" t="n">
        <v>3072</v>
      </c>
      <c r="Q13" s="6" t="n">
        <v>1</v>
      </c>
      <c r="R13">
        <f>M13+IF(MAX(N13-1,0)&gt;0,IF(ISBLANK(O13),5*MAX(N13-1,0),IF(ISNUMBER(O13),O13*MAX(N13-1,0),SUM(IFERROR(VALUE(TEXTSPLIT(O13,",")),0)))),0)</f>
        <v/>
      </c>
      <c r="S13">
        <f>IFERROR(L13*MAX(N13,1)/R13*IF(ISBLANK(K12),1,K12),0)</f>
        <v/>
      </c>
      <c r="AB13" s="7" t="inlineStr">
        <is>
          <t>^LightMG</t>
        </is>
      </c>
    </row>
    <row r="14">
      <c r="A14" t="inlineStr">
        <is>
          <t>shared</t>
        </is>
      </c>
      <c r="B14" t="inlineStr">
        <is>
          <t>ra1_scientist</t>
        </is>
      </c>
      <c r="C14" t="inlineStr">
        <is>
          <t>Scientist</t>
        </is>
      </c>
      <c r="D14" s="6" t="inlineStr">
        <is>
          <t>Infantry</t>
        </is>
      </c>
      <c r="E14" s="6" t="n">
        <v>2500</v>
      </c>
      <c r="F14" s="6" t="n">
        <v>56</v>
      </c>
      <c r="G14" t="inlineStr">
        <is>
          <t>None</t>
        </is>
      </c>
      <c r="H14" s="6" t="n">
        <v>1</v>
      </c>
      <c r="I14" s="6" t="n">
        <v>1</v>
      </c>
      <c r="J14" s="6" t="n">
        <v>1</v>
      </c>
      <c r="X14" s="6" t="n">
        <v>500</v>
      </c>
    </row>
    <row r="15">
      <c r="A15" t="inlineStr">
        <is>
          <t>shared</t>
        </is>
      </c>
      <c r="B15" t="inlineStr">
        <is>
          <t>ra1_technician</t>
        </is>
      </c>
      <c r="C15" t="inlineStr">
        <is>
          <t>Technician</t>
        </is>
      </c>
      <c r="D15" s="6" t="inlineStr">
        <is>
          <t>Infantry</t>
        </is>
      </c>
      <c r="E15" s="6" t="n">
        <v>2500</v>
      </c>
      <c r="F15" s="6" t="n">
        <v>56</v>
      </c>
      <c r="G15" t="inlineStr">
        <is>
          <t>None</t>
        </is>
      </c>
      <c r="H15" s="6" t="n">
        <v>1</v>
      </c>
      <c r="I15" s="6" t="n">
        <v>1</v>
      </c>
      <c r="J15" s="6" t="n">
        <v>1</v>
      </c>
      <c r="P15">
        <f>MAX(P16)</f>
        <v/>
      </c>
      <c r="S15">
        <f>S16</f>
        <v/>
      </c>
      <c r="T15">
        <f>(E15/100000+F15/100+(P15/1000)*J15/5+S15/200)*200*I15*H15</f>
        <v/>
      </c>
      <c r="U15">
        <f>((E15*F15/25000)+((P15/1000)*J15*S15/2.5))*I15*H15</f>
        <v/>
      </c>
      <c r="V15">
        <f>(E15*F15*(P15/1000)*J15*S15*I15*H15)/12500000</f>
        <v/>
      </c>
      <c r="W15">
        <f>(T15+U15+V15)/3</f>
        <v/>
      </c>
      <c r="X15" s="6" t="n">
        <v>10</v>
      </c>
      <c r="Y15">
        <f>IFERROR(W15-X15,"")</f>
        <v/>
      </c>
      <c r="Z15">
        <f>IFERROR(ABS(Y15)/MAX(X15,1),"")</f>
        <v/>
      </c>
      <c r="AA15">
        <f>IFERROR((X15-(((E15/100000+F15/100+S15/200)*200*I15*H15)+((E15*F15/25000)*I15*H15))/3)/(((J15/5)*200*I15*H15)+((J15*S15/2.5)*I15*H15)+((E15*F15*J15*S15*I15*H15)/12500000))/3*1000,"")</f>
        <v/>
      </c>
    </row>
    <row r="16">
      <c r="B16" s="7" t="inlineStr">
        <is>
          <t xml:space="preserve">  ↳ Pistol</t>
        </is>
      </c>
      <c r="C16" s="7" t="inlineStr">
        <is>
          <t>Armament</t>
        </is>
      </c>
      <c r="L16" s="6" t="n">
        <v>100</v>
      </c>
      <c r="M16" s="6" t="n">
        <v>7</v>
      </c>
      <c r="N16" s="6" t="n">
        <v>1</v>
      </c>
      <c r="O16" s="6" t="n"/>
      <c r="P16" s="6" t="n">
        <v>3072</v>
      </c>
      <c r="Q16" s="6" t="n">
        <v>1</v>
      </c>
      <c r="R16">
        <f>M16+IF(MAX(N16-1,0)&gt;0,IF(ISBLANK(O16),5*MAX(N16-1,0),IF(ISNUMBER(O16),O16*MAX(N16-1,0),SUM(IFERROR(VALUE(TEXTSPLIT(O16,",")),0)))),0)</f>
        <v/>
      </c>
      <c r="S16">
        <f>IFERROR(L16*MAX(N16,1)/R16*IF(ISBLANK(K15),1,K15),0)</f>
        <v/>
      </c>
      <c r="AB16" s="7" t="inlineStr">
        <is>
          <t>^LightMG</t>
        </is>
      </c>
    </row>
    <row r="17">
      <c r="A17" t="inlineStr">
        <is>
          <t>redalert2</t>
        </is>
      </c>
      <c r="B17" t="inlineStr">
        <is>
          <t>ra2_allies_engineer</t>
        </is>
      </c>
      <c r="C17" t="inlineStr">
        <is>
          <t>Engineer</t>
        </is>
      </c>
      <c r="D17" s="6" t="inlineStr">
        <is>
          <t>Infantry</t>
        </is>
      </c>
      <c r="E17" s="6" t="n">
        <v>5000</v>
      </c>
      <c r="F17" s="6" t="n">
        <v>50</v>
      </c>
      <c r="G17" t="inlineStr">
        <is>
          <t>None</t>
        </is>
      </c>
      <c r="H17" s="6" t="n">
        <v>1</v>
      </c>
      <c r="I17" s="6" t="n">
        <v>1</v>
      </c>
      <c r="J17" s="6" t="n">
        <v>1</v>
      </c>
      <c r="X17" s="6" t="n">
        <v>500</v>
      </c>
    </row>
    <row r="18">
      <c r="B18" s="7" t="inlineStr">
        <is>
          <t xml:space="preserve">  ↳ DefuseKit</t>
        </is>
      </c>
      <c r="C18" s="7" t="inlineStr">
        <is>
          <t>Armament@defuse</t>
        </is>
      </c>
      <c r="M18" s="6" t="n">
        <v>20</v>
      </c>
      <c r="N18" s="6" t="n">
        <v>1</v>
      </c>
      <c r="O18" s="6" t="n"/>
      <c r="P18" s="6" t="n">
        <v>1536</v>
      </c>
      <c r="Q18" s="6" t="n">
        <v>1</v>
      </c>
      <c r="R18">
        <f>M18+IF(MAX(N18-1,0)&gt;0,IF(ISBLANK(O18),5*MAX(N18-1,0),IF(ISNUMBER(O18),O18*MAX(N18-1,0),SUM(IFERROR(VALUE(TEXTSPLIT(O18,",")),0)))),0)</f>
        <v/>
      </c>
      <c r="S18">
        <f>IFERROR(L18*MAX(N18,1)/R18*IF(ISBLANK(K17),1,K17),0)</f>
        <v/>
      </c>
      <c r="AB18" s="7" t="inlineStr">
        <is>
          <t>^RemovesIvanBombs, ^RemovesTerrorDrone</t>
        </is>
      </c>
    </row>
    <row r="19">
      <c r="B19" s="7" t="inlineStr">
        <is>
          <t xml:space="preserve">  ↳ LeechDisinfect</t>
        </is>
      </c>
      <c r="C19" s="7" t="inlineStr">
        <is>
          <t>Armament@leechdisinfect</t>
        </is>
      </c>
      <c r="M19" s="6" t="n">
        <v>100</v>
      </c>
      <c r="N19" s="6" t="n">
        <v>1</v>
      </c>
      <c r="O19" s="6" t="n"/>
      <c r="P19" s="6" t="n">
        <v>1536</v>
      </c>
      <c r="Q19" s="6" t="n">
        <v>1</v>
      </c>
      <c r="R19">
        <f>M19+IF(MAX(N19-1,0)&gt;0,IF(ISBLANK(O19),5*MAX(N19-1,0),IF(ISNUMBER(O19),O19*MAX(N19-1,0),SUM(IFERROR(VALUE(TEXTSPLIT(O19,",")),0)))),0)</f>
        <v/>
      </c>
      <c r="S19">
        <f>IFERROR(L19*MAX(N19,1)/R19*IF(ISBLANK(K17),1,K17),0)</f>
        <v/>
      </c>
      <c r="AB19" s="7" t="inlineStr"/>
    </row>
    <row r="20">
      <c r="A20" t="inlineStr">
        <is>
          <t>redalert2</t>
        </is>
      </c>
      <c r="B20" t="inlineStr">
        <is>
          <t>ra2_soviets_engineer</t>
        </is>
      </c>
      <c r="C20" t="inlineStr">
        <is>
          <t>Engineer</t>
        </is>
      </c>
      <c r="D20" s="6" t="inlineStr">
        <is>
          <t>Infantry</t>
        </is>
      </c>
      <c r="E20" s="6" t="n">
        <v>5000</v>
      </c>
      <c r="F20" s="6" t="n">
        <v>50</v>
      </c>
      <c r="G20" t="inlineStr">
        <is>
          <t>None</t>
        </is>
      </c>
      <c r="H20" s="6" t="n">
        <v>1</v>
      </c>
      <c r="I20" s="6" t="n">
        <v>1</v>
      </c>
      <c r="J20" s="6" t="n">
        <v>1</v>
      </c>
      <c r="X20" s="6" t="n">
        <v>500</v>
      </c>
    </row>
    <row r="21">
      <c r="B21" s="7" t="inlineStr">
        <is>
          <t xml:space="preserve">  ↳ DefuseKit</t>
        </is>
      </c>
      <c r="C21" s="7" t="inlineStr">
        <is>
          <t>Armament@defuse</t>
        </is>
      </c>
      <c r="M21" s="6" t="n">
        <v>20</v>
      </c>
      <c r="N21" s="6" t="n">
        <v>1</v>
      </c>
      <c r="O21" s="6" t="n"/>
      <c r="P21" s="6" t="n">
        <v>1536</v>
      </c>
      <c r="Q21" s="6" t="n">
        <v>1</v>
      </c>
      <c r="R21">
        <f>M21+IF(MAX(N21-1,0)&gt;0,IF(ISBLANK(O21),5*MAX(N21-1,0),IF(ISNUMBER(O21),O21*MAX(N21-1,0),SUM(IFERROR(VALUE(TEXTSPLIT(O21,",")),0)))),0)</f>
        <v/>
      </c>
      <c r="S21">
        <f>IFERROR(L21*MAX(N21,1)/R21*IF(ISBLANK(K20),1,K20),0)</f>
        <v/>
      </c>
      <c r="AB21" s="7" t="inlineStr">
        <is>
          <t>^RemovesIvanBombs, ^RemovesTerrorDrone</t>
        </is>
      </c>
    </row>
    <row r="22">
      <c r="B22" s="7" t="inlineStr">
        <is>
          <t xml:space="preserve">  ↳ LeechDisinfect</t>
        </is>
      </c>
      <c r="C22" s="7" t="inlineStr">
        <is>
          <t>Armament@leechdisinfect</t>
        </is>
      </c>
      <c r="M22" s="6" t="n">
        <v>100</v>
      </c>
      <c r="N22" s="6" t="n">
        <v>1</v>
      </c>
      <c r="O22" s="6" t="n"/>
      <c r="P22" s="6" t="n">
        <v>1536</v>
      </c>
      <c r="Q22" s="6" t="n">
        <v>1</v>
      </c>
      <c r="R22">
        <f>M22+IF(MAX(N22-1,0)&gt;0,IF(ISBLANK(O22),5*MAX(N22-1,0),IF(ISNUMBER(O22),O22*MAX(N22-1,0),SUM(IFERROR(VALUE(TEXTSPLIT(O22,",")),0)))),0)</f>
        <v/>
      </c>
      <c r="S22">
        <f>IFERROR(L22*MAX(N22,1)/R22*IF(ISBLANK(K20),1,K20),0)</f>
        <v/>
      </c>
      <c r="AB22" s="7" t="inlineStr"/>
    </row>
    <row r="23">
      <c r="A23" t="inlineStr">
        <is>
          <t>redalert2</t>
        </is>
      </c>
      <c r="B23" t="inlineStr">
        <is>
          <t>yuri_engineer</t>
        </is>
      </c>
      <c r="C23" t="inlineStr">
        <is>
          <t>Engineer</t>
        </is>
      </c>
      <c r="D23" s="6" t="inlineStr">
        <is>
          <t>Infantry</t>
        </is>
      </c>
      <c r="E23" s="6" t="n">
        <v>5000</v>
      </c>
      <c r="F23" s="6" t="n">
        <v>50</v>
      </c>
      <c r="G23" t="inlineStr">
        <is>
          <t>None</t>
        </is>
      </c>
      <c r="H23" s="6" t="n">
        <v>1</v>
      </c>
      <c r="I23" s="6" t="n">
        <v>1</v>
      </c>
      <c r="J23" s="6" t="n">
        <v>1</v>
      </c>
      <c r="X23" s="6" t="n">
        <v>500</v>
      </c>
    </row>
    <row r="24">
      <c r="B24" s="7" t="inlineStr">
        <is>
          <t xml:space="preserve">  ↳ DefuseKit</t>
        </is>
      </c>
      <c r="C24" s="7" t="inlineStr">
        <is>
          <t>Armament@defuse</t>
        </is>
      </c>
      <c r="M24" s="6" t="n">
        <v>20</v>
      </c>
      <c r="N24" s="6" t="n">
        <v>1</v>
      </c>
      <c r="O24" s="6" t="n"/>
      <c r="P24" s="6" t="n">
        <v>1536</v>
      </c>
      <c r="Q24" s="6" t="n">
        <v>1</v>
      </c>
      <c r="R24">
        <f>M24+IF(MAX(N24-1,0)&gt;0,IF(ISBLANK(O24),5*MAX(N24-1,0),IF(ISNUMBER(O24),O24*MAX(N24-1,0),SUM(IFERROR(VALUE(TEXTSPLIT(O24,",")),0)))),0)</f>
        <v/>
      </c>
      <c r="S24">
        <f>IFERROR(L24*MAX(N24,1)/R24*IF(ISBLANK(K23),1,K23),0)</f>
        <v/>
      </c>
      <c r="AB24" s="7" t="inlineStr">
        <is>
          <t>^RemovesIvanBombs, ^RemovesTerrorDrone</t>
        </is>
      </c>
    </row>
    <row r="25">
      <c r="B25" s="7" t="inlineStr">
        <is>
          <t xml:space="preserve">  ↳ LeechDisinfect</t>
        </is>
      </c>
      <c r="C25" s="7" t="inlineStr">
        <is>
          <t>Armament@leechdisinfect</t>
        </is>
      </c>
      <c r="M25" s="6" t="n">
        <v>100</v>
      </c>
      <c r="N25" s="6" t="n">
        <v>1</v>
      </c>
      <c r="O25" s="6" t="n"/>
      <c r="P25" s="6" t="n">
        <v>1536</v>
      </c>
      <c r="Q25" s="6" t="n">
        <v>1</v>
      </c>
      <c r="R25">
        <f>M25+IF(MAX(N25-1,0)&gt;0,IF(ISBLANK(O25),5*MAX(N25-1,0),IF(ISNUMBER(O25),O25*MAX(N25-1,0),SUM(IFERROR(VALUE(TEXTSPLIT(O25,",")),0)))),0)</f>
        <v/>
      </c>
      <c r="S25">
        <f>IFERROR(L25*MAX(N25,1)/R25*IF(ISBLANK(K23),1,K23),0)</f>
        <v/>
      </c>
      <c r="AB25" s="7" t="inlineStr"/>
    </row>
    <row r="26">
      <c r="A26" t="inlineStr">
        <is>
          <t>redalert2mod</t>
        </is>
      </c>
      <c r="B26" t="inlineStr">
        <is>
          <t>asianalliance_engineer</t>
        </is>
      </c>
      <c r="C26" t="inlineStr">
        <is>
          <t>Engineer</t>
        </is>
      </c>
      <c r="D26" s="6" t="inlineStr">
        <is>
          <t>Infantry</t>
        </is>
      </c>
      <c r="E26" s="6" t="n">
        <v>5000</v>
      </c>
      <c r="F26" s="6" t="n">
        <v>50</v>
      </c>
      <c r="G26" t="inlineStr">
        <is>
          <t>None</t>
        </is>
      </c>
      <c r="H26" s="6" t="n">
        <v>1</v>
      </c>
      <c r="I26" s="6" t="n">
        <v>1</v>
      </c>
      <c r="J26" s="6" t="n">
        <v>1</v>
      </c>
      <c r="X26" s="6" t="n">
        <v>500</v>
      </c>
    </row>
    <row r="27">
      <c r="B27" s="7" t="inlineStr">
        <is>
          <t xml:space="preserve">  ↳ DefuseKit</t>
        </is>
      </c>
      <c r="C27" s="7" t="inlineStr">
        <is>
          <t>Armament@defuse</t>
        </is>
      </c>
      <c r="M27" s="6" t="n">
        <v>20</v>
      </c>
      <c r="N27" s="6" t="n">
        <v>1</v>
      </c>
      <c r="O27" s="6" t="n"/>
      <c r="P27" s="6" t="n">
        <v>1536</v>
      </c>
      <c r="Q27" s="6" t="n">
        <v>1</v>
      </c>
      <c r="R27">
        <f>M27+IF(MAX(N27-1,0)&gt;0,IF(ISBLANK(O27),5*MAX(N27-1,0),IF(ISNUMBER(O27),O27*MAX(N27-1,0),SUM(IFERROR(VALUE(TEXTSPLIT(O27,",")),0)))),0)</f>
        <v/>
      </c>
      <c r="S27">
        <f>IFERROR(L27*MAX(N27,1)/R27*IF(ISBLANK(K26),1,K26),0)</f>
        <v/>
      </c>
      <c r="AB27" s="7" t="inlineStr">
        <is>
          <t>^RemovesIvanBombs, ^RemovesTerrorDrone</t>
        </is>
      </c>
    </row>
    <row r="28">
      <c r="B28" s="7" t="inlineStr">
        <is>
          <t xml:space="preserve">  ↳ LeechDisinfect</t>
        </is>
      </c>
      <c r="C28" s="7" t="inlineStr">
        <is>
          <t>Armament@leechdisinfect</t>
        </is>
      </c>
      <c r="M28" s="6" t="n">
        <v>100</v>
      </c>
      <c r="N28" s="6" t="n">
        <v>1</v>
      </c>
      <c r="O28" s="6" t="n"/>
      <c r="P28" s="6" t="n">
        <v>1536</v>
      </c>
      <c r="Q28" s="6" t="n">
        <v>1</v>
      </c>
      <c r="R28">
        <f>M28+IF(MAX(N28-1,0)&gt;0,IF(ISBLANK(O28),5*MAX(N28-1,0),IF(ISNUMBER(O28),O28*MAX(N28-1,0),SUM(IFERROR(VALUE(TEXTSPLIT(O28,",")),0)))),0)</f>
        <v/>
      </c>
      <c r="S28">
        <f>IFERROR(L28*MAX(N28,1)/R28*IF(ISBLANK(K26),1,K26),0)</f>
        <v/>
      </c>
      <c r="AB28" s="7" t="inlineStr"/>
    </row>
    <row r="29">
      <c r="A29" t="inlineStr">
        <is>
          <t>redalert2mod</t>
        </is>
      </c>
      <c r="B29" t="inlineStr">
        <is>
          <t>steelconsortium_engineer</t>
        </is>
      </c>
      <c r="C29" t="inlineStr">
        <is>
          <t>Engineer</t>
        </is>
      </c>
      <c r="D29" s="6" t="inlineStr">
        <is>
          <t>Infantry</t>
        </is>
      </c>
      <c r="E29" s="6" t="n">
        <v>5000</v>
      </c>
      <c r="F29" s="6" t="n">
        <v>50</v>
      </c>
      <c r="G29" t="inlineStr">
        <is>
          <t>None</t>
        </is>
      </c>
      <c r="H29" s="6" t="n">
        <v>1</v>
      </c>
      <c r="I29" s="6" t="n">
        <v>1</v>
      </c>
      <c r="J29" s="6" t="n">
        <v>1</v>
      </c>
      <c r="X29" s="6" t="n">
        <v>500</v>
      </c>
    </row>
    <row r="30">
      <c r="B30" s="7" t="inlineStr">
        <is>
          <t xml:space="preserve">  ↳ DefuseKit</t>
        </is>
      </c>
      <c r="C30" s="7" t="inlineStr">
        <is>
          <t>Armament@defuse</t>
        </is>
      </c>
      <c r="M30" s="6" t="n">
        <v>20</v>
      </c>
      <c r="N30" s="6" t="n">
        <v>1</v>
      </c>
      <c r="O30" s="6" t="n"/>
      <c r="P30" s="6" t="n">
        <v>1536</v>
      </c>
      <c r="Q30" s="6" t="n">
        <v>1</v>
      </c>
      <c r="R30">
        <f>M30+IF(MAX(N30-1,0)&gt;0,IF(ISBLANK(O30),5*MAX(N30-1,0),IF(ISNUMBER(O30),O30*MAX(N30-1,0),SUM(IFERROR(VALUE(TEXTSPLIT(O30,",")),0)))),0)</f>
        <v/>
      </c>
      <c r="S30">
        <f>IFERROR(L30*MAX(N30,1)/R30*IF(ISBLANK(K29),1,K29),0)</f>
        <v/>
      </c>
      <c r="AB30" s="7" t="inlineStr">
        <is>
          <t>^RemovesIvanBombs, ^RemovesTerrorDrone</t>
        </is>
      </c>
    </row>
    <row r="31">
      <c r="B31" s="7" t="inlineStr">
        <is>
          <t xml:space="preserve">  ↳ LeechDisinfect</t>
        </is>
      </c>
      <c r="C31" s="7" t="inlineStr">
        <is>
          <t>Armament@leechdisinfect</t>
        </is>
      </c>
      <c r="M31" s="6" t="n">
        <v>100</v>
      </c>
      <c r="N31" s="6" t="n">
        <v>1</v>
      </c>
      <c r="O31" s="6" t="n"/>
      <c r="P31" s="6" t="n">
        <v>1536</v>
      </c>
      <c r="Q31" s="6" t="n">
        <v>1</v>
      </c>
      <c r="R31">
        <f>M31+IF(MAX(N31-1,0)&gt;0,IF(ISBLANK(O31),5*MAX(N31-1,0),IF(ISNUMBER(O31),O31*MAX(N31-1,0),SUM(IFERROR(VALUE(TEXTSPLIT(O31,",")),0)))),0)</f>
        <v/>
      </c>
      <c r="S31">
        <f>IFERROR(L31*MAX(N31,1)/R31*IF(ISBLANK(K29),1,K29),0)</f>
        <v/>
      </c>
      <c r="AB31" s="7" t="inlineStr"/>
    </row>
    <row r="32">
      <c r="A32" t="inlineStr">
        <is>
          <t>redalert2mod</t>
        </is>
      </c>
      <c r="B32" t="inlineStr">
        <is>
          <t>latinsyndicate_engineer</t>
        </is>
      </c>
      <c r="C32" t="inlineStr">
        <is>
          <t>Engineer</t>
        </is>
      </c>
      <c r="D32" s="6" t="inlineStr">
        <is>
          <t>Infantry</t>
        </is>
      </c>
      <c r="E32" s="6" t="n">
        <v>5000</v>
      </c>
      <c r="F32" s="6" t="n">
        <v>50</v>
      </c>
      <c r="G32" t="inlineStr">
        <is>
          <t>None</t>
        </is>
      </c>
      <c r="H32" s="6" t="n">
        <v>1</v>
      </c>
      <c r="I32" s="6" t="n">
        <v>1</v>
      </c>
      <c r="J32" s="6" t="n">
        <v>1</v>
      </c>
      <c r="X32" s="6" t="n">
        <v>500</v>
      </c>
    </row>
    <row r="33">
      <c r="B33" s="7" t="inlineStr">
        <is>
          <t xml:space="preserve">  ↳ DefuseKit</t>
        </is>
      </c>
      <c r="C33" s="7" t="inlineStr">
        <is>
          <t>Armament@defuse</t>
        </is>
      </c>
      <c r="M33" s="6" t="n">
        <v>20</v>
      </c>
      <c r="N33" s="6" t="n">
        <v>1</v>
      </c>
      <c r="O33" s="6" t="n"/>
      <c r="P33" s="6" t="n">
        <v>1536</v>
      </c>
      <c r="Q33" s="6" t="n">
        <v>1</v>
      </c>
      <c r="R33">
        <f>M33+IF(MAX(N33-1,0)&gt;0,IF(ISBLANK(O33),5*MAX(N33-1,0),IF(ISNUMBER(O33),O33*MAX(N33-1,0),SUM(IFERROR(VALUE(TEXTSPLIT(O33,",")),0)))),0)</f>
        <v/>
      </c>
      <c r="S33">
        <f>IFERROR(L33*MAX(N33,1)/R33*IF(ISBLANK(K32),1,K32),0)</f>
        <v/>
      </c>
      <c r="AB33" s="7" t="inlineStr">
        <is>
          <t>^RemovesIvanBombs, ^RemovesTerrorDrone</t>
        </is>
      </c>
    </row>
    <row r="34">
      <c r="B34" s="7" t="inlineStr">
        <is>
          <t xml:space="preserve">  ↳ LeechDisinfect</t>
        </is>
      </c>
      <c r="C34" s="7" t="inlineStr">
        <is>
          <t>Armament@leechdisinfect</t>
        </is>
      </c>
      <c r="M34" s="6" t="n">
        <v>100</v>
      </c>
      <c r="N34" s="6" t="n">
        <v>1</v>
      </c>
      <c r="O34" s="6" t="n"/>
      <c r="P34" s="6" t="n">
        <v>1536</v>
      </c>
      <c r="Q34" s="6" t="n">
        <v>1</v>
      </c>
      <c r="R34">
        <f>M34+IF(MAX(N34-1,0)&gt;0,IF(ISBLANK(O34),5*MAX(N34-1,0),IF(ISNUMBER(O34),O34*MAX(N34-1,0),SUM(IFERROR(VALUE(TEXTSPLIT(O34,",")),0)))),0)</f>
        <v/>
      </c>
      <c r="S34">
        <f>IFERROR(L34*MAX(N34,1)/R34*IF(ISBLANK(K32),1,K32),0)</f>
        <v/>
      </c>
      <c r="AB34" s="7" t="inlineStr"/>
    </row>
    <row r="35">
      <c r="A35" t="inlineStr">
        <is>
          <t>redalert2mod</t>
        </is>
      </c>
      <c r="B35" t="inlineStr">
        <is>
          <t>hole.nax2</t>
        </is>
      </c>
      <c r="C35" t="inlineStr">
        <is>
          <t>Black Hole</t>
        </is>
      </c>
      <c r="D35" s="6" t="inlineStr">
        <is>
          <t>Infantry</t>
        </is>
      </c>
      <c r="E35" s="6" t="n">
        <v>2400</v>
      </c>
      <c r="F35" s="6" t="n">
        <v>5</v>
      </c>
      <c r="G35" t="inlineStr">
        <is>
          <t>Shield</t>
        </is>
      </c>
      <c r="H35" s="6" t="n">
        <v>1</v>
      </c>
      <c r="I35" s="6" t="n">
        <v>1</v>
      </c>
      <c r="J35" s="6" t="n">
        <v>1</v>
      </c>
      <c r="P35">
        <f>MAX(P36)</f>
        <v/>
      </c>
      <c r="S35">
        <f>S36</f>
        <v/>
      </c>
      <c r="T35">
        <f>(E35/100000+F35/100+(P35/1000)*J35/5+S35/200)*200*I35*H35</f>
        <v/>
      </c>
      <c r="U35">
        <f>((E35*F35/25000)+((P35/1000)*J35*S35/2.5))*I35*H35</f>
        <v/>
      </c>
      <c r="V35">
        <f>(E35*F35*(P35/1000)*J35*S35*I35*H35)/12500000</f>
        <v/>
      </c>
      <c r="W35">
        <f>(T35+U35+V35)/3</f>
        <v/>
      </c>
      <c r="X35" s="6" t="n">
        <v>0</v>
      </c>
      <c r="Y35">
        <f>IFERROR(W35-X35,"")</f>
        <v/>
      </c>
      <c r="Z35">
        <f>IFERROR(ABS(Y35)/MAX(X35,1),"")</f>
        <v/>
      </c>
      <c r="AA35">
        <f>IFERROR((X35-(((E35/100000+F35/100+S35/200)*200*I35*H35)+((E35*F35/25000)*I35*H35))/3)/(((J35/5)*200*I35*H35)+((J35*S35/2.5)*I35*H35)+((E35*F35*J35*S35*I35*H35)/12500000))/3*1000,"")</f>
        <v/>
      </c>
    </row>
    <row r="36">
      <c r="B36" s="7" t="inlineStr">
        <is>
          <t xml:space="preserve">  ↳ NaxiBlackholeShoot</t>
        </is>
      </c>
      <c r="C36" s="7" t="inlineStr">
        <is>
          <t>Armament</t>
        </is>
      </c>
      <c r="L36" s="6" t="n">
        <v>2000</v>
      </c>
      <c r="M36" s="6" t="n">
        <v>5</v>
      </c>
      <c r="N36" s="6" t="n">
        <v>1</v>
      </c>
      <c r="O36" s="6" t="n"/>
      <c r="P36" s="6" t="n">
        <v>5000</v>
      </c>
      <c r="Q36" s="6" t="n">
        <v>1.25</v>
      </c>
      <c r="R36">
        <f>M36+IF(MAX(N36-1,0)&gt;0,IF(ISBLANK(O36),5*MAX(N36-1,0),IF(ISNUMBER(O36),O36*MAX(N36-1,0),SUM(IFERROR(VALUE(TEXTSPLIT(O36,",")),0)))),0)</f>
        <v/>
      </c>
      <c r="S36">
        <f>IFERROR(L36*MAX(N36,1)/R36*IF(ISBLANK(K35),1,K35),0)</f>
        <v/>
      </c>
      <c r="AB36" s="7" t="inlineStr">
        <is>
          <t>^Warhead_CannonHE_Heavy</t>
        </is>
      </c>
    </row>
    <row r="37">
      <c r="A37" t="inlineStr">
        <is>
          <t>redalert2mod</t>
        </is>
      </c>
      <c r="B37" t="inlineStr">
        <is>
          <t>hole_small.nax2</t>
        </is>
      </c>
      <c r="C37" t="inlineStr">
        <is>
          <t>Black Hole</t>
        </is>
      </c>
      <c r="D37" s="6" t="inlineStr">
        <is>
          <t>Infantry</t>
        </is>
      </c>
      <c r="E37" s="6" t="n">
        <v>25000</v>
      </c>
      <c r="F37" s="6" t="n">
        <v>5</v>
      </c>
      <c r="G37" t="inlineStr">
        <is>
          <t>Shield</t>
        </is>
      </c>
      <c r="H37" s="6" t="n">
        <v>1</v>
      </c>
      <c r="I37" s="6" t="n">
        <v>1</v>
      </c>
      <c r="J37" s="6" t="n">
        <v>1</v>
      </c>
      <c r="P37">
        <f>MAX(P38)</f>
        <v/>
      </c>
      <c r="S37">
        <f>S38</f>
        <v/>
      </c>
      <c r="T37">
        <f>(E37/100000+F37/100+(P37/1000)*J37/5+S37/200)*200*I37*H37</f>
        <v/>
      </c>
      <c r="U37">
        <f>((E37*F37/25000)+((P37/1000)*J37*S37/2.5))*I37*H37</f>
        <v/>
      </c>
      <c r="V37">
        <f>(E37*F37*(P37/1000)*J37*S37*I37*H37)/12500000</f>
        <v/>
      </c>
      <c r="W37">
        <f>(T37+U37+V37)/3</f>
        <v/>
      </c>
      <c r="X37" s="6" t="n">
        <v>0</v>
      </c>
      <c r="Y37">
        <f>IFERROR(W37-X37,"")</f>
        <v/>
      </c>
      <c r="Z37">
        <f>IFERROR(ABS(Y37)/MAX(X37,1),"")</f>
        <v/>
      </c>
      <c r="AA37">
        <f>IFERROR((X37-(((E37/100000+F37/100+S37/200)*200*I37*H37)+((E37*F37/25000)*I37*H37))/3)/(((J37/5)*200*I37*H37)+((J37*S37/2.5)*I37*H37)+((E37*F37*J37*S37*I37*H37)/12500000))/3*1000,"")</f>
        <v/>
      </c>
    </row>
    <row r="38">
      <c r="B38" s="7" t="inlineStr">
        <is>
          <t xml:space="preserve">  ↳ NaxiBlackholeShoot</t>
        </is>
      </c>
      <c r="C38" s="7" t="inlineStr">
        <is>
          <t>Armament</t>
        </is>
      </c>
      <c r="L38" s="6" t="n">
        <v>2000</v>
      </c>
      <c r="M38" s="6" t="n">
        <v>5</v>
      </c>
      <c r="N38" s="6" t="n">
        <v>1</v>
      </c>
      <c r="O38" s="6" t="n"/>
      <c r="P38" s="6" t="n">
        <v>5000</v>
      </c>
      <c r="Q38" s="6" t="n">
        <v>1.25</v>
      </c>
      <c r="R38">
        <f>M38+IF(MAX(N38-1,0)&gt;0,IF(ISBLANK(O38),5*MAX(N38-1,0),IF(ISNUMBER(O38),O38*MAX(N38-1,0),SUM(IFERROR(VALUE(TEXTSPLIT(O38,",")),0)))),0)</f>
        <v/>
      </c>
      <c r="S38">
        <f>IFERROR(L38*MAX(N38,1)/R38*IF(ISBLANK(K37),1,K37),0)</f>
        <v/>
      </c>
      <c r="AB38" s="7" t="inlineStr">
        <is>
          <t>^Warhead_CannonHE_Heavy</t>
        </is>
      </c>
    </row>
    <row r="39">
      <c r="A39" t="inlineStr">
        <is>
          <t>redalert2mod</t>
        </is>
      </c>
      <c r="B39" t="inlineStr">
        <is>
          <t>futuretech_engineer</t>
        </is>
      </c>
      <c r="C39" t="inlineStr">
        <is>
          <t>Engineer</t>
        </is>
      </c>
      <c r="D39" s="6" t="inlineStr">
        <is>
          <t>Infantry</t>
        </is>
      </c>
      <c r="E39" s="6" t="n">
        <v>5000</v>
      </c>
      <c r="F39" s="6" t="n">
        <v>50</v>
      </c>
      <c r="G39" t="inlineStr">
        <is>
          <t>None</t>
        </is>
      </c>
      <c r="H39" s="6" t="n">
        <v>1</v>
      </c>
      <c r="I39" s="6" t="n">
        <v>1</v>
      </c>
      <c r="J39" s="6" t="n">
        <v>1</v>
      </c>
      <c r="X39" s="6" t="n">
        <v>500</v>
      </c>
    </row>
    <row r="40">
      <c r="B40" s="7" t="inlineStr">
        <is>
          <t xml:space="preserve">  ↳ DefuseKit</t>
        </is>
      </c>
      <c r="C40" s="7" t="inlineStr">
        <is>
          <t>Armament@defuse</t>
        </is>
      </c>
      <c r="M40" s="6" t="n">
        <v>20</v>
      </c>
      <c r="N40" s="6" t="n">
        <v>1</v>
      </c>
      <c r="O40" s="6" t="n"/>
      <c r="P40" s="6" t="n">
        <v>1536</v>
      </c>
      <c r="Q40" s="6" t="n">
        <v>1</v>
      </c>
      <c r="R40">
        <f>M40+IF(MAX(N40-1,0)&gt;0,IF(ISBLANK(O40),5*MAX(N40-1,0),IF(ISNUMBER(O40),O40*MAX(N40-1,0),SUM(IFERROR(VALUE(TEXTSPLIT(O40,",")),0)))),0)</f>
        <v/>
      </c>
      <c r="S40">
        <f>IFERROR(L40*MAX(N40,1)/R40*IF(ISBLANK(K39),1,K39),0)</f>
        <v/>
      </c>
      <c r="AB40" s="7" t="inlineStr">
        <is>
          <t>^RemovesIvanBombs, ^RemovesTerrorDrone</t>
        </is>
      </c>
    </row>
    <row r="41">
      <c r="B41" s="7" t="inlineStr">
        <is>
          <t xml:space="preserve">  ↳ LeechDisinfect</t>
        </is>
      </c>
      <c r="C41" s="7" t="inlineStr">
        <is>
          <t>Armament@leechdisinfect</t>
        </is>
      </c>
      <c r="M41" s="6" t="n">
        <v>100</v>
      </c>
      <c r="N41" s="6" t="n">
        <v>1</v>
      </c>
      <c r="O41" s="6" t="n"/>
      <c r="P41" s="6" t="n">
        <v>1536</v>
      </c>
      <c r="Q41" s="6" t="n">
        <v>1</v>
      </c>
      <c r="R41">
        <f>M41+IF(MAX(N41-1,0)&gt;0,IF(ISBLANK(O41),5*MAX(N41-1,0),IF(ISNUMBER(O41),O41*MAX(N41-1,0),SUM(IFERROR(VALUE(TEXTSPLIT(O41,",")),0)))),0)</f>
        <v/>
      </c>
      <c r="S41">
        <f>IFERROR(L41*MAX(N41,1)/R41*IF(ISBLANK(K39),1,K39),0)</f>
        <v/>
      </c>
      <c r="AB41" s="7" t="inlineStr"/>
    </row>
    <row r="42">
      <c r="A42" t="inlineStr">
        <is>
          <t>redalert2mod</t>
        </is>
      </c>
      <c r="B42" t="inlineStr">
        <is>
          <t>tkm_engineer</t>
        </is>
      </c>
      <c r="C42" t="inlineStr">
        <is>
          <t>Engineer</t>
        </is>
      </c>
      <c r="D42" s="6" t="inlineStr">
        <is>
          <t>Infantry</t>
        </is>
      </c>
      <c r="E42" s="6" t="n">
        <v>5000</v>
      </c>
      <c r="F42" s="6" t="n">
        <v>50</v>
      </c>
      <c r="G42" t="inlineStr">
        <is>
          <t>None</t>
        </is>
      </c>
      <c r="H42" s="6" t="n">
        <v>1</v>
      </c>
      <c r="I42" s="6" t="n">
        <v>1</v>
      </c>
      <c r="J42" s="6" t="n">
        <v>1</v>
      </c>
      <c r="P42">
        <f>MAX(P45,P47)</f>
        <v/>
      </c>
      <c r="S42">
        <f>S45+S47</f>
        <v/>
      </c>
      <c r="T42">
        <f>(E42/100000+F42/100+(P42/1000)*J42/5+S42/200)*200*I42*H42</f>
        <v/>
      </c>
      <c r="U42">
        <f>((E42*F42/25000)+((P42/1000)*J42*S42/2.5))*I42*H42</f>
        <v/>
      </c>
      <c r="V42">
        <f>(E42*F42*(P42/1000)*J42*S42*I42*H42)/12500000</f>
        <v/>
      </c>
      <c r="W42">
        <f>IFERROR((((E42/5000)+(F42/50)+(S42/0)+((P42/0)*J42))*500/4+(((E42/5000)*(F42/50))+(((P42/0)*J42)*(S42/0)))*500/2+((E42/5000)*(F42/50)*((P42/0)*J42)*(S42/0))*500)*(H42/1.0)/3,"")</f>
        <v/>
      </c>
      <c r="X42" s="6" t="n">
        <v>500</v>
      </c>
      <c r="Y42">
        <f>IFERROR(W42-X42,"")</f>
        <v/>
      </c>
      <c r="Z42">
        <f>IFERROR(ABS(Y42)/MAX(X42,1),"")</f>
        <v/>
      </c>
      <c r="AA42">
        <f>IFERROR(ROUND(((3*X42-(((E42/5000)+(F42/50)+(S42/0))*500/4+((E42/5000)*(F42/50))*500/2)*(H42/1.0))/(500/4+((S42/0))*500/2+((E42/5000)*(F42/50)*(S42/0))*500)*(H42/1.0)*0)/J42,-1),"")</f>
        <v/>
      </c>
    </row>
    <row r="43">
      <c r="B43" s="7" t="inlineStr">
        <is>
          <t xml:space="preserve">  ↳ DefuseKit</t>
        </is>
      </c>
      <c r="C43" s="7" t="inlineStr">
        <is>
          <t>Armament@defuse</t>
        </is>
      </c>
      <c r="M43" s="6" t="n">
        <v>20</v>
      </c>
      <c r="N43" s="6" t="n">
        <v>1</v>
      </c>
      <c r="O43" s="6" t="n"/>
      <c r="P43" s="6" t="n">
        <v>1536</v>
      </c>
      <c r="Q43" s="6" t="n">
        <v>1</v>
      </c>
      <c r="R43">
        <f>M43+IF(MAX(N43-1,0)&gt;0,IF(ISBLANK(O43),5*MAX(N43-1,0),IF(ISNUMBER(O43),O43*MAX(N43-1,0),SUM(IFERROR(VALUE(TEXTSPLIT(O43,",")),0)))),0)</f>
        <v/>
      </c>
      <c r="S43">
        <f>IFERROR(L43*MAX(N43,1)/R43*IF(ISBLANK(K42),1,K42),0)</f>
        <v/>
      </c>
      <c r="AB43" s="7" t="inlineStr">
        <is>
          <t>^RemovesIvanBombs, ^RemovesTerrorDrone</t>
        </is>
      </c>
    </row>
    <row r="44">
      <c r="B44" s="7" t="inlineStr">
        <is>
          <t xml:space="preserve">  ↳ LeechDisinfect</t>
        </is>
      </c>
      <c r="C44" s="7" t="inlineStr">
        <is>
          <t>Armament@leechdisinfect</t>
        </is>
      </c>
      <c r="M44" s="6" t="n">
        <v>100</v>
      </c>
      <c r="N44" s="6" t="n">
        <v>1</v>
      </c>
      <c r="O44" s="6" t="n"/>
      <c r="P44" s="6" t="n">
        <v>1536</v>
      </c>
      <c r="Q44" s="6" t="n">
        <v>1</v>
      </c>
      <c r="R44">
        <f>M44+IF(MAX(N44-1,0)&gt;0,IF(ISBLANK(O44),5*MAX(N44-1,0),IF(ISNUMBER(O44),O44*MAX(N44-1,0),SUM(IFERROR(VALUE(TEXTSPLIT(O44,",")),0)))),0)</f>
        <v/>
      </c>
      <c r="S44">
        <f>IFERROR(L44*MAX(N44,1)/R44*IF(ISBLANK(K42),1,K42),0)</f>
        <v/>
      </c>
      <c r="AB44" s="7" t="inlineStr"/>
    </row>
    <row r="45">
      <c r="B45" s="7" t="inlineStr">
        <is>
          <t xml:space="preserve">  ↳ Heal</t>
        </is>
      </c>
      <c r="C45" s="7" t="inlineStr">
        <is>
          <t>Armament@HEAL</t>
        </is>
      </c>
      <c r="L45" s="6" t="n">
        <v>-3000</v>
      </c>
      <c r="M45" s="6" t="n">
        <v>75</v>
      </c>
      <c r="N45" s="6" t="n">
        <v>1</v>
      </c>
      <c r="O45" s="6" t="n"/>
      <c r="P45" s="6" t="n">
        <v>5000</v>
      </c>
      <c r="Q45" s="6" t="n">
        <v>1</v>
      </c>
      <c r="R45">
        <f>M45+IF(MAX(N45-1,0)&gt;0,IF(ISBLANK(O45),5*MAX(N45-1,0),IF(ISNUMBER(O45),O45*MAX(N45-1,0),SUM(IFERROR(VALUE(TEXTSPLIT(O45,",")),0)))),0)</f>
        <v/>
      </c>
      <c r="S45">
        <f>IFERROR(L45*MAX(N45,1)/R45*IF(ISBLANK(K42),1,K42),0)</f>
        <v/>
      </c>
      <c r="AB45" s="7" t="inlineStr">
        <is>
          <t>^HealingWeapon</t>
        </is>
      </c>
    </row>
    <row r="46">
      <c r="B46" s="7" t="inlineStr">
        <is>
          <t xml:space="preserve">  ↳ Heal</t>
        </is>
      </c>
      <c r="C46" s="7" t="inlineStr">
        <is>
          <t>Armament@GARRISONEDHEAL</t>
        </is>
      </c>
      <c r="L46" s="6" t="n">
        <v>-3000</v>
      </c>
      <c r="M46" s="6" t="n">
        <v>75</v>
      </c>
      <c r="N46" s="6" t="n">
        <v>1</v>
      </c>
      <c r="O46" s="6" t="n"/>
      <c r="P46" s="6" t="n">
        <v>5000</v>
      </c>
      <c r="Q46" s="6" t="n">
        <v>1</v>
      </c>
      <c r="R46">
        <f>M46+IF(MAX(N46-1,0)&gt;0,IF(ISBLANK(O46),5*MAX(N46-1,0),IF(ISNUMBER(O46),O46*MAX(N46-1,0),SUM(IFERROR(VALUE(TEXTSPLIT(O46,",")),0)))),0)</f>
        <v/>
      </c>
      <c r="S46">
        <f>IFERROR(L46*MAX(N46,1)/R46*IF(ISBLANK(K42),1,K42),0)</f>
        <v/>
      </c>
      <c r="AB46" s="7" t="inlineStr">
        <is>
          <t>^HealingWeapon</t>
        </is>
      </c>
    </row>
    <row r="47">
      <c r="B47" s="7" t="inlineStr">
        <is>
          <t xml:space="preserve">  ↳ Repair</t>
        </is>
      </c>
      <c r="C47" s="7" t="inlineStr">
        <is>
          <t>Armament@REPAIR</t>
        </is>
      </c>
      <c r="L47" s="6" t="n">
        <v>-3000</v>
      </c>
      <c r="M47" s="6" t="n">
        <v>75</v>
      </c>
      <c r="N47" s="6" t="n">
        <v>10</v>
      </c>
      <c r="O47" s="6" t="n">
        <v>1</v>
      </c>
      <c r="P47" s="6" t="n">
        <v>5000</v>
      </c>
      <c r="Q47" s="6" t="n">
        <v>1</v>
      </c>
      <c r="R47">
        <f>M47+IF(MAX(N47-1,0)&gt;0,IF(ISBLANK(O47),5*MAX(N47-1,0),IF(ISNUMBER(O47),O47*MAX(N47-1,0),SUM(IFERROR(VALUE(TEXTSPLIT(O47,",")),0)))),0)</f>
        <v/>
      </c>
      <c r="S47">
        <f>IFERROR(L47*MAX(N47,1)/R47*IF(ISBLANK(K42),1,K42),0)</f>
        <v/>
      </c>
      <c r="AB47" s="7" t="inlineStr">
        <is>
          <t>^RepairWeapon</t>
        </is>
      </c>
    </row>
    <row r="48">
      <c r="B48" s="7" t="inlineStr">
        <is>
          <t xml:space="preserve">  ↳ Repair</t>
        </is>
      </c>
      <c r="C48" s="7" t="inlineStr">
        <is>
          <t>Armament@GARRISONEDREPAIR</t>
        </is>
      </c>
      <c r="L48" s="6" t="n">
        <v>-3000</v>
      </c>
      <c r="M48" s="6" t="n">
        <v>75</v>
      </c>
      <c r="N48" s="6" t="n">
        <v>10</v>
      </c>
      <c r="O48" s="6" t="n">
        <v>1</v>
      </c>
      <c r="P48" s="6" t="n">
        <v>5000</v>
      </c>
      <c r="Q48" s="6" t="n">
        <v>1</v>
      </c>
      <c r="R48">
        <f>M48+IF(MAX(N48-1,0)&gt;0,IF(ISBLANK(O48),5*MAX(N48-1,0),IF(ISNUMBER(O48),O48*MAX(N48-1,0),SUM(IFERROR(VALUE(TEXTSPLIT(O48,",")),0)))),0)</f>
        <v/>
      </c>
      <c r="S48">
        <f>IFERROR(L48*MAX(N48,1)/R48*IF(ISBLANK(K42),1,K42),0)</f>
        <v/>
      </c>
      <c r="AB48" s="7" t="inlineStr">
        <is>
          <t>^RepairWeapon</t>
        </is>
      </c>
    </row>
    <row r="49">
      <c r="A49" t="inlineStr">
        <is>
          <t>shared</t>
        </is>
      </c>
      <c r="B49" t="inlineStr">
        <is>
          <t>engineer</t>
        </is>
      </c>
      <c r="C49" t="inlineStr">
        <is>
          <t>Engineer</t>
        </is>
      </c>
      <c r="D49" s="6" t="inlineStr">
        <is>
          <t>Infantry</t>
        </is>
      </c>
      <c r="E49" s="6" t="n">
        <v>5000</v>
      </c>
      <c r="F49" s="6" t="n">
        <v>50</v>
      </c>
      <c r="G49" t="inlineStr">
        <is>
          <t>None</t>
        </is>
      </c>
      <c r="H49" s="6" t="n">
        <v>1</v>
      </c>
      <c r="I49" s="6" t="n">
        <v>1</v>
      </c>
      <c r="J49" s="6" t="n">
        <v>1</v>
      </c>
      <c r="X49" s="6" t="n">
        <v>500</v>
      </c>
    </row>
    <row r="50">
      <c r="B50" s="7" t="inlineStr">
        <is>
          <t xml:space="preserve">  ↳ DefuseKit</t>
        </is>
      </c>
      <c r="C50" s="7" t="inlineStr">
        <is>
          <t>Armament@defuse</t>
        </is>
      </c>
      <c r="M50" s="6" t="n">
        <v>20</v>
      </c>
      <c r="N50" s="6" t="n">
        <v>1</v>
      </c>
      <c r="O50" s="6" t="n"/>
      <c r="P50" s="6" t="n">
        <v>1536</v>
      </c>
      <c r="Q50" s="6" t="n">
        <v>1</v>
      </c>
      <c r="R50">
        <f>M50+IF(MAX(N50-1,0)&gt;0,IF(ISBLANK(O50),5*MAX(N50-1,0),IF(ISNUMBER(O50),O50*MAX(N50-1,0),SUM(IFERROR(VALUE(TEXTSPLIT(O50,",")),0)))),0)</f>
        <v/>
      </c>
      <c r="S50">
        <f>IFERROR(L50*MAX(N50,1)/R50*IF(ISBLANK(K49),1,K49),0)</f>
        <v/>
      </c>
      <c r="AB50" s="7" t="inlineStr">
        <is>
          <t>^RemovesIvanBombs, ^RemovesTerrorDrone</t>
        </is>
      </c>
    </row>
    <row r="51">
      <c r="B51" s="7" t="inlineStr">
        <is>
          <t xml:space="preserve">  ↳ LeechDisinfect</t>
        </is>
      </c>
      <c r="C51" s="7" t="inlineStr">
        <is>
          <t>Armament@leechdisinfect</t>
        </is>
      </c>
      <c r="M51" s="6" t="n">
        <v>100</v>
      </c>
      <c r="N51" s="6" t="n">
        <v>1</v>
      </c>
      <c r="O51" s="6" t="n"/>
      <c r="P51" s="6" t="n">
        <v>1536</v>
      </c>
      <c r="Q51" s="6" t="n">
        <v>1</v>
      </c>
      <c r="R51">
        <f>M51+IF(MAX(N51-1,0)&gt;0,IF(ISBLANK(O51),5*MAX(N51-1,0),IF(ISNUMBER(O51),O51*MAX(N51-1,0),SUM(IFERROR(VALUE(TEXTSPLIT(O51,",")),0)))),0)</f>
        <v/>
      </c>
      <c r="S51">
        <f>IFERROR(L51*MAX(N51,1)/R51*IF(ISBLANK(K49),1,K49),0)</f>
        <v/>
      </c>
      <c r="AB51" s="7" t="inlineStr"/>
    </row>
    <row r="52">
      <c r="A52" t="inlineStr">
        <is>
          <t>shared</t>
        </is>
      </c>
      <c r="B52" t="inlineStr">
        <is>
          <t>fremen_creep</t>
        </is>
      </c>
      <c r="C52" t="inlineStr">
        <is>
          <t>Fremen Warrior</t>
        </is>
      </c>
      <c r="D52" s="6" t="inlineStr">
        <is>
          <t>Infantry</t>
        </is>
      </c>
      <c r="E52" s="6" t="n">
        <v>25000</v>
      </c>
      <c r="F52" s="6" t="n">
        <v>50</v>
      </c>
      <c r="G52" t="inlineStr">
        <is>
          <t>None</t>
        </is>
      </c>
      <c r="H52" s="6" t="n">
        <v>1</v>
      </c>
      <c r="I52" s="6" t="n">
        <v>1</v>
      </c>
      <c r="J52" s="6" t="n">
        <v>1</v>
      </c>
      <c r="P52">
        <f>MAX(P53,P54)</f>
        <v/>
      </c>
      <c r="S52">
        <f>S53+S54</f>
        <v/>
      </c>
      <c r="T52">
        <f>(E52/100000+F52/100+(P52/1000)*J52/5+S52/200)*200*I52*H52</f>
        <v/>
      </c>
      <c r="U52">
        <f>((E52*F52/25000)+((P52/1000)*J52*S52/2.5))*I52*H52</f>
        <v/>
      </c>
      <c r="V52">
        <f>(E52*F52*(P52/1000)*J52*S52*I52*H52)/12500000</f>
        <v/>
      </c>
      <c r="W52">
        <f>(T52+U52+V52)/3</f>
        <v/>
      </c>
      <c r="X52" s="6" t="n">
        <v>500</v>
      </c>
      <c r="Y52">
        <f>IFERROR(W52-X52,"")</f>
        <v/>
      </c>
      <c r="Z52">
        <f>IFERROR(ABS(Y52)/MAX(X52,1),"")</f>
        <v/>
      </c>
      <c r="AA52">
        <f>IFERROR((X52-(((E52/100000+F52/100+S52/200)*200*I52*H52)+((E52*F52/25000)*I52*H52))/3)/(((J52/5)*200*I52*H52)+((J52*S52/2.5)*I52*H52)+((E52*F52*J52*S52*I52*H52)/12500000))/3*1000,"")</f>
        <v/>
      </c>
    </row>
    <row r="53">
      <c r="B53" s="7" t="inlineStr">
        <is>
          <t xml:space="preserve">  ↳ HMG_fremen</t>
        </is>
      </c>
      <c r="C53" s="7" t="inlineStr">
        <is>
          <t>Armament@PRIMARY</t>
        </is>
      </c>
      <c r="L53" s="6" t="n">
        <v>6000</v>
      </c>
      <c r="M53" s="6" t="n">
        <v>20</v>
      </c>
      <c r="N53" s="6" t="n">
        <v>1</v>
      </c>
      <c r="O53" s="6" t="n"/>
      <c r="P53" s="6" t="n">
        <v>3072</v>
      </c>
      <c r="Q53" s="6" t="n">
        <v>0.875</v>
      </c>
      <c r="R53">
        <f>M53+IF(MAX(N53-1,0)&gt;0,IF(ISBLANK(O53),5*MAX(N53-1,0),IF(ISNUMBER(O53),O53*MAX(N53-1,0),SUM(IFERROR(VALUE(TEXTSPLIT(O53,",")),0)))),0)</f>
        <v/>
      </c>
      <c r="S53">
        <f>IFERROR(L53*MAX(N53,1)/R53*IF(ISBLANK(K52),1,K52),0)</f>
        <v/>
      </c>
      <c r="AB53" s="7" t="inlineStr">
        <is>
          <t>^Warhead_Bullet_Medium, ^Warhead_Bullet_Light</t>
        </is>
      </c>
    </row>
    <row r="54">
      <c r="B54" s="7" t="inlineStr">
        <is>
          <t xml:space="preserve">  ↳ Fremen_RPG</t>
        </is>
      </c>
      <c r="C54" s="7" t="inlineStr">
        <is>
          <t>Armament@SECONDARY</t>
        </is>
      </c>
      <c r="L54" s="6" t="n">
        <v>5200</v>
      </c>
      <c r="M54" s="6" t="n">
        <v>45</v>
      </c>
      <c r="N54" s="6" t="n">
        <v>1</v>
      </c>
      <c r="O54" s="6" t="n"/>
      <c r="P54" s="6" t="n">
        <v>4864</v>
      </c>
      <c r="Q54" s="6" t="n">
        <v>1.25</v>
      </c>
      <c r="R54">
        <f>M54+IF(MAX(N54-1,0)&gt;0,IF(ISBLANK(O54),5*MAX(N54-1,0),IF(ISNUMBER(O54),O54*MAX(N54-1,0),SUM(IFERROR(VALUE(TEXTSPLIT(O54,",")),0)))),0)</f>
        <v/>
      </c>
      <c r="S54">
        <f>IFERROR(L54*MAX(N54,1)/R54*IF(ISBLANK(K52),1,K52),0)</f>
        <v/>
      </c>
      <c r="AB54" s="7" t="inlineStr">
        <is>
          <t>^Warhead_MissileAP_Heavy</t>
        </is>
      </c>
    </row>
    <row r="55">
      <c r="A55" t="inlineStr">
        <is>
          <t>d2k</t>
        </is>
      </c>
      <c r="B55" t="inlineStr">
        <is>
          <t>ordos_saboteur</t>
        </is>
      </c>
      <c r="C55" t="inlineStr">
        <is>
          <t>Saboteur</t>
        </is>
      </c>
      <c r="D55" s="6" t="inlineStr">
        <is>
          <t>Infantry</t>
        </is>
      </c>
      <c r="E55" s="6" t="n">
        <v>12000</v>
      </c>
      <c r="F55" s="6" t="n">
        <v>100</v>
      </c>
      <c r="G55" t="inlineStr">
        <is>
          <t>None</t>
        </is>
      </c>
      <c r="H55" s="6" t="n">
        <v>1</v>
      </c>
      <c r="I55" s="6" t="n">
        <v>1</v>
      </c>
      <c r="J55" s="6" t="n">
        <v>1</v>
      </c>
      <c r="X55" s="6" t="n">
        <v>300</v>
      </c>
    </row>
    <row r="56">
      <c r="B56" s="7" t="inlineStr">
        <is>
          <t xml:space="preserve">  ↳ GenericC4</t>
        </is>
      </c>
      <c r="C56" s="7" t="inlineStr">
        <is>
          <t>Armament@c4</t>
        </is>
      </c>
      <c r="M56" s="6" t="n">
        <v>20</v>
      </c>
      <c r="N56" s="6" t="n">
        <v>1</v>
      </c>
      <c r="O56" s="6" t="n"/>
      <c r="P56" s="6" t="n">
        <v>2000</v>
      </c>
      <c r="Q56" s="6" t="n">
        <v>1</v>
      </c>
      <c r="R56">
        <f>M56+IF(MAX(N56-1,0)&gt;0,IF(ISBLANK(O56),5*MAX(N56-1,0),IF(ISNUMBER(O56),O56*MAX(N56-1,0),SUM(IFERROR(VALUE(TEXTSPLIT(O56,",")),0)))),0)</f>
        <v/>
      </c>
      <c r="S56">
        <f>IFERROR(L56*MAX(N56,1)/R56*IF(ISBLANK(K55),1,K55),0)</f>
        <v/>
      </c>
      <c r="AB56" s="7" t="inlineStr"/>
    </row>
    <row r="57">
      <c r="A57" s="4" t="inlineStr">
        <is>
          <t>Medic</t>
        </is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</row>
    <row r="58">
      <c r="A58" t="inlineStr">
        <is>
          <t>redalert</t>
        </is>
      </c>
      <c r="B58" t="inlineStr">
        <is>
          <t>ra1_allies_medic</t>
        </is>
      </c>
      <c r="C58" t="inlineStr">
        <is>
          <t>Medic</t>
        </is>
      </c>
      <c r="D58" s="6" t="inlineStr">
        <is>
          <t>Medic</t>
        </is>
      </c>
      <c r="E58" s="6" t="n">
        <v>10000</v>
      </c>
      <c r="F58" s="6" t="n">
        <v>50</v>
      </c>
      <c r="G58" t="inlineStr">
        <is>
          <t>None</t>
        </is>
      </c>
      <c r="H58" s="6" t="n">
        <v>1</v>
      </c>
      <c r="I58" s="6" t="n">
        <v>1</v>
      </c>
      <c r="J58" s="6" t="n">
        <v>1</v>
      </c>
      <c r="P58">
        <f>MAX(P60)</f>
        <v/>
      </c>
      <c r="S58">
        <f>S60</f>
        <v/>
      </c>
      <c r="T58">
        <f>(E58/100000+F58/100+(P58/1000)*J58/5+S58/200)*200*I58*H58</f>
        <v/>
      </c>
      <c r="U58">
        <f>((E58*F58/25000)+((P58/1000)*J58*S58/2.5))*I58*H58</f>
        <v/>
      </c>
      <c r="V58">
        <f>(E58*F58*(P58/1000)*J58*S58*I58*H58)/12500000</f>
        <v/>
      </c>
      <c r="W58">
        <f>IFERROR((((E58/5000)+(F58/50)+(S58/0)+((P58/0)*J58))*500/4+(((E58/5000)*(F58/50))+(((P58/0)*J58)*(S58/0)))*500/2+((E58/5000)*(F58/50)*((P58/0)*J58)*(S58/0))*500)*(H58/1.0)/3,"")</f>
        <v/>
      </c>
      <c r="X58" s="6" t="n">
        <v>500</v>
      </c>
      <c r="Y58">
        <f>IFERROR(W58-X58,"")</f>
        <v/>
      </c>
      <c r="Z58">
        <f>IFERROR(ABS(Y58)/MAX(X58,1),"")</f>
        <v/>
      </c>
      <c r="AA58">
        <f>IFERROR(ROUND(((3*X58-(((E58/5000)+(F58/50)+(S58/0))*500/4+((E58/5000)*(F58/50))*500/2)*(H58/1.0))/(500/4+((S58/0))*500/2+((E58/5000)*(F58/50)*(S58/0))*500)*(H58/1.0)*0)/J58,-1),"")</f>
        <v/>
      </c>
    </row>
    <row r="59">
      <c r="B59" s="7" t="inlineStr">
        <is>
          <t xml:space="preserve">  ↳ dummytargeting</t>
        </is>
      </c>
      <c r="C59" s="7" t="inlineStr">
        <is>
          <t>Armament@Dummy</t>
        </is>
      </c>
      <c r="M59" s="6" t="n">
        <v>1</v>
      </c>
      <c r="N59" s="6" t="n">
        <v>1</v>
      </c>
      <c r="O59" s="6" t="n"/>
      <c r="P59" s="6" t="n">
        <v>10000</v>
      </c>
      <c r="Q59" s="6" t="n">
        <v>1</v>
      </c>
      <c r="R59">
        <f>M59+IF(MAX(N59-1,0)&gt;0,IF(ISBLANK(O59),5*MAX(N59-1,0),IF(ISNUMBER(O59),O59*MAX(N59-1,0),SUM(IFERROR(VALUE(TEXTSPLIT(O59,",")),0)))),0)</f>
        <v/>
      </c>
      <c r="S59">
        <f>IFERROR(L59*MAX(N59,1)/R59*IF(ISBLANK(K58),1,K58),0)</f>
        <v/>
      </c>
      <c r="AB59" s="7" t="inlineStr"/>
    </row>
    <row r="60">
      <c r="B60" s="7" t="inlineStr">
        <is>
          <t xml:space="preserve">  ↳ Heal</t>
        </is>
      </c>
      <c r="C60" s="7" t="inlineStr">
        <is>
          <t>Armament</t>
        </is>
      </c>
      <c r="L60" s="6" t="n">
        <v>-3000</v>
      </c>
      <c r="M60" s="6" t="n">
        <v>75</v>
      </c>
      <c r="N60" s="6" t="n">
        <v>1</v>
      </c>
      <c r="O60" s="6" t="n"/>
      <c r="P60" s="6" t="n">
        <v>5000</v>
      </c>
      <c r="Q60" s="6" t="n">
        <v>1</v>
      </c>
      <c r="R60">
        <f>M60+IF(MAX(N60-1,0)&gt;0,IF(ISBLANK(O60),5*MAX(N60-1,0),IF(ISNUMBER(O60),O60*MAX(N60-1,0),SUM(IFERROR(VALUE(TEXTSPLIT(O60,",")),0)))),0)</f>
        <v/>
      </c>
      <c r="S60">
        <f>IFERROR(L60*MAX(N60,1)/R60*IF(ISBLANK(K58),1,K58),0)</f>
        <v/>
      </c>
      <c r="AB60" s="7" t="inlineStr">
        <is>
          <t>^HealingWeapon</t>
        </is>
      </c>
    </row>
    <row r="61">
      <c r="B61" s="7" t="inlineStr">
        <is>
          <t xml:space="preserve">  ↳ Heal</t>
        </is>
      </c>
      <c r="C61" s="7" t="inlineStr">
        <is>
          <t>Armament@GARRISONED</t>
        </is>
      </c>
      <c r="L61" s="6" t="n">
        <v>-3000</v>
      </c>
      <c r="M61" s="6" t="n">
        <v>75</v>
      </c>
      <c r="N61" s="6" t="n">
        <v>1</v>
      </c>
      <c r="O61" s="6" t="n"/>
      <c r="P61" s="6" t="n">
        <v>5000</v>
      </c>
      <c r="Q61" s="6" t="n">
        <v>1</v>
      </c>
      <c r="R61">
        <f>M61+IF(MAX(N61-1,0)&gt;0,IF(ISBLANK(O61),5*MAX(N61-1,0),IF(ISNUMBER(O61),O61*MAX(N61-1,0),SUM(IFERROR(VALUE(TEXTSPLIT(O61,",")),0)))),0)</f>
        <v/>
      </c>
      <c r="S61">
        <f>IFERROR(L61*MAX(N61,1)/R61*IF(ISBLANK(K58),1,K58),0)</f>
        <v/>
      </c>
      <c r="AB61" s="7" t="inlineStr">
        <is>
          <t>^HealingWeapon</t>
        </is>
      </c>
    </row>
    <row r="62">
      <c r="A62" t="inlineStr">
        <is>
          <t>tiberiansun</t>
        </is>
      </c>
      <c r="B62" t="inlineStr">
        <is>
          <t>ts_gdi_medic</t>
        </is>
      </c>
      <c r="C62" t="inlineStr">
        <is>
          <t>Medic</t>
        </is>
      </c>
      <c r="D62" s="6" t="inlineStr">
        <is>
          <t>Medic</t>
        </is>
      </c>
      <c r="E62" s="6" t="n">
        <v>10000</v>
      </c>
      <c r="F62" s="6" t="n">
        <v>50</v>
      </c>
      <c r="G62" t="inlineStr">
        <is>
          <t>None</t>
        </is>
      </c>
      <c r="H62" s="6" t="n">
        <v>1</v>
      </c>
      <c r="I62" s="6" t="n">
        <v>1</v>
      </c>
      <c r="J62" s="6" t="n">
        <v>1</v>
      </c>
      <c r="P62">
        <f>MAX(P64)</f>
        <v/>
      </c>
      <c r="S62">
        <f>S64</f>
        <v/>
      </c>
      <c r="T62">
        <f>(E62/100000+F62/100+(P62/1000)*J62/5+S62/200)*200*I62*H62</f>
        <v/>
      </c>
      <c r="U62">
        <f>((E62*F62/25000)+((P62/1000)*J62*S62/2.5))*I62*H62</f>
        <v/>
      </c>
      <c r="V62">
        <f>(E62*F62*(P62/1000)*J62*S62*I62*H62)/12500000</f>
        <v/>
      </c>
      <c r="W62">
        <f>IFERROR((((E62/5000)+(F62/50)+(S62/0)+((P62/0)*J62))*500/4+(((E62/5000)*(F62/50))+(((P62/0)*J62)*(S62/0)))*500/2+((E62/5000)*(F62/50)*((P62/0)*J62)*(S62/0))*500)*(H62/1.0)/3,"")</f>
        <v/>
      </c>
      <c r="X62" s="6" t="n">
        <v>500</v>
      </c>
      <c r="Y62">
        <f>IFERROR(W62-X62,"")</f>
        <v/>
      </c>
      <c r="Z62">
        <f>IFERROR(ABS(Y62)/MAX(X62,1),"")</f>
        <v/>
      </c>
      <c r="AA62">
        <f>IFERROR(ROUND(((3*X62-(((E62/5000)+(F62/50)+(S62/0))*500/4+((E62/5000)*(F62/50))*500/2)*(H62/1.0))/(500/4+((S62/0))*500/2+((E62/5000)*(F62/50)*(S62/0))*500)*(H62/1.0)*0)/J62,-1),"")</f>
        <v/>
      </c>
    </row>
    <row r="63">
      <c r="B63" s="7" t="inlineStr">
        <is>
          <t xml:space="preserve">  ↳ dummytargeting</t>
        </is>
      </c>
      <c r="C63" s="7" t="inlineStr">
        <is>
          <t>Armament@Dummy</t>
        </is>
      </c>
      <c r="M63" s="6" t="n">
        <v>1</v>
      </c>
      <c r="N63" s="6" t="n">
        <v>1</v>
      </c>
      <c r="O63" s="6" t="n"/>
      <c r="P63" s="6" t="n">
        <v>10000</v>
      </c>
      <c r="Q63" s="6" t="n">
        <v>1</v>
      </c>
      <c r="R63">
        <f>M63+IF(MAX(N63-1,0)&gt;0,IF(ISBLANK(O63),5*MAX(N63-1,0),IF(ISNUMBER(O63),O63*MAX(N63-1,0),SUM(IFERROR(VALUE(TEXTSPLIT(O63,",")),0)))),0)</f>
        <v/>
      </c>
      <c r="S63">
        <f>IFERROR(L63*MAX(N63,1)/R63*IF(ISBLANK(K62),1,K62),0)</f>
        <v/>
      </c>
      <c r="AB63" s="7" t="inlineStr"/>
    </row>
    <row r="64">
      <c r="B64" s="7" t="inlineStr">
        <is>
          <t xml:space="preserve">  ↳ Heal</t>
        </is>
      </c>
      <c r="C64" s="7" t="inlineStr">
        <is>
          <t>Armament</t>
        </is>
      </c>
      <c r="L64" s="6" t="n">
        <v>-3000</v>
      </c>
      <c r="M64" s="6" t="n">
        <v>75</v>
      </c>
      <c r="N64" s="6" t="n">
        <v>1</v>
      </c>
      <c r="O64" s="6" t="n"/>
      <c r="P64" s="6" t="n">
        <v>5000</v>
      </c>
      <c r="Q64" s="6" t="n">
        <v>1</v>
      </c>
      <c r="R64">
        <f>M64+IF(MAX(N64-1,0)&gt;0,IF(ISBLANK(O64),5*MAX(N64-1,0),IF(ISNUMBER(O64),O64*MAX(N64-1,0),SUM(IFERROR(VALUE(TEXTSPLIT(O64,",")),0)))),0)</f>
        <v/>
      </c>
      <c r="S64">
        <f>IFERROR(L64*MAX(N64,1)/R64*IF(ISBLANK(K62),1,K62),0)</f>
        <v/>
      </c>
      <c r="AB64" s="7" t="inlineStr">
        <is>
          <t>^HealingWeapon</t>
        </is>
      </c>
    </row>
    <row r="65">
      <c r="B65" s="7" t="inlineStr">
        <is>
          <t xml:space="preserve">  ↳ Heal</t>
        </is>
      </c>
      <c r="C65" s="7" t="inlineStr">
        <is>
          <t>Armament@GARRISONED</t>
        </is>
      </c>
      <c r="L65" s="6" t="n">
        <v>-3000</v>
      </c>
      <c r="M65" s="6" t="n">
        <v>75</v>
      </c>
      <c r="N65" s="6" t="n">
        <v>1</v>
      </c>
      <c r="O65" s="6" t="n"/>
      <c r="P65" s="6" t="n">
        <v>5000</v>
      </c>
      <c r="Q65" s="6" t="n">
        <v>1</v>
      </c>
      <c r="R65">
        <f>M65+IF(MAX(N65-1,0)&gt;0,IF(ISBLANK(O65),5*MAX(N65-1,0),IF(ISNUMBER(O65),O65*MAX(N65-1,0),SUM(IFERROR(VALUE(TEXTSPLIT(O65,",")),0)))),0)</f>
        <v/>
      </c>
      <c r="S65">
        <f>IFERROR(L65*MAX(N65,1)/R65*IF(ISBLANK(K62),1,K62),0)</f>
        <v/>
      </c>
      <c r="AB65" s="7" t="inlineStr">
        <is>
          <t>^HealingWeapon</t>
        </is>
      </c>
    </row>
    <row r="66">
      <c r="A66" t="inlineStr">
        <is>
          <t>starcraft</t>
        </is>
      </c>
      <c r="B66" t="inlineStr">
        <is>
          <t>terran_medic</t>
        </is>
      </c>
      <c r="C66" t="inlineStr">
        <is>
          <t>Medic</t>
        </is>
      </c>
      <c r="D66" s="6" t="inlineStr">
        <is>
          <t>Medic</t>
        </is>
      </c>
      <c r="E66" s="6" t="n">
        <v>60000</v>
      </c>
      <c r="F66" s="6" t="n">
        <v>60</v>
      </c>
      <c r="G66" t="inlineStr">
        <is>
          <t>None</t>
        </is>
      </c>
      <c r="H66" s="6" t="n">
        <v>1</v>
      </c>
      <c r="I66" s="6" t="n">
        <v>1</v>
      </c>
      <c r="J66" s="6" t="n">
        <v>1</v>
      </c>
      <c r="P66">
        <f>MAX(P67,P68)</f>
        <v/>
      </c>
      <c r="S66">
        <f>S67+S68</f>
        <v/>
      </c>
      <c r="T66">
        <f>(E66/100000+F66/100+(P66/1000)*J66/5+S66/200)*200*I66*H66</f>
        <v/>
      </c>
      <c r="U66">
        <f>((E66*F66/25000)+((P66/1000)*J66*S66/2.5))*I66*H66</f>
        <v/>
      </c>
      <c r="V66">
        <f>(E66*F66*(P66/1000)*J66*S66*I66*H66)/12500000</f>
        <v/>
      </c>
      <c r="W66">
        <f>IFERROR((((E66/5000)+(F66/50)+(S66/0)+((P66/0)*J66))*500/4+(((E66/5000)*(F66/50))+(((P66/0)*J66)*(S66/0)))*500/2+((E66/5000)*(F66/50)*((P66/0)*J66)*(S66/0))*500)*(H66/1.0)/3,"")</f>
        <v/>
      </c>
      <c r="X66" s="6" t="n">
        <v>600</v>
      </c>
      <c r="Y66">
        <f>IFERROR(W66-X66,"")</f>
        <v/>
      </c>
      <c r="Z66">
        <f>IFERROR(ABS(Y66)/MAX(X66,1),"")</f>
        <v/>
      </c>
      <c r="AA66">
        <f>IFERROR(ROUND(((3*X66-(((E66/5000)+(F66/50)+(S66/0))*500/4+((E66/5000)*(F66/50))*500/2)*(H66/1.0))/(500/4+((S66/0))*500/2+((E66/5000)*(F66/50)*(S66/0))*500)*(H66/1.0)*0)/J66,-1),"")</f>
        <v/>
      </c>
    </row>
    <row r="67">
      <c r="B67" s="7" t="inlineStr">
        <is>
          <t xml:space="preserve">  ↳ MedicFlare</t>
        </is>
      </c>
      <c r="C67" s="7" t="inlineStr">
        <is>
          <t>Armament@Flare</t>
        </is>
      </c>
      <c r="L67" s="6" t="n">
        <v>7000</v>
      </c>
      <c r="M67" s="6" t="n">
        <v>60</v>
      </c>
      <c r="N67" s="6" t="n">
        <v>1</v>
      </c>
      <c r="O67" s="6" t="n"/>
      <c r="P67" s="6" t="n">
        <v>6000</v>
      </c>
      <c r="Q67" s="6" t="n">
        <v>1</v>
      </c>
      <c r="R67">
        <f>M67+IF(MAX(N67-1,0)&gt;0,IF(ISBLANK(O67),5*MAX(N67-1,0),IF(ISNUMBER(O67),O67*MAX(N67-1,0),SUM(IFERROR(VALUE(TEXTSPLIT(O67,",")),0)))),0)</f>
        <v/>
      </c>
      <c r="S67">
        <f>IFERROR(L67*MAX(N67,1)/R67*IF(ISBLANK(K66),1,K66),0)</f>
        <v/>
      </c>
      <c r="AB67" s="7" t="inlineStr">
        <is>
          <t>^LightFlameWeapon, ^FlakWeapon, ^LaserWeapon</t>
        </is>
      </c>
    </row>
    <row r="68">
      <c r="B68" s="7" t="inlineStr">
        <is>
          <t xml:space="preserve">  ↳ MedicHeal</t>
        </is>
      </c>
      <c r="C68" s="7" t="inlineStr">
        <is>
          <t>Armament@Heal</t>
        </is>
      </c>
      <c r="L68" s="6" t="n">
        <v>-3000</v>
      </c>
      <c r="M68" s="6" t="n">
        <v>10</v>
      </c>
      <c r="N68" s="6" t="n">
        <v>1</v>
      </c>
      <c r="O68" s="6" t="n"/>
      <c r="P68" s="6" t="n">
        <v>6000</v>
      </c>
      <c r="Q68" s="6" t="n">
        <v>1</v>
      </c>
      <c r="R68">
        <f>M68+IF(MAX(N68-1,0)&gt;0,IF(ISBLANK(O68),5*MAX(N68-1,0),IF(ISNUMBER(O68),O68*MAX(N68-1,0),SUM(IFERROR(VALUE(TEXTSPLIT(O68,",")),0)))),0)</f>
        <v/>
      </c>
      <c r="S68">
        <f>IFERROR(L68*MAX(N68,1)/R68*IF(ISBLANK(K66),1,K66),0)</f>
        <v/>
      </c>
      <c r="AB68" s="7" t="inlineStr">
        <is>
          <t>^HealingWeapon</t>
        </is>
      </c>
    </row>
    <row r="69">
      <c r="B69" s="7" t="inlineStr">
        <is>
          <t xml:space="preserve">  ↳ MedicFlare</t>
        </is>
      </c>
      <c r="C69" s="7" t="inlineStr">
        <is>
          <t>Armament@FlareGARRISONED</t>
        </is>
      </c>
      <c r="L69" s="6" t="n">
        <v>7000</v>
      </c>
      <c r="M69" s="6" t="n">
        <v>60</v>
      </c>
      <c r="N69" s="6" t="n">
        <v>1</v>
      </c>
      <c r="O69" s="6" t="n"/>
      <c r="P69" s="6" t="n">
        <v>6000</v>
      </c>
      <c r="Q69" s="6" t="n">
        <v>1</v>
      </c>
      <c r="R69">
        <f>M69+IF(MAX(N69-1,0)&gt;0,IF(ISBLANK(O69),5*MAX(N69-1,0),IF(ISNUMBER(O69),O69*MAX(N69-1,0),SUM(IFERROR(VALUE(TEXTSPLIT(O69,",")),0)))),0)</f>
        <v/>
      </c>
      <c r="S69">
        <f>IFERROR(L69*MAX(N69,1)/R69*IF(ISBLANK(K66),1,K66),0)</f>
        <v/>
      </c>
      <c r="AB69" s="7" t="inlineStr">
        <is>
          <t>^LightFlameWeapon, ^FlakWeapon, ^LaserWeapon</t>
        </is>
      </c>
    </row>
    <row r="70">
      <c r="A70" s="4" t="inlineStr">
        <is>
          <t>Mechanic</t>
        </is>
      </c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</row>
    <row r="71">
      <c r="A71" t="inlineStr">
        <is>
          <t>redalert</t>
        </is>
      </c>
      <c r="B71" t="inlineStr">
        <is>
          <t>ra1_allies_mechanic</t>
        </is>
      </c>
      <c r="C71" t="inlineStr">
        <is>
          <t>Mechanic</t>
        </is>
      </c>
      <c r="D71" s="6" t="inlineStr">
        <is>
          <t>Mechanic</t>
        </is>
      </c>
      <c r="E71" s="6" t="n">
        <v>7500</v>
      </c>
      <c r="F71" s="6" t="n">
        <v>50</v>
      </c>
      <c r="G71" t="inlineStr">
        <is>
          <t>None</t>
        </is>
      </c>
      <c r="H71" s="6" t="n">
        <v>0.7333</v>
      </c>
      <c r="I71" s="6" t="n">
        <v>1</v>
      </c>
      <c r="J71" s="6" t="n">
        <v>1</v>
      </c>
      <c r="P71">
        <f>MAX(P73)</f>
        <v/>
      </c>
      <c r="S71">
        <f>S73</f>
        <v/>
      </c>
      <c r="T71">
        <f>(E71/100000+F71/100+(P71/1000)*J71/5+S71/200)*200*I71*H71</f>
        <v/>
      </c>
      <c r="U71">
        <f>((E71*F71/25000)+((P71/1000)*J71*S71/2.5))*I71*H71</f>
        <v/>
      </c>
      <c r="V71">
        <f>(E71*F71*(P71/1000)*J71*S71*I71*H71)/12500000</f>
        <v/>
      </c>
      <c r="W71">
        <f>IFERROR((((E71/5000)+(F71/50)+(S71/0)+((P71/0)*J71))*500/4+(((E71/5000)*(F71/50))+(((P71/0)*J71)*(S71/0)))*500/2+((E71/5000)*(F71/50)*((P71/0)*J71)*(S71/0))*500)*(H71/1.0)/3,"")</f>
        <v/>
      </c>
      <c r="X71" s="6" t="n">
        <v>500</v>
      </c>
      <c r="Y71">
        <f>IFERROR(W71-X71,"")</f>
        <v/>
      </c>
      <c r="Z71">
        <f>IFERROR(ABS(Y71)/MAX(X71,1),"")</f>
        <v/>
      </c>
      <c r="AA71">
        <f>IFERROR(ROUND(((3*X71-(((E71/5000)+(F71/50)+(S71/0))*500/4+((E71/5000)*(F71/50))*500/2)*(H71/1.0))/(500/4+((S71/0))*500/2+((E71/5000)*(F71/50)*(S71/0))*500)*(H71/1.0)*0)/J71,-1),"")</f>
        <v/>
      </c>
    </row>
    <row r="72">
      <c r="B72" s="7" t="inlineStr">
        <is>
          <t xml:space="preserve">  ↳ dummytargeting</t>
        </is>
      </c>
      <c r="C72" s="7" t="inlineStr">
        <is>
          <t>Armament@Dummy</t>
        </is>
      </c>
      <c r="M72" s="6" t="n">
        <v>1</v>
      </c>
      <c r="N72" s="6" t="n">
        <v>1</v>
      </c>
      <c r="O72" s="6" t="n"/>
      <c r="P72" s="6" t="n">
        <v>10000</v>
      </c>
      <c r="Q72" s="6" t="n">
        <v>1</v>
      </c>
      <c r="R72">
        <f>M72+IF(MAX(N72-1,0)&gt;0,IF(ISBLANK(O72),5*MAX(N72-1,0),IF(ISNUMBER(O72),O72*MAX(N72-1,0),SUM(IFERROR(VALUE(TEXTSPLIT(O72,",")),0)))),0)</f>
        <v/>
      </c>
      <c r="S72">
        <f>IFERROR(L72*MAX(N72,1)/R72*IF(ISBLANK(K71),1,K71),0)</f>
        <v/>
      </c>
      <c r="AB72" s="7" t="inlineStr"/>
    </row>
    <row r="73">
      <c r="B73" s="7" t="inlineStr">
        <is>
          <t xml:space="preserve">  ↳ Repair</t>
        </is>
      </c>
      <c r="C73" s="7" t="inlineStr">
        <is>
          <t>Armament</t>
        </is>
      </c>
      <c r="L73" s="6" t="n">
        <v>-3000</v>
      </c>
      <c r="M73" s="6" t="n">
        <v>75</v>
      </c>
      <c r="N73" s="6" t="n">
        <v>10</v>
      </c>
      <c r="O73" s="6" t="n">
        <v>1</v>
      </c>
      <c r="P73" s="6" t="n">
        <v>5000</v>
      </c>
      <c r="Q73" s="6" t="n">
        <v>1</v>
      </c>
      <c r="R73">
        <f>M73+IF(MAX(N73-1,0)&gt;0,IF(ISBLANK(O73),5*MAX(N73-1,0),IF(ISNUMBER(O73),O73*MAX(N73-1,0),SUM(IFERROR(VALUE(TEXTSPLIT(O73,",")),0)))),0)</f>
        <v/>
      </c>
      <c r="S73">
        <f>IFERROR(L73*MAX(N73,1)/R73*IF(ISBLANK(K71),1,K71),0)</f>
        <v/>
      </c>
      <c r="AB73" s="7" t="inlineStr">
        <is>
          <t>^RepairWeapon</t>
        </is>
      </c>
    </row>
    <row r="74">
      <c r="B74" s="7" t="inlineStr">
        <is>
          <t xml:space="preserve">  ↳ Repair</t>
        </is>
      </c>
      <c r="C74" s="7" t="inlineStr">
        <is>
          <t>Armament@GARRISONED</t>
        </is>
      </c>
      <c r="L74" s="6" t="n">
        <v>-3000</v>
      </c>
      <c r="M74" s="6" t="n">
        <v>75</v>
      </c>
      <c r="N74" s="6" t="n">
        <v>10</v>
      </c>
      <c r="O74" s="6" t="n">
        <v>1</v>
      </c>
      <c r="P74" s="6" t="n">
        <v>5000</v>
      </c>
      <c r="Q74" s="6" t="n">
        <v>1</v>
      </c>
      <c r="R74">
        <f>M74+IF(MAX(N74-1,0)&gt;0,IF(ISBLANK(O74),5*MAX(N74-1,0),IF(ISNUMBER(O74),O74*MAX(N74-1,0),SUM(IFERROR(VALUE(TEXTSPLIT(O74,",")),0)))),0)</f>
        <v/>
      </c>
      <c r="S74">
        <f>IFERROR(L74*MAX(N74,1)/R74*IF(ISBLANK(K71),1,K71),0)</f>
        <v/>
      </c>
      <c r="AB74" s="7" t="inlineStr">
        <is>
          <t>^RepairWeapon</t>
        </is>
      </c>
    </row>
    <row r="75">
      <c r="A75" t="inlineStr">
        <is>
          <t>tiberiansun</t>
        </is>
      </c>
      <c r="B75" t="inlineStr">
        <is>
          <t>cabal_engineer</t>
        </is>
      </c>
      <c r="C75" t="inlineStr">
        <is>
          <t>CABAL Engineer</t>
        </is>
      </c>
      <c r="D75" s="6" t="inlineStr">
        <is>
          <t>Mechanic</t>
        </is>
      </c>
      <c r="E75" s="6" t="n">
        <v>20000</v>
      </c>
      <c r="F75" s="6" t="n">
        <v>40</v>
      </c>
      <c r="G75" t="inlineStr">
        <is>
          <t>None</t>
        </is>
      </c>
      <c r="H75" s="6" t="n">
        <v>1</v>
      </c>
      <c r="I75" s="6" t="n">
        <v>1</v>
      </c>
      <c r="J75" s="6" t="n">
        <v>1</v>
      </c>
      <c r="P75">
        <f>MAX(P77)</f>
        <v/>
      </c>
      <c r="S75">
        <f>S77</f>
        <v/>
      </c>
      <c r="T75">
        <f>(E75/100000+F75/100+(P75/1000)*J75/5+S75/200)*200*I75*H75</f>
        <v/>
      </c>
      <c r="U75">
        <f>((E75*F75/25000)+((P75/1000)*J75*S75/2.5))*I75*H75</f>
        <v/>
      </c>
      <c r="V75">
        <f>(E75*F75*(P75/1000)*J75*S75*I75*H75)/12500000</f>
        <v/>
      </c>
      <c r="W75">
        <f>IFERROR((((E75/5000)+(F75/50)+(S75/0)+((P75/0)*J75))*500/4+(((E75/5000)*(F75/50))+(((P75/0)*J75)*(S75/0)))*500/2+((E75/5000)*(F75/50)*((P75/0)*J75)*(S75/0))*500)*(H75/1.0)/3,"")</f>
        <v/>
      </c>
      <c r="X75" s="6" t="n">
        <v>800</v>
      </c>
      <c r="Y75">
        <f>IFERROR(W75-X75,"")</f>
        <v/>
      </c>
      <c r="Z75">
        <f>IFERROR(ABS(Y75)/MAX(X75,1),"")</f>
        <v/>
      </c>
      <c r="AA75">
        <f>IFERROR(ROUND(((3*X75-(((E75/5000)+(F75/50)+(S75/0))*500/4+((E75/5000)*(F75/50))*500/2)*(H75/1.0))/(500/4+((S75/0))*500/2+((E75/5000)*(F75/50)*(S75/0))*500)*(H75/1.0)*0)/J75,-1),"")</f>
        <v/>
      </c>
    </row>
    <row r="76">
      <c r="B76" s="7" t="inlineStr">
        <is>
          <t xml:space="preserve">  ↳ dummytargeting</t>
        </is>
      </c>
      <c r="C76" s="7" t="inlineStr">
        <is>
          <t>Armament@Dummy</t>
        </is>
      </c>
      <c r="M76" s="6" t="n">
        <v>1</v>
      </c>
      <c r="N76" s="6" t="n">
        <v>1</v>
      </c>
      <c r="O76" s="6" t="n"/>
      <c r="P76" s="6" t="n">
        <v>10000</v>
      </c>
      <c r="Q76" s="6" t="n">
        <v>1</v>
      </c>
      <c r="R76">
        <f>M76+IF(MAX(N76-1,0)&gt;0,IF(ISBLANK(O76),5*MAX(N76-1,0),IF(ISNUMBER(O76),O76*MAX(N76-1,0),SUM(IFERROR(VALUE(TEXTSPLIT(O76,",")),0)))),0)</f>
        <v/>
      </c>
      <c r="S76">
        <f>IFERROR(L76*MAX(N76,1)/R76*IF(ISBLANK(K75),1,K75),0)</f>
        <v/>
      </c>
      <c r="AB76" s="7" t="inlineStr"/>
    </row>
    <row r="77">
      <c r="B77" s="7" t="inlineStr">
        <is>
          <t xml:space="preserve">  ↳ CabalEngineerRepairBeam</t>
        </is>
      </c>
      <c r="C77" s="7" t="inlineStr">
        <is>
          <t>Armament@REPAIRBEAM</t>
        </is>
      </c>
      <c r="L77" s="6" t="n">
        <v>-2600</v>
      </c>
      <c r="M77" s="6" t="n">
        <v>31</v>
      </c>
      <c r="N77" s="6" t="n">
        <v>10</v>
      </c>
      <c r="O77" s="6" t="n">
        <v>1</v>
      </c>
      <c r="P77" s="6" t="n">
        <v>6128</v>
      </c>
      <c r="Q77" s="6" t="n">
        <v>1</v>
      </c>
      <c r="R77">
        <f>M77+IF(MAX(N77-1,0)&gt;0,IF(ISBLANK(O77),5*MAX(N77-1,0),IF(ISNUMBER(O77),O77*MAX(N77-1,0),SUM(IFERROR(VALUE(TEXTSPLIT(O77,",")),0)))),0)</f>
        <v/>
      </c>
      <c r="S77">
        <f>IFERROR(L77*MAX(N77,1)/R77*IF(ISBLANK(K75),1,K75),0)</f>
        <v/>
      </c>
      <c r="AB77" s="7" t="inlineStr">
        <is>
          <t>^RepairWeapon</t>
        </is>
      </c>
    </row>
    <row r="78">
      <c r="A78" s="4" t="inlineStr">
        <is>
          <t>ScoutInfantry</t>
        </is>
      </c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</row>
    <row r="79">
      <c r="A79" t="inlineStr">
        <is>
          <t>tiberiandawn</t>
        </is>
      </c>
      <c r="B79" t="inlineStr">
        <is>
          <t>E1</t>
        </is>
      </c>
      <c r="C79" t="inlineStr">
        <is>
          <t>GDI Minigunner</t>
        </is>
      </c>
      <c r="D79" s="6" t="inlineStr">
        <is>
          <t>ScoutInfantry</t>
        </is>
      </c>
      <c r="E79" s="6" t="n">
        <v>31000</v>
      </c>
      <c r="F79" s="6" t="n">
        <v>63</v>
      </c>
      <c r="G79" t="inlineStr">
        <is>
          <t>None</t>
        </is>
      </c>
      <c r="H79" s="6" t="n">
        <v>1</v>
      </c>
      <c r="I79" s="6" t="n">
        <v>1</v>
      </c>
      <c r="J79" s="6" t="n">
        <v>1</v>
      </c>
      <c r="P79">
        <f>MAX(P80,P82)</f>
        <v/>
      </c>
      <c r="S79">
        <f>S80+S82</f>
        <v/>
      </c>
      <c r="T79">
        <f>(E79/100000+F79/100+(P79/1000)*J79/5+S79/200)*200*I79*H79</f>
        <v/>
      </c>
      <c r="U79">
        <f>((E79*F79/25000)+((P79/1000)*J79*S79/2.5))*I79*H79</f>
        <v/>
      </c>
      <c r="V79">
        <f>(E79*F79*(P79/1000)*J79*S79*I79*H79)/12500000</f>
        <v/>
      </c>
      <c r="W79">
        <f>IFERROR((((E79/20000)+(F79/60)+(S79/60)+((P79/5000)*J79))*100/4+(((E79/20000)*(F79/60))+(((P79/5000)*J79)*(S79/60)))*100/2+((E79/20000)*(F79/60)*((P79/5000)*J79)*(S79/60))*100)*(H79/1.0)/3,"")</f>
        <v/>
      </c>
      <c r="X79" s="6" t="n">
        <v>100</v>
      </c>
      <c r="Y79">
        <f>IFERROR(W79-X79,"")</f>
        <v/>
      </c>
      <c r="Z79">
        <f>IFERROR(ABS(Y79)/MAX(X79,1),"")</f>
        <v/>
      </c>
      <c r="AA79">
        <f>IFERROR(ROUND(((3*X79-(((E79/20000)+(F79/60)+(S79/60))*100/4+((E79/20000)*(F79/60))*100/2)*(H79/1.0))/(100/4+((S79/60))*100/2+((E79/20000)*(F79/60)*(S79/60))*100)*(H79/1.0)*5000)/J79,-1),"")</f>
        <v/>
      </c>
    </row>
    <row r="80">
      <c r="B80" s="7" t="inlineStr">
        <is>
          <t xml:space="preserve">  ↳ td_gdi_minigunner_minigun</t>
        </is>
      </c>
      <c r="C80" s="7" t="inlineStr">
        <is>
          <t>Armament@PRIMARY</t>
        </is>
      </c>
      <c r="L80" s="6" t="n">
        <v>2000</v>
      </c>
      <c r="M80" s="6" t="n">
        <v>50</v>
      </c>
      <c r="N80" s="6" t="n">
        <v>4</v>
      </c>
      <c r="O80" s="6" t="n">
        <v>3</v>
      </c>
      <c r="P80" s="6" t="n">
        <v>5499</v>
      </c>
      <c r="Q80" s="6" t="n">
        <v>0.75</v>
      </c>
      <c r="R80">
        <f>M80+IF(MAX(N80-1,0)&gt;0,IF(ISBLANK(O80),5*MAX(N80-1,0),IF(ISNUMBER(O80),O80*MAX(N80-1,0),SUM(IFERROR(VALUE(TEXTSPLIT(O80,",")),0)))),0)</f>
        <v/>
      </c>
      <c r="S80">
        <f>IFERROR(L80*MAX(N80,1)/R80*IF(ISBLANK(K79),1,K79),0)</f>
        <v/>
      </c>
      <c r="AB80" s="7" t="inlineStr">
        <is>
          <t>^Warhead_Bullet_Light</t>
        </is>
      </c>
    </row>
    <row r="81">
      <c r="B81" s="7" t="inlineStr">
        <is>
          <t xml:space="preserve">  ↳ td_gdi_minigunner_minigun</t>
        </is>
      </c>
      <c r="C81" s="7" t="inlineStr">
        <is>
          <t>Armament@GARRISONED</t>
        </is>
      </c>
      <c r="L81" s="6" t="n">
        <v>2000</v>
      </c>
      <c r="M81" s="6" t="n">
        <v>50</v>
      </c>
      <c r="N81" s="6" t="n">
        <v>4</v>
      </c>
      <c r="O81" s="6" t="n">
        <v>3</v>
      </c>
      <c r="P81" s="6" t="n">
        <v>5499</v>
      </c>
      <c r="Q81" s="6" t="n">
        <v>0.75</v>
      </c>
      <c r="R81">
        <f>M81+IF(MAX(N81-1,0)&gt;0,IF(ISBLANK(O81),5*MAX(N81-1,0),IF(ISNUMBER(O81),O81*MAX(N81-1,0),SUM(IFERROR(VALUE(TEXTSPLIT(O81,",")),0)))),0)</f>
        <v/>
      </c>
      <c r="S81">
        <f>IFERROR(L81*MAX(N81,1)/R81*IF(ISBLANK(K79),1,K79),0)</f>
        <v/>
      </c>
      <c r="AB81" s="7" t="inlineStr">
        <is>
          <t>^Warhead_Bullet_Light</t>
        </is>
      </c>
    </row>
    <row r="82">
      <c r="B82" s="7" t="inlineStr">
        <is>
          <t xml:space="preserve">  ↳ td_gdi_minigunner_minigun_ap</t>
        </is>
      </c>
      <c r="C82" s="7" t="inlineStr">
        <is>
          <t>Armament@Upgrade</t>
        </is>
      </c>
      <c r="L82" s="6" t="n">
        <v>4000</v>
      </c>
      <c r="M82" s="6" t="n">
        <v>45</v>
      </c>
      <c r="N82" s="6" t="n">
        <v>4</v>
      </c>
      <c r="O82" s="6" t="n">
        <v>3</v>
      </c>
      <c r="P82" s="6" t="n">
        <v>4600</v>
      </c>
      <c r="Q82" s="6" t="n">
        <v>1</v>
      </c>
      <c r="R82">
        <f>M82+IF(MAX(N82-1,0)&gt;0,IF(ISBLANK(O82),5*MAX(N82-1,0),IF(ISNUMBER(O82),O82*MAX(N82-1,0),SUM(IFERROR(VALUE(TEXTSPLIT(O82,",")),0)))),0)</f>
        <v/>
      </c>
      <c r="S82">
        <f>IFERROR(L82*MAX(N82,1)/R82*IF(ISBLANK(K79),1,K79),0)</f>
        <v/>
      </c>
      <c r="AB82" s="7" t="inlineStr">
        <is>
          <t>^Warhead_Bullet_Medium</t>
        </is>
      </c>
    </row>
    <row r="83">
      <c r="B83" s="7" t="inlineStr">
        <is>
          <t xml:space="preserve">  ↳ td_gdi_minigunner_minigun_ap</t>
        </is>
      </c>
      <c r="C83" s="7" t="inlineStr">
        <is>
          <t>Armament@UpgradeGARRISONED</t>
        </is>
      </c>
      <c r="L83" s="6" t="n">
        <v>4000</v>
      </c>
      <c r="M83" s="6" t="n">
        <v>45</v>
      </c>
      <c r="N83" s="6" t="n">
        <v>4</v>
      </c>
      <c r="O83" s="6" t="n">
        <v>3</v>
      </c>
      <c r="P83" s="6" t="n">
        <v>4600</v>
      </c>
      <c r="Q83" s="6" t="n">
        <v>1</v>
      </c>
      <c r="R83">
        <f>M83+IF(MAX(N83-1,0)&gt;0,IF(ISBLANK(O83),5*MAX(N83-1,0),IF(ISNUMBER(O83),O83*MAX(N83-1,0),SUM(IFERROR(VALUE(TEXTSPLIT(O83,",")),0)))),0)</f>
        <v/>
      </c>
      <c r="S83">
        <f>IFERROR(L83*MAX(N83,1)/R83*IF(ISBLANK(K79),1,K79),0)</f>
        <v/>
      </c>
      <c r="AB83" s="7" t="inlineStr">
        <is>
          <t>^Warhead_Bullet_Medium</t>
        </is>
      </c>
    </row>
    <row r="84">
      <c r="A84" t="inlineStr">
        <is>
          <t>tiberiandawn</t>
        </is>
      </c>
      <c r="B84" t="inlineStr">
        <is>
          <t>td_gdi_minigunner</t>
        </is>
      </c>
      <c r="C84" t="inlineStr">
        <is>
          <t>GDI Minigunner</t>
        </is>
      </c>
      <c r="D84" s="6" t="inlineStr">
        <is>
          <t>ScoutInfantry</t>
        </is>
      </c>
      <c r="E84" s="6" t="n">
        <v>31000</v>
      </c>
      <c r="F84" s="6" t="n">
        <v>63</v>
      </c>
      <c r="G84" t="inlineStr">
        <is>
          <t>None</t>
        </is>
      </c>
      <c r="H84" s="6" t="n">
        <v>1</v>
      </c>
      <c r="I84" s="6" t="n">
        <v>1</v>
      </c>
      <c r="J84" s="6" t="n">
        <v>1</v>
      </c>
      <c r="K84" t="n">
        <v>0.0024</v>
      </c>
      <c r="P84">
        <f>MAX(P85,P87)</f>
        <v/>
      </c>
      <c r="S84">
        <f>S85+S87</f>
        <v/>
      </c>
      <c r="T84">
        <f>(E84/100000+F84/100+(P84/1000)*J84/5+S84/200)*200*I84*H84</f>
        <v/>
      </c>
      <c r="U84">
        <f>((E84*F84/25000)+((P84/1000)*J84*S84/2.5))*I84*H84</f>
        <v/>
      </c>
      <c r="V84">
        <f>(E84*F84*(P84/1000)*J84*S84*I84*H84)/12500000</f>
        <v/>
      </c>
      <c r="W84">
        <f>IFERROR((((E84/20000)+(F84/60)+(S84/60)+((P84/5000)*J84))*100/4+(((E84/20000)*(F84/60))+(((P84/5000)*J84)*(S84/60)))*100/2+((E84/20000)*(F84/60)*((P84/5000)*J84)*(S84/60))*100)*(H84/1.0)/3,"")</f>
        <v/>
      </c>
      <c r="X84" s="6" t="n">
        <v>100</v>
      </c>
      <c r="Y84">
        <f>IFERROR(W84-X84,"")</f>
        <v/>
      </c>
      <c r="Z84">
        <f>IFERROR(ABS(Y84)/MAX(X84,1),"")</f>
        <v/>
      </c>
      <c r="AA84">
        <f>IFERROR(ROUND(((3*X84-(((E84/20000)+(F84/60)+(S84/60))*100/4+((E84/20000)*(F84/60))*100/2)*(H84/1.0))/(100/4+((S84/60))*100/2+((E84/20000)*(F84/60)*(S84/60))*100)*(H84/1.0)*5000)/J84,-1),"")</f>
        <v/>
      </c>
    </row>
    <row r="85">
      <c r="B85" s="7" t="inlineStr">
        <is>
          <t xml:space="preserve">  ↳ td_gdi_minigunner_minigun</t>
        </is>
      </c>
      <c r="C85" s="7" t="inlineStr">
        <is>
          <t>Armament@PRIMARY</t>
        </is>
      </c>
      <c r="L85" s="6" t="n">
        <v>2000</v>
      </c>
      <c r="M85" s="6" t="n">
        <v>50</v>
      </c>
      <c r="N85" s="6" t="n">
        <v>4</v>
      </c>
      <c r="O85" s="6" t="n">
        <v>3</v>
      </c>
      <c r="P85" s="6" t="n">
        <v>5499</v>
      </c>
      <c r="Q85" s="6" t="n">
        <v>0.75</v>
      </c>
      <c r="R85">
        <f>M85+IF(MAX(N85-1,0)&gt;0,IF(ISBLANK(O85),5*MAX(N85-1,0),IF(ISNUMBER(O85),O85*MAX(N85-1,0),SUM(IFERROR(VALUE(TEXTSPLIT(O85,",")),0)))),0)</f>
        <v/>
      </c>
      <c r="S85">
        <f>IFERROR(L85*MAX(N85,1)/R85*IF(ISBLANK(K84),1,K84),0)</f>
        <v/>
      </c>
      <c r="AB85" s="7" t="inlineStr">
        <is>
          <t>^Warhead_Bullet_Light</t>
        </is>
      </c>
    </row>
    <row r="86">
      <c r="B86" s="7" t="inlineStr">
        <is>
          <t xml:space="preserve">  ↳ td_gdi_minigunner_minigun</t>
        </is>
      </c>
      <c r="C86" s="7" t="inlineStr">
        <is>
          <t>Armament@GARRISONED</t>
        </is>
      </c>
      <c r="L86" s="6" t="n">
        <v>2000</v>
      </c>
      <c r="M86" s="6" t="n">
        <v>50</v>
      </c>
      <c r="N86" s="6" t="n">
        <v>4</v>
      </c>
      <c r="O86" s="6" t="n">
        <v>3</v>
      </c>
      <c r="P86" s="6" t="n">
        <v>5499</v>
      </c>
      <c r="Q86" s="6" t="n">
        <v>0.75</v>
      </c>
      <c r="R86">
        <f>M86+IF(MAX(N86-1,0)&gt;0,IF(ISBLANK(O86),5*MAX(N86-1,0),IF(ISNUMBER(O86),O86*MAX(N86-1,0),SUM(IFERROR(VALUE(TEXTSPLIT(O86,",")),0)))),0)</f>
        <v/>
      </c>
      <c r="S86">
        <f>IFERROR(L86*MAX(N86,1)/R86*IF(ISBLANK(K84),1,K84),0)</f>
        <v/>
      </c>
      <c r="AB86" s="7" t="inlineStr">
        <is>
          <t>^Warhead_Bullet_Light</t>
        </is>
      </c>
    </row>
    <row r="87">
      <c r="B87" s="7" t="inlineStr">
        <is>
          <t xml:space="preserve">  ↳ td_gdi_minigunner_minigun_ap</t>
        </is>
      </c>
      <c r="C87" s="7" t="inlineStr">
        <is>
          <t>Armament@Upgrade</t>
        </is>
      </c>
      <c r="L87" s="6" t="n">
        <v>4000</v>
      </c>
      <c r="M87" s="6" t="n">
        <v>45</v>
      </c>
      <c r="N87" s="6" t="n">
        <v>4</v>
      </c>
      <c r="O87" s="6" t="n">
        <v>3</v>
      </c>
      <c r="P87" s="6" t="n">
        <v>4600</v>
      </c>
      <c r="Q87" s="6" t="n">
        <v>1</v>
      </c>
      <c r="R87">
        <f>M87+IF(MAX(N87-1,0)&gt;0,IF(ISBLANK(O87),5*MAX(N87-1,0),IF(ISNUMBER(O87),O87*MAX(N87-1,0),SUM(IFERROR(VALUE(TEXTSPLIT(O87,",")),0)))),0)</f>
        <v/>
      </c>
      <c r="S87">
        <f>IFERROR(L87*MAX(N87,1)/R87*IF(ISBLANK(K84),1,K84),0)</f>
        <v/>
      </c>
      <c r="AB87" s="7" t="inlineStr">
        <is>
          <t>^Warhead_Bullet_Medium</t>
        </is>
      </c>
    </row>
    <row r="88">
      <c r="B88" s="7" t="inlineStr">
        <is>
          <t xml:space="preserve">  ↳ td_gdi_minigunner_minigun_ap</t>
        </is>
      </c>
      <c r="C88" s="7" t="inlineStr">
        <is>
          <t>Armament@UpgradeGARRISONED</t>
        </is>
      </c>
      <c r="L88" s="6" t="n">
        <v>4000</v>
      </c>
      <c r="M88" s="6" t="n">
        <v>45</v>
      </c>
      <c r="N88" s="6" t="n">
        <v>4</v>
      </c>
      <c r="O88" s="6" t="n">
        <v>3</v>
      </c>
      <c r="P88" s="6" t="n">
        <v>4600</v>
      </c>
      <c r="Q88" s="6" t="n">
        <v>1</v>
      </c>
      <c r="R88">
        <f>M88+IF(MAX(N88-1,0)&gt;0,IF(ISBLANK(O88),5*MAX(N88-1,0),IF(ISNUMBER(O88),O88*MAX(N88-1,0),SUM(IFERROR(VALUE(TEXTSPLIT(O88,",")),0)))),0)</f>
        <v/>
      </c>
      <c r="S88">
        <f>IFERROR(L88*MAX(N88,1)/R88*IF(ISBLANK(K84),1,K84),0)</f>
        <v/>
      </c>
      <c r="AB88" s="7" t="inlineStr">
        <is>
          <t>^Warhead_Bullet_Medium</t>
        </is>
      </c>
    </row>
    <row r="89">
      <c r="A89" t="inlineStr">
        <is>
          <t>tiberiandawn</t>
        </is>
      </c>
      <c r="B89" t="inlineStr">
        <is>
          <t>td_nod_minigunner</t>
        </is>
      </c>
      <c r="C89" t="inlineStr">
        <is>
          <t>Nod Minigunner</t>
        </is>
      </c>
      <c r="D89" s="6" t="inlineStr">
        <is>
          <t>ScoutInfantry</t>
        </is>
      </c>
      <c r="E89" s="6" t="n">
        <v>30000</v>
      </c>
      <c r="F89" s="6" t="n">
        <v>66</v>
      </c>
      <c r="G89" t="inlineStr">
        <is>
          <t>None</t>
        </is>
      </c>
      <c r="H89" s="6" t="n">
        <v>1</v>
      </c>
      <c r="I89" s="6" t="n">
        <v>1</v>
      </c>
      <c r="J89" s="6" t="n">
        <v>1</v>
      </c>
      <c r="K89" t="n">
        <v>0.0029</v>
      </c>
      <c r="P89">
        <f>MAX(P90,P92)</f>
        <v/>
      </c>
      <c r="S89">
        <f>S90+S92</f>
        <v/>
      </c>
      <c r="T89">
        <f>(E89/100000+F89/100+(P89/1000)*J89/5+S89/200)*200*I89*H89</f>
        <v/>
      </c>
      <c r="U89">
        <f>((E89*F89/25000)+((P89/1000)*J89*S89/2.5))*I89*H89</f>
        <v/>
      </c>
      <c r="V89">
        <f>(E89*F89*(P89/1000)*J89*S89*I89*H89)/12500000</f>
        <v/>
      </c>
      <c r="W89">
        <f>IFERROR((((E89/20000)+(F89/60)+(S89/60)+((P89/5000)*J89))*100/4+(((E89/20000)*(F89/60))+(((P89/5000)*J89)*(S89/60)))*100/2+((E89/20000)*(F89/60)*((P89/5000)*J89)*(S89/60))*100)*(H89/1.0)/3,"")</f>
        <v/>
      </c>
      <c r="X89" s="6" t="n">
        <v>100</v>
      </c>
      <c r="Y89">
        <f>IFERROR(W89-X89,"")</f>
        <v/>
      </c>
      <c r="Z89">
        <f>IFERROR(ABS(Y89)/MAX(X89,1),"")</f>
        <v/>
      </c>
      <c r="AA89">
        <f>IFERROR(ROUND(((3*X89-(((E89/20000)+(F89/60)+(S89/60))*100/4+((E89/20000)*(F89/60))*100/2)*(H89/1.0))/(100/4+((S89/60))*100/2+((E89/20000)*(F89/60)*(S89/60))*100)*(H89/1.0)*5000)/J89,-1),"")</f>
        <v/>
      </c>
    </row>
    <row r="90">
      <c r="B90" s="7" t="inlineStr">
        <is>
          <t xml:space="preserve">  ↳ td_nod_minigunner_minigun</t>
        </is>
      </c>
      <c r="C90" s="7" t="inlineStr">
        <is>
          <t>Armament@PRIMARY</t>
        </is>
      </c>
      <c r="L90" s="6" t="n">
        <v>2000</v>
      </c>
      <c r="M90" s="6" t="n">
        <v>50</v>
      </c>
      <c r="N90" s="6" t="n">
        <v>4</v>
      </c>
      <c r="O90" s="6" t="n">
        <v>2</v>
      </c>
      <c r="P90" s="6" t="n">
        <v>4609</v>
      </c>
      <c r="Q90" s="6" t="n">
        <v>0.75</v>
      </c>
      <c r="R90">
        <f>M90+IF(MAX(N90-1,0)&gt;0,IF(ISBLANK(O90),5*MAX(N90-1,0),IF(ISNUMBER(O90),O90*MAX(N90-1,0),SUM(IFERROR(VALUE(TEXTSPLIT(O90,",")),0)))),0)</f>
        <v/>
      </c>
      <c r="S90">
        <f>IFERROR(L90*MAX(N90,1)/R90*IF(ISBLANK(K89),1,K89),0)</f>
        <v/>
      </c>
      <c r="AB90" s="7" t="inlineStr">
        <is>
          <t>^Warhead_Bullet_Light</t>
        </is>
      </c>
    </row>
    <row r="91">
      <c r="B91" s="7" t="inlineStr">
        <is>
          <t xml:space="preserve">  ↳ td_nod_minigunner_minigun</t>
        </is>
      </c>
      <c r="C91" s="7" t="inlineStr">
        <is>
          <t>Armament@GARRISONED</t>
        </is>
      </c>
      <c r="L91" s="6" t="n">
        <v>2000</v>
      </c>
      <c r="M91" s="6" t="n">
        <v>50</v>
      </c>
      <c r="N91" s="6" t="n">
        <v>4</v>
      </c>
      <c r="O91" s="6" t="n">
        <v>2</v>
      </c>
      <c r="P91" s="6" t="n">
        <v>4609</v>
      </c>
      <c r="Q91" s="6" t="n">
        <v>0.75</v>
      </c>
      <c r="R91">
        <f>M91+IF(MAX(N91-1,0)&gt;0,IF(ISBLANK(O91),5*MAX(N91-1,0),IF(ISNUMBER(O91),O91*MAX(N91-1,0),SUM(IFERROR(VALUE(TEXTSPLIT(O91,",")),0)))),0)</f>
        <v/>
      </c>
      <c r="S91">
        <f>IFERROR(L91*MAX(N91,1)/R91*IF(ISBLANK(K89),1,K89),0)</f>
        <v/>
      </c>
      <c r="AB91" s="7" t="inlineStr">
        <is>
          <t>^Warhead_Bullet_Light</t>
        </is>
      </c>
    </row>
    <row r="92">
      <c r="B92" s="7" t="inlineStr">
        <is>
          <t xml:space="preserve">  ↳ td_nod_minigunner_minigun_laser</t>
        </is>
      </c>
      <c r="C92" s="7" t="inlineStr">
        <is>
          <t>Armament@Upgrade</t>
        </is>
      </c>
      <c r="L92" s="6" t="n">
        <v>6000</v>
      </c>
      <c r="M92" s="6" t="n">
        <v>40</v>
      </c>
      <c r="N92" s="6" t="n">
        <v>4</v>
      </c>
      <c r="O92" s="6" t="n">
        <v>2</v>
      </c>
      <c r="P92" s="6" t="n">
        <v>4500</v>
      </c>
      <c r="Q92" s="6" t="n">
        <v>1</v>
      </c>
      <c r="R92">
        <f>M92+IF(MAX(N92-1,0)&gt;0,IF(ISBLANK(O92),5*MAX(N92-1,0),IF(ISNUMBER(O92),O92*MAX(N92-1,0),SUM(IFERROR(VALUE(TEXTSPLIT(O92,",")),0)))),0)</f>
        <v/>
      </c>
      <c r="S92">
        <f>IFERROR(L92*MAX(N92,1)/R92*IF(ISBLANK(K89),1,K89),0)</f>
        <v/>
      </c>
      <c r="AB92" s="7" t="inlineStr">
        <is>
          <t>^SmallArms, ^Chaingun, ^LaserWeapon</t>
        </is>
      </c>
    </row>
    <row r="93">
      <c r="B93" s="7" t="inlineStr">
        <is>
          <t xml:space="preserve">  ↳ td_nod_minigunner_minigun_laser</t>
        </is>
      </c>
      <c r="C93" s="7" t="inlineStr">
        <is>
          <t>Armament@UpgradeGARRISONED</t>
        </is>
      </c>
      <c r="L93" s="6" t="n">
        <v>6000</v>
      </c>
      <c r="M93" s="6" t="n">
        <v>40</v>
      </c>
      <c r="N93" s="6" t="n">
        <v>4</v>
      </c>
      <c r="O93" s="6" t="n">
        <v>2</v>
      </c>
      <c r="P93" s="6" t="n">
        <v>4500</v>
      </c>
      <c r="Q93" s="6" t="n">
        <v>1</v>
      </c>
      <c r="R93">
        <f>M93+IF(MAX(N93-1,0)&gt;0,IF(ISBLANK(O93),5*MAX(N93-1,0),IF(ISNUMBER(O93),O93*MAX(N93-1,0),SUM(IFERROR(VALUE(TEXTSPLIT(O93,",")),0)))),0)</f>
        <v/>
      </c>
      <c r="S93">
        <f>IFERROR(L93*MAX(N93,1)/R93*IF(ISBLANK(K89),1,K89),0)</f>
        <v/>
      </c>
      <c r="AB93" s="7" t="inlineStr">
        <is>
          <t>^SmallArms, ^Chaingun, ^LaserWeapon</t>
        </is>
      </c>
    </row>
    <row r="94">
      <c r="A94" t="inlineStr">
        <is>
          <t>shared</t>
        </is>
      </c>
      <c r="B94" t="inlineStr">
        <is>
          <t>ra1_allies_rifleinfantry</t>
        </is>
      </c>
      <c r="C94" t="inlineStr">
        <is>
          <t>Rifle Infantry</t>
        </is>
      </c>
      <c r="D94" s="6" t="inlineStr">
        <is>
          <t>ScoutInfantry</t>
        </is>
      </c>
      <c r="E94" s="6" t="n">
        <v>27000</v>
      </c>
      <c r="F94" s="6" t="n">
        <v>55</v>
      </c>
      <c r="G94" t="inlineStr">
        <is>
          <t>None</t>
        </is>
      </c>
      <c r="H94" s="6" t="n">
        <v>1</v>
      </c>
      <c r="I94" s="6" t="n">
        <v>1</v>
      </c>
      <c r="J94" s="6" t="n">
        <v>1</v>
      </c>
      <c r="K94" t="n">
        <v>0.004699999999999999</v>
      </c>
      <c r="P94">
        <f>MAX(P95,P97)</f>
        <v/>
      </c>
      <c r="S94">
        <f>S95+S97</f>
        <v/>
      </c>
      <c r="T94">
        <f>(E94/100000+F94/100+(P94/1000)*J94/5+S94/200)*200*I94*H94</f>
        <v/>
      </c>
      <c r="U94">
        <f>((E94*F94/25000)+((P94/1000)*J94*S94/2.5))*I94*H94</f>
        <v/>
      </c>
      <c r="V94">
        <f>(E94*F94*(P94/1000)*J94*S94*I94*H94)/12500000</f>
        <v/>
      </c>
      <c r="W94">
        <f>IFERROR((((E94/20000)+(F94/60)+(S94/60)+((P94/5000)*J94))*100/4+(((E94/20000)*(F94/60))+(((P94/5000)*J94)*(S94/60)))*100/2+((E94/20000)*(F94/60)*((P94/5000)*J94)*(S94/60))*100)*(H94/1.0)/3,"")</f>
        <v/>
      </c>
      <c r="X94" s="6" t="n">
        <v>100</v>
      </c>
      <c r="Y94">
        <f>IFERROR(W94-X94,"")</f>
        <v/>
      </c>
      <c r="Z94">
        <f>IFERROR(ABS(Y94)/MAX(X94,1),"")</f>
        <v/>
      </c>
      <c r="AA94">
        <f>IFERROR(ROUND(((3*X94-(((E94/20000)+(F94/60)+(S94/60))*100/4+((E94/20000)*(F94/60))*100/2)*(H94/1.0))/(100/4+((S94/60))*100/2+((E94/20000)*(F94/60)*(S94/60))*100)*(H94/1.0)*5000)/J94,-1),"")</f>
        <v/>
      </c>
    </row>
    <row r="95">
      <c r="B95" s="7" t="inlineStr">
        <is>
          <t xml:space="preserve">  ↳ ra1_allies_rifleinfantry_carbine</t>
        </is>
      </c>
      <c r="C95" s="7" t="inlineStr">
        <is>
          <t>Armament@PRIMARY</t>
        </is>
      </c>
      <c r="L95" s="6" t="n">
        <v>2000</v>
      </c>
      <c r="M95" s="6" t="n">
        <v>50</v>
      </c>
      <c r="N95" s="6" t="n">
        <v>3</v>
      </c>
      <c r="O95" s="6" t="n">
        <v>4</v>
      </c>
      <c r="P95" s="6" t="n">
        <v>5500</v>
      </c>
      <c r="Q95" s="6" t="n">
        <v>0.75</v>
      </c>
      <c r="R95">
        <f>M95+IF(MAX(N95-1,0)&gt;0,IF(ISBLANK(O95),5*MAX(N95-1,0),IF(ISNUMBER(O95),O95*MAX(N95-1,0),SUM(IFERROR(VALUE(TEXTSPLIT(O95,",")),0)))),0)</f>
        <v/>
      </c>
      <c r="S95">
        <f>IFERROR(L95*MAX(N95,1)/R95*IF(ISBLANK(K94),1,K94),0)</f>
        <v/>
      </c>
      <c r="AB95" s="7" t="inlineStr">
        <is>
          <t>^Warhead_Bullet_Light</t>
        </is>
      </c>
    </row>
    <row r="96">
      <c r="B96" s="7" t="inlineStr">
        <is>
          <t xml:space="preserve">  ↳ ra1_allies_rifleinfantry_carbine</t>
        </is>
      </c>
      <c r="C96" s="7" t="inlineStr">
        <is>
          <t>Armament@GARRISONED</t>
        </is>
      </c>
      <c r="L96" s="6" t="n">
        <v>2000</v>
      </c>
      <c r="M96" s="6" t="n">
        <v>50</v>
      </c>
      <c r="N96" s="6" t="n">
        <v>3</v>
      </c>
      <c r="O96" s="6" t="n">
        <v>4</v>
      </c>
      <c r="P96" s="6" t="n">
        <v>5500</v>
      </c>
      <c r="Q96" s="6" t="n">
        <v>0.75</v>
      </c>
      <c r="R96">
        <f>M96+IF(MAX(N96-1,0)&gt;0,IF(ISBLANK(O96),5*MAX(N96-1,0),IF(ISNUMBER(O96),O96*MAX(N96-1,0),SUM(IFERROR(VALUE(TEXTSPLIT(O96,",")),0)))),0)</f>
        <v/>
      </c>
      <c r="S96">
        <f>IFERROR(L96*MAX(N96,1)/R96*IF(ISBLANK(K94),1,K94),0)</f>
        <v/>
      </c>
      <c r="AB96" s="7" t="inlineStr">
        <is>
          <t>^Warhead_Bullet_Light</t>
        </is>
      </c>
    </row>
    <row r="97">
      <c r="B97" s="7" t="inlineStr">
        <is>
          <t xml:space="preserve">  ↳ ra1_allies_rifleinfantry_carbine_cryo</t>
        </is>
      </c>
      <c r="C97" s="7" t="inlineStr">
        <is>
          <t>Armament@Upgrade</t>
        </is>
      </c>
      <c r="L97" s="6" t="n">
        <v>2000</v>
      </c>
      <c r="M97" s="6" t="n">
        <v>50</v>
      </c>
      <c r="N97" s="6" t="n">
        <v>3</v>
      </c>
      <c r="O97" s="6" t="n">
        <v>4</v>
      </c>
      <c r="P97" s="6" t="n">
        <v>5500</v>
      </c>
      <c r="Q97" s="6" t="n">
        <v>0.75</v>
      </c>
      <c r="R97">
        <f>M97+IF(MAX(N97-1,0)&gt;0,IF(ISBLANK(O97),5*MAX(N97-1,0),IF(ISNUMBER(O97),O97*MAX(N97-1,0),SUM(IFERROR(VALUE(TEXTSPLIT(O97,",")),0)))),0)</f>
        <v/>
      </c>
      <c r="S97">
        <f>IFERROR(L97*MAX(N97,1)/R97*IF(ISBLANK(K94),1,K94),0)</f>
        <v/>
      </c>
      <c r="AB97" s="7" t="inlineStr">
        <is>
          <t>^Warhead_BulletCryo_Light</t>
        </is>
      </c>
    </row>
    <row r="98">
      <c r="B98" s="7" t="inlineStr">
        <is>
          <t xml:space="preserve">  ↳ ra1_allies_rifleinfantry_carbine_cryo</t>
        </is>
      </c>
      <c r="C98" s="7" t="inlineStr">
        <is>
          <t>Armament@UpgradeGARRISONED</t>
        </is>
      </c>
      <c r="L98" s="6" t="n">
        <v>2000</v>
      </c>
      <c r="M98" s="6" t="n">
        <v>50</v>
      </c>
      <c r="N98" s="6" t="n">
        <v>3</v>
      </c>
      <c r="O98" s="6" t="n">
        <v>4</v>
      </c>
      <c r="P98" s="6" t="n">
        <v>5500</v>
      </c>
      <c r="Q98" s="6" t="n">
        <v>0.75</v>
      </c>
      <c r="R98">
        <f>M98+IF(MAX(N98-1,0)&gt;0,IF(ISBLANK(O98),5*MAX(N98-1,0),IF(ISNUMBER(O98),O98*MAX(N98-1,0),SUM(IFERROR(VALUE(TEXTSPLIT(O98,",")),0)))),0)</f>
        <v/>
      </c>
      <c r="S98">
        <f>IFERROR(L98*MAX(N98,1)/R98*IF(ISBLANK(K94),1,K94),0)</f>
        <v/>
      </c>
      <c r="AB98" s="7" t="inlineStr">
        <is>
          <t>^Warhead_BulletCryo_Light</t>
        </is>
      </c>
    </row>
    <row r="99">
      <c r="A99" t="inlineStr">
        <is>
          <t>redalert</t>
        </is>
      </c>
      <c r="B99" t="inlineStr">
        <is>
          <t>ra1_soviets_ak47conscript</t>
        </is>
      </c>
      <c r="C99" t="inlineStr">
        <is>
          <t>AK-47 Conscript</t>
        </is>
      </c>
      <c r="D99" s="6" t="inlineStr">
        <is>
          <t>ScoutInfantry</t>
        </is>
      </c>
      <c r="E99" s="6" t="n">
        <v>44000</v>
      </c>
      <c r="F99" s="6" t="n">
        <v>71</v>
      </c>
      <c r="G99" t="inlineStr">
        <is>
          <t>None</t>
        </is>
      </c>
      <c r="H99" s="6" t="n">
        <v>1</v>
      </c>
      <c r="I99" s="6" t="n">
        <v>1</v>
      </c>
      <c r="J99" s="6" t="n">
        <v>1</v>
      </c>
      <c r="K99" t="n">
        <v>0.0014</v>
      </c>
      <c r="P99">
        <f>MAX(P100)</f>
        <v/>
      </c>
      <c r="S99">
        <f>S100</f>
        <v/>
      </c>
      <c r="T99">
        <f>(E99/100000+F99/100+(P99/1000)*J99/5+S99/200)*200*I99*H99</f>
        <v/>
      </c>
      <c r="U99">
        <f>((E99*F99/25000)+((P99/1000)*J99*S99/2.5))*I99*H99</f>
        <v/>
      </c>
      <c r="V99">
        <f>(E99*F99*(P99/1000)*J99*S99*I99*H99)/12500000</f>
        <v/>
      </c>
      <c r="W99">
        <f>IFERROR((((E99/20000)+(F99/60)+(S99/60)+((P99/5000)*J99))*100/4+(((E99/20000)*(F99/60))+(((P99/5000)*J99)*(S99/60)))*100/2+((E99/20000)*(F99/60)*((P99/5000)*J99)*(S99/60))*100)*(H99/1.0)/3,"")</f>
        <v/>
      </c>
      <c r="X99" s="6" t="n">
        <v>200</v>
      </c>
      <c r="Y99">
        <f>IFERROR(W99-X99,"")</f>
        <v/>
      </c>
      <c r="Z99">
        <f>IFERROR(ABS(Y99)/MAX(X99,1),"")</f>
        <v/>
      </c>
      <c r="AA99">
        <f>IFERROR(ROUND(((3*X99-(((E99/20000)+(F99/60)+(S99/60))*100/4+((E99/20000)*(F99/60))*100/2)*(H99/1.0))/(100/4+((S99/60))*100/2+((E99/20000)*(F99/60)*(S99/60))*100)*(H99/1.0)*5000)/J99,-1),"")</f>
        <v/>
      </c>
    </row>
    <row r="100">
      <c r="B100" s="7" t="inlineStr">
        <is>
          <t xml:space="preserve">  ↳ ra1_soviets_ak47conscript_rifle</t>
        </is>
      </c>
      <c r="C100" s="7" t="inlineStr">
        <is>
          <t>Armament</t>
        </is>
      </c>
      <c r="L100" s="6" t="n">
        <v>4000</v>
      </c>
      <c r="M100" s="6" t="n">
        <v>11</v>
      </c>
      <c r="N100" s="6" t="n">
        <v>3</v>
      </c>
      <c r="O100" s="6" t="n">
        <v>2</v>
      </c>
      <c r="P100" s="6" t="n">
        <v>4822</v>
      </c>
      <c r="Q100" s="6" t="n">
        <v>0.875</v>
      </c>
      <c r="R100">
        <f>M100+IF(MAX(N100-1,0)&gt;0,IF(ISBLANK(O100),5*MAX(N100-1,0),IF(ISNUMBER(O100),O100*MAX(N100-1,0),SUM(IFERROR(VALUE(TEXTSPLIT(O100,",")),0)))),0)</f>
        <v/>
      </c>
      <c r="S100">
        <f>IFERROR(L100*MAX(N100,1)/R100*IF(ISBLANK(K99),1,K99),0)</f>
        <v/>
      </c>
      <c r="AB100" s="7" t="inlineStr">
        <is>
          <t>^Warhead_Bullet_Light, ^Warhead_Bullet_Medium</t>
        </is>
      </c>
    </row>
    <row r="101">
      <c r="B101" s="7" t="inlineStr">
        <is>
          <t xml:space="preserve">  ↳ ra1_soviets_ak47conscript_rifle</t>
        </is>
      </c>
      <c r="C101" s="7" t="inlineStr">
        <is>
          <t>Armament@GARRISONED</t>
        </is>
      </c>
      <c r="L101" s="6" t="n">
        <v>4000</v>
      </c>
      <c r="M101" s="6" t="n">
        <v>11</v>
      </c>
      <c r="N101" s="6" t="n">
        <v>3</v>
      </c>
      <c r="O101" s="6" t="n">
        <v>2</v>
      </c>
      <c r="P101" s="6" t="n">
        <v>4822</v>
      </c>
      <c r="Q101" s="6" t="n">
        <v>0.875</v>
      </c>
      <c r="R101">
        <f>M101+IF(MAX(N101-1,0)&gt;0,IF(ISBLANK(O101),5*MAX(N101-1,0),IF(ISNUMBER(O101),O101*MAX(N101-1,0),SUM(IFERROR(VALUE(TEXTSPLIT(O101,",")),0)))),0)</f>
        <v/>
      </c>
      <c r="S101">
        <f>IFERROR(L101*MAX(N101,1)/R101*IF(ISBLANK(K99),1,K99),0)</f>
        <v/>
      </c>
      <c r="AB101" s="7" t="inlineStr">
        <is>
          <t>^Warhead_Bullet_Light, ^Warhead_Bullet_Medium</t>
        </is>
      </c>
    </row>
    <row r="102">
      <c r="A102" t="inlineStr">
        <is>
          <t>redalert</t>
        </is>
      </c>
      <c r="B102" t="inlineStr">
        <is>
          <t>ra1_soviets_rifleinfantry</t>
        </is>
      </c>
      <c r="C102" t="inlineStr">
        <is>
          <t>Rifle Infantry</t>
        </is>
      </c>
      <c r="D102" s="6" t="inlineStr">
        <is>
          <t>ScoutInfantry</t>
        </is>
      </c>
      <c r="E102" s="6" t="n">
        <v>34000</v>
      </c>
      <c r="F102" s="6" t="n">
        <v>54</v>
      </c>
      <c r="G102" t="inlineStr">
        <is>
          <t>None</t>
        </is>
      </c>
      <c r="H102" s="6" t="n">
        <v>1</v>
      </c>
      <c r="I102" s="6" t="n">
        <v>1</v>
      </c>
      <c r="J102" s="6" t="n">
        <v>1</v>
      </c>
      <c r="K102" t="n">
        <v>0.0042</v>
      </c>
      <c r="P102">
        <f>MAX(P103,P105)</f>
        <v/>
      </c>
      <c r="S102">
        <f>S103+S105</f>
        <v/>
      </c>
      <c r="T102">
        <f>(E102/100000+F102/100+(P102/1000)*J102/5+S102/200)*200*I102*H102</f>
        <v/>
      </c>
      <c r="U102">
        <f>((E102*F102/25000)+((P102/1000)*J102*S102/2.5))*I102*H102</f>
        <v/>
      </c>
      <c r="V102">
        <f>(E102*F102*(P102/1000)*J102*S102*I102*H102)/12500000</f>
        <v/>
      </c>
      <c r="W102">
        <f>IFERROR((((E102/20000)+(F102/60)+(S102/60)+((P102/5000)*J102))*100/4+(((E102/20000)*(F102/60))+(((P102/5000)*J102)*(S102/60)))*100/2+((E102/20000)*(F102/60)*((P102/5000)*J102)*(S102/60))*100)*(H102/1.0)/3,"")</f>
        <v/>
      </c>
      <c r="X102" s="6" t="n">
        <v>100</v>
      </c>
      <c r="Y102">
        <f>IFERROR(W102-X102,"")</f>
        <v/>
      </c>
      <c r="Z102">
        <f>IFERROR(ABS(Y102)/MAX(X102,1),"")</f>
        <v/>
      </c>
      <c r="AA102">
        <f>IFERROR(ROUND(((3*X102-(((E102/20000)+(F102/60)+(S102/60))*100/4+((E102/20000)*(F102/60))*100/2)*(H102/1.0))/(100/4+((S102/60))*100/2+((E102/20000)*(F102/60)*(S102/60))*100)*(H102/1.0)*5000)/J102,-1),"")</f>
        <v/>
      </c>
    </row>
    <row r="103">
      <c r="B103" s="7" t="inlineStr">
        <is>
          <t xml:space="preserve">  ↳ ra1_soviets_rifleinfantry_carbine</t>
        </is>
      </c>
      <c r="C103" s="7" t="inlineStr">
        <is>
          <t>Armament@PRIMARY</t>
        </is>
      </c>
      <c r="L103" s="6" t="n">
        <v>2000</v>
      </c>
      <c r="M103" s="6" t="n">
        <v>50</v>
      </c>
      <c r="N103" s="6" t="n">
        <v>3</v>
      </c>
      <c r="O103" s="6" t="n">
        <v>5</v>
      </c>
      <c r="P103" s="6" t="n">
        <v>4668</v>
      </c>
      <c r="Q103" s="6" t="n">
        <v>0.75</v>
      </c>
      <c r="R103">
        <f>M103+IF(MAX(N103-1,0)&gt;0,IF(ISBLANK(O103),5*MAX(N103-1,0),IF(ISNUMBER(O103),O103*MAX(N103-1,0),SUM(IFERROR(VALUE(TEXTSPLIT(O103,",")),0)))),0)</f>
        <v/>
      </c>
      <c r="S103">
        <f>IFERROR(L103*MAX(N103,1)/R103*IF(ISBLANK(K102),1,K102),0)</f>
        <v/>
      </c>
      <c r="AB103" s="7" t="inlineStr">
        <is>
          <t>^Warhead_Bullet_Light</t>
        </is>
      </c>
    </row>
    <row r="104">
      <c r="B104" s="7" t="inlineStr">
        <is>
          <t xml:space="preserve">  ↳ ra1_soviets_rifleinfantry_carbine</t>
        </is>
      </c>
      <c r="C104" s="7" t="inlineStr">
        <is>
          <t>Armament@GARRISONED</t>
        </is>
      </c>
      <c r="L104" s="6" t="n">
        <v>2000</v>
      </c>
      <c r="M104" s="6" t="n">
        <v>50</v>
      </c>
      <c r="N104" s="6" t="n">
        <v>3</v>
      </c>
      <c r="O104" s="6" t="n">
        <v>5</v>
      </c>
      <c r="P104" s="6" t="n">
        <v>4668</v>
      </c>
      <c r="Q104" s="6" t="n">
        <v>0.75</v>
      </c>
      <c r="R104">
        <f>M104+IF(MAX(N104-1,0)&gt;0,IF(ISBLANK(O104),5*MAX(N104-1,0),IF(ISNUMBER(O104),O104*MAX(N104-1,0),SUM(IFERROR(VALUE(TEXTSPLIT(O104,",")),0)))),0)</f>
        <v/>
      </c>
      <c r="S104">
        <f>IFERROR(L104*MAX(N104,1)/R104*IF(ISBLANK(K102),1,K102),0)</f>
        <v/>
      </c>
      <c r="AB104" s="7" t="inlineStr">
        <is>
          <t>^Warhead_Bullet_Light</t>
        </is>
      </c>
    </row>
    <row r="105">
      <c r="B105" s="7" t="inlineStr">
        <is>
          <t xml:space="preserve">  ↳ ra1_soviets_rifleinfantry_carbine_incendiary</t>
        </is>
      </c>
      <c r="C105" s="7" t="inlineStr">
        <is>
          <t>Armament@Upgrade</t>
        </is>
      </c>
      <c r="L105" s="6" t="n">
        <v>4000</v>
      </c>
      <c r="M105" s="6" t="n">
        <v>50</v>
      </c>
      <c r="N105" s="6" t="n">
        <v>3</v>
      </c>
      <c r="O105" s="6" t="n">
        <v>5</v>
      </c>
      <c r="P105" s="6" t="n">
        <v>4668</v>
      </c>
      <c r="Q105" s="6" t="n">
        <v>0.75</v>
      </c>
      <c r="R105">
        <f>M105+IF(MAX(N105-1,0)&gt;0,IF(ISBLANK(O105),5*MAX(N105-1,0),IF(ISNUMBER(O105),O105*MAX(N105-1,0),SUM(IFERROR(VALUE(TEXTSPLIT(O105,",")),0)))),0)</f>
        <v/>
      </c>
      <c r="S105">
        <f>IFERROR(L105*MAX(N105,1)/R105*IF(ISBLANK(K102),1,K102),0)</f>
        <v/>
      </c>
      <c r="AB105" s="7" t="inlineStr">
        <is>
          <t>^Warhead_Flame_Light, ^Warhead_Bullet_Light</t>
        </is>
      </c>
    </row>
    <row r="106">
      <c r="B106" s="7" t="inlineStr">
        <is>
          <t xml:space="preserve">  ↳ ra1_soviets_rifleinfantry_carbine_incendiary</t>
        </is>
      </c>
      <c r="C106" s="7" t="inlineStr">
        <is>
          <t>Armament@UpgradeGARRISONED</t>
        </is>
      </c>
      <c r="L106" s="6" t="n">
        <v>4000</v>
      </c>
      <c r="M106" s="6" t="n">
        <v>50</v>
      </c>
      <c r="N106" s="6" t="n">
        <v>3</v>
      </c>
      <c r="O106" s="6" t="n">
        <v>5</v>
      </c>
      <c r="P106" s="6" t="n">
        <v>4668</v>
      </c>
      <c r="Q106" s="6" t="n">
        <v>0.75</v>
      </c>
      <c r="R106">
        <f>M106+IF(MAX(N106-1,0)&gt;0,IF(ISBLANK(O106),5*MAX(N106-1,0),IF(ISNUMBER(O106),O106*MAX(N106-1,0),SUM(IFERROR(VALUE(TEXTSPLIT(O106,",")),0)))),0)</f>
        <v/>
      </c>
      <c r="S106">
        <f>IFERROR(L106*MAX(N106,1)/R106*IF(ISBLANK(K102),1,K102),0)</f>
        <v/>
      </c>
      <c r="AB106" s="7" t="inlineStr">
        <is>
          <t>^Warhead_Flame_Light, ^Warhead_Bullet_Light</t>
        </is>
      </c>
    </row>
    <row r="107">
      <c r="A107" t="inlineStr">
        <is>
          <t>redalert</t>
        </is>
      </c>
      <c r="B107" t="inlineStr">
        <is>
          <t>ra1_allies_raspy</t>
        </is>
      </c>
      <c r="C107" t="inlineStr">
        <is>
          <t>Spy</t>
        </is>
      </c>
      <c r="D107" s="6" t="inlineStr">
        <is>
          <t>ScoutInfantry</t>
        </is>
      </c>
      <c r="E107" s="6" t="n">
        <v>5000</v>
      </c>
      <c r="F107" s="6" t="n">
        <v>60</v>
      </c>
      <c r="G107" t="inlineStr">
        <is>
          <t>None</t>
        </is>
      </c>
      <c r="H107" s="6" t="n">
        <v>0.7674</v>
      </c>
      <c r="I107" s="6" t="n">
        <v>1</v>
      </c>
      <c r="J107" s="6" t="n">
        <v>1</v>
      </c>
      <c r="P107">
        <f>MAX(P108)</f>
        <v/>
      </c>
      <c r="S107">
        <f>S108</f>
        <v/>
      </c>
      <c r="T107">
        <f>(E107/100000+F107/100+(P107/1000)*J107/5+S107/200)*200*I107*H107</f>
        <v/>
      </c>
      <c r="U107">
        <f>((E107*F107/25000)+((P107/1000)*J107*S107/2.5))*I107*H107</f>
        <v/>
      </c>
      <c r="V107">
        <f>(E107*F107*(P107/1000)*J107*S107*I107*H107)/12500000</f>
        <v/>
      </c>
      <c r="W107">
        <f>IFERROR((((E107/5000)+(F107/50)+(S107/0)+((P107/0)*J107))*500/4+(((E107/5000)*(F107/50))+(((P107/0)*J107)*(S107/0)))*500/2+((E107/5000)*(F107/50)*((P107/0)*J107)*(S107/0))*500)*(H107/1.0)/3,"")</f>
        <v/>
      </c>
      <c r="X107" s="6" t="n">
        <v>500</v>
      </c>
      <c r="Y107">
        <f>IFERROR(W107-X107,"")</f>
        <v/>
      </c>
      <c r="Z107">
        <f>IFERROR(ABS(Y107)/MAX(X107,1),"")</f>
        <v/>
      </c>
      <c r="AA107">
        <f>IFERROR(ROUND(((3*X107-(((E107/5000)+(F107/50)+(S107/0))*500/4+((E107/5000)*(F107/50))*500/2)*(H107/1.0))/(500/4+((S107/0))*500/2+((E107/5000)*(F107/50)*(S107/0))*500)*(H107/1.0)*0)/J107,-1),"")</f>
        <v/>
      </c>
    </row>
    <row r="108">
      <c r="B108" s="7" t="inlineStr">
        <is>
          <t xml:space="preserve">  ↳ SilencedPPK</t>
        </is>
      </c>
      <c r="C108" s="7" t="inlineStr">
        <is>
          <t>Armament</t>
        </is>
      </c>
      <c r="L108" s="6" t="n">
        <v>15000</v>
      </c>
      <c r="M108" s="6" t="n">
        <v>80</v>
      </c>
      <c r="N108" s="6" t="n">
        <v>1</v>
      </c>
      <c r="O108" s="6" t="n"/>
      <c r="P108" s="6" t="n">
        <v>2560</v>
      </c>
      <c r="Q108" s="6" t="n">
        <v>1</v>
      </c>
      <c r="R108">
        <f>M108+IF(MAX(N108-1,0)&gt;0,IF(ISBLANK(O108),5*MAX(N108-1,0),IF(ISNUMBER(O108),O108*MAX(N108-1,0),SUM(IFERROR(VALUE(TEXTSPLIT(O108,",")),0)))),0)</f>
        <v/>
      </c>
      <c r="S108">
        <f>IFERROR(L108*MAX(N108,1)/R108*IF(ISBLANK(K107),1,K107),0)</f>
        <v/>
      </c>
      <c r="AB108" s="7" t="inlineStr">
        <is>
          <t>^SnipeWeapon</t>
        </is>
      </c>
    </row>
    <row r="109">
      <c r="A109" t="inlineStr">
        <is>
          <t>tiberiansun</t>
        </is>
      </c>
      <c r="B109" t="inlineStr">
        <is>
          <t>ts_nod_lightinfantry</t>
        </is>
      </c>
      <c r="C109" t="inlineStr">
        <is>
          <t>Light Infantry</t>
        </is>
      </c>
      <c r="D109" s="6" t="inlineStr">
        <is>
          <t>ScoutInfantry</t>
        </is>
      </c>
      <c r="E109" s="6" t="n">
        <v>16000</v>
      </c>
      <c r="F109" s="6" t="n">
        <v>60</v>
      </c>
      <c r="G109" t="inlineStr">
        <is>
          <t>None</t>
        </is>
      </c>
      <c r="H109" s="6" t="n">
        <v>1</v>
      </c>
      <c r="I109" s="6" t="n">
        <v>1</v>
      </c>
      <c r="J109" s="6" t="n">
        <v>1</v>
      </c>
      <c r="P109">
        <f>MAX(P110,P112)</f>
        <v/>
      </c>
      <c r="S109">
        <f>S110+S112</f>
        <v/>
      </c>
      <c r="T109">
        <f>(E109/100000+F109/100+(P109/1000)*J109/5+S109/200)*200*I109*H109</f>
        <v/>
      </c>
      <c r="U109">
        <f>((E109*F109/25000)+((P109/1000)*J109*S109/2.5))*I109*H109</f>
        <v/>
      </c>
      <c r="V109">
        <f>(E109*F109*(P109/1000)*J109*S109*I109*H109)/12500000</f>
        <v/>
      </c>
      <c r="W109">
        <f>IFERROR((((E109/20000)+(F109/60)+(S109/60)+((P109/5000)*J109))*100/4+(((E109/20000)*(F109/60))+(((P109/5000)*J109)*(S109/60)))*100/2+((E109/20000)*(F109/60)*((P109/5000)*J109)*(S109/60))*100)*(H109/1.0)/3,"")</f>
        <v/>
      </c>
      <c r="X109" s="6" t="n">
        <v>120</v>
      </c>
      <c r="Y109">
        <f>IFERROR(W109-X109,"")</f>
        <v/>
      </c>
      <c r="Z109">
        <f>IFERROR(ABS(Y109)/MAX(X109,1),"")</f>
        <v/>
      </c>
      <c r="AA109">
        <f>IFERROR(ROUND(((3*X109-(((E109/20000)+(F109/60)+(S109/60))*100/4+((E109/20000)*(F109/60))*100/2)*(H109/1.0))/(100/4+((S109/60))*100/2+((E109/20000)*(F109/60)*(S109/60))*100)*(H109/1.0)*5000)/J109,-1),"")</f>
        <v/>
      </c>
    </row>
    <row r="110">
      <c r="B110" s="7" t="inlineStr">
        <is>
          <t xml:space="preserve">  ↳ TSMinigun</t>
        </is>
      </c>
      <c r="C110" s="7" t="inlineStr">
        <is>
          <t>Armament@PRIMARY</t>
        </is>
      </c>
      <c r="L110" s="6" t="n">
        <v>2000</v>
      </c>
      <c r="M110" s="6" t="n">
        <v>12</v>
      </c>
      <c r="N110" s="6" t="n">
        <v>1</v>
      </c>
      <c r="O110" s="6" t="n"/>
      <c r="P110" s="6" t="n">
        <v>4062</v>
      </c>
      <c r="Q110" s="6" t="n">
        <v>0.75</v>
      </c>
      <c r="R110">
        <f>M110+IF(MAX(N110-1,0)&gt;0,IF(ISBLANK(O110),5*MAX(N110-1,0),IF(ISNUMBER(O110),O110*MAX(N110-1,0),SUM(IFERROR(VALUE(TEXTSPLIT(O110,",")),0)))),0)</f>
        <v/>
      </c>
      <c r="S110">
        <f>IFERROR(L110*MAX(N110,1)/R110*IF(ISBLANK(K109),1,K109),0)</f>
        <v/>
      </c>
      <c r="AB110" s="7" t="inlineStr">
        <is>
          <t>^Warhead_Bullet_Light</t>
        </is>
      </c>
    </row>
    <row r="111">
      <c r="B111" s="7" t="inlineStr">
        <is>
          <t xml:space="preserve">  ↳ TSMinigun</t>
        </is>
      </c>
      <c r="C111" s="7" t="inlineStr">
        <is>
          <t>Armament@GARRISONED</t>
        </is>
      </c>
      <c r="L111" s="6" t="n">
        <v>2000</v>
      </c>
      <c r="M111" s="6" t="n">
        <v>12</v>
      </c>
      <c r="N111" s="6" t="n">
        <v>1</v>
      </c>
      <c r="O111" s="6" t="n"/>
      <c r="P111" s="6" t="n">
        <v>4062</v>
      </c>
      <c r="Q111" s="6" t="n">
        <v>0.75</v>
      </c>
      <c r="R111">
        <f>M111+IF(MAX(N111-1,0)&gt;0,IF(ISBLANK(O111),5*MAX(N111-1,0),IF(ISNUMBER(O111),O111*MAX(N111-1,0),SUM(IFERROR(VALUE(TEXTSPLIT(O111,",")),0)))),0)</f>
        <v/>
      </c>
      <c r="S111">
        <f>IFERROR(L111*MAX(N111,1)/R111*IF(ISBLANK(K109),1,K109),0)</f>
        <v/>
      </c>
      <c r="AB111" s="7" t="inlineStr">
        <is>
          <t>^Warhead_Bullet_Light</t>
        </is>
      </c>
    </row>
    <row r="112">
      <c r="B112" s="7" t="inlineStr">
        <is>
          <t xml:space="preserve">  ↳ TSLasergun</t>
        </is>
      </c>
      <c r="C112" s="7" t="inlineStr">
        <is>
          <t>Armament@UPGRADE</t>
        </is>
      </c>
      <c r="L112" s="6" t="n">
        <v>4000</v>
      </c>
      <c r="M112" s="6" t="n">
        <v>18</v>
      </c>
      <c r="N112" s="6" t="n">
        <v>1</v>
      </c>
      <c r="O112" s="6" t="n"/>
      <c r="P112" s="6" t="n">
        <v>4062</v>
      </c>
      <c r="Q112" s="6" t="n">
        <v>1</v>
      </c>
      <c r="R112">
        <f>M112+IF(MAX(N112-1,0)&gt;0,IF(ISBLANK(O112),5*MAX(N112-1,0),IF(ISNUMBER(O112),O112*MAX(N112-1,0),SUM(IFERROR(VALUE(TEXTSPLIT(O112,",")),0)))),0)</f>
        <v/>
      </c>
      <c r="S112">
        <f>IFERROR(L112*MAX(N112,1)/R112*IF(ISBLANK(K109),1,K109),0)</f>
        <v/>
      </c>
      <c r="AB112" s="7" t="inlineStr">
        <is>
          <t>^Warhead_Bullet_Light, ^Warhead_Laser_Heavy</t>
        </is>
      </c>
    </row>
    <row r="113">
      <c r="B113" s="7" t="inlineStr">
        <is>
          <t xml:space="preserve">  ↳ TSLasergun</t>
        </is>
      </c>
      <c r="C113" s="7" t="inlineStr">
        <is>
          <t>Armament@UPGRADEGARRISONED</t>
        </is>
      </c>
      <c r="L113" s="6" t="n">
        <v>4000</v>
      </c>
      <c r="M113" s="6" t="n">
        <v>18</v>
      </c>
      <c r="N113" s="6" t="n">
        <v>1</v>
      </c>
      <c r="O113" s="6" t="n"/>
      <c r="P113" s="6" t="n">
        <v>4062</v>
      </c>
      <c r="Q113" s="6" t="n">
        <v>1</v>
      </c>
      <c r="R113">
        <f>M113+IF(MAX(N113-1,0)&gt;0,IF(ISBLANK(O113),5*MAX(N113-1,0),IF(ISNUMBER(O113),O113*MAX(N113-1,0),SUM(IFERROR(VALUE(TEXTSPLIT(O113,",")),0)))),0)</f>
        <v/>
      </c>
      <c r="S113">
        <f>IFERROR(L113*MAX(N113,1)/R113*IF(ISBLANK(K109),1,K109),0)</f>
        <v/>
      </c>
      <c r="AB113" s="7" t="inlineStr">
        <is>
          <t>^Warhead_Bullet_Light, ^Warhead_Laser_Heavy</t>
        </is>
      </c>
    </row>
    <row r="114">
      <c r="A114" t="inlineStr">
        <is>
          <t>tiberiansun</t>
        </is>
      </c>
      <c r="B114" t="inlineStr">
        <is>
          <t>ts_gdi_lightinfantry</t>
        </is>
      </c>
      <c r="C114" t="inlineStr">
        <is>
          <t>Light Infantry</t>
        </is>
      </c>
      <c r="D114" s="6" t="inlineStr">
        <is>
          <t>ScoutInfantry</t>
        </is>
      </c>
      <c r="E114" s="6" t="n">
        <v>16000</v>
      </c>
      <c r="F114" s="6" t="n">
        <v>60</v>
      </c>
      <c r="G114" t="inlineStr">
        <is>
          <t>None</t>
        </is>
      </c>
      <c r="H114" s="6" t="n">
        <v>1</v>
      </c>
      <c r="I114" s="6" t="n">
        <v>1</v>
      </c>
      <c r="J114" s="6" t="n">
        <v>1</v>
      </c>
      <c r="P114">
        <f>MAX(P115)</f>
        <v/>
      </c>
      <c r="S114">
        <f>S115</f>
        <v/>
      </c>
      <c r="T114">
        <f>(E114/100000+F114/100+(P114/1000)*J114/5+S114/200)*200*I114*H114</f>
        <v/>
      </c>
      <c r="U114">
        <f>((E114*F114/25000)+((P114/1000)*J114*S114/2.5))*I114*H114</f>
        <v/>
      </c>
      <c r="V114">
        <f>(E114*F114*(P114/1000)*J114*S114*I114*H114)/12500000</f>
        <v/>
      </c>
      <c r="W114">
        <f>IFERROR((((E114/20000)+(F114/60)+(S114/60)+((P114/5000)*J114))*100/4+(((E114/20000)*(F114/60))+(((P114/5000)*J114)*(S114/60)))*100/2+((E114/20000)*(F114/60)*((P114/5000)*J114)*(S114/60))*100)*(H114/1.0)/3,"")</f>
        <v/>
      </c>
      <c r="X114" s="6" t="n">
        <v>120</v>
      </c>
      <c r="Y114">
        <f>IFERROR(W114-X114,"")</f>
        <v/>
      </c>
      <c r="Z114">
        <f>IFERROR(ABS(Y114)/MAX(X114,1),"")</f>
        <v/>
      </c>
      <c r="AA114">
        <f>IFERROR(ROUND(((3*X114-(((E114/20000)+(F114/60)+(S114/60))*100/4+((E114/20000)*(F114/60))*100/2)*(H114/1.0))/(100/4+((S114/60))*100/2+((E114/20000)*(F114/60)*(S114/60))*100)*(H114/1.0)*5000)/J114,-1),"")</f>
        <v/>
      </c>
    </row>
    <row r="115">
      <c r="B115" s="7" t="inlineStr">
        <is>
          <t xml:space="preserve">  ↳ TSMinigun</t>
        </is>
      </c>
      <c r="C115" s="7" t="inlineStr">
        <is>
          <t>Armament@PRIMARY</t>
        </is>
      </c>
      <c r="L115" s="6" t="n">
        <v>2000</v>
      </c>
      <c r="M115" s="6" t="n">
        <v>12</v>
      </c>
      <c r="N115" s="6" t="n">
        <v>1</v>
      </c>
      <c r="O115" s="6" t="n"/>
      <c r="P115" s="6" t="n">
        <v>4062</v>
      </c>
      <c r="Q115" s="6" t="n">
        <v>0.75</v>
      </c>
      <c r="R115">
        <f>M115+IF(MAX(N115-1,0)&gt;0,IF(ISBLANK(O115),5*MAX(N115-1,0),IF(ISNUMBER(O115),O115*MAX(N115-1,0),SUM(IFERROR(VALUE(TEXTSPLIT(O115,",")),0)))),0)</f>
        <v/>
      </c>
      <c r="S115">
        <f>IFERROR(L115*MAX(N115,1)/R115*IF(ISBLANK(K114),1,K114),0)</f>
        <v/>
      </c>
      <c r="AB115" s="7" t="inlineStr">
        <is>
          <t>^Warhead_Bullet_Light</t>
        </is>
      </c>
    </row>
    <row r="116">
      <c r="B116" s="7" t="inlineStr">
        <is>
          <t xml:space="preserve">  ↳ TSMinigun</t>
        </is>
      </c>
      <c r="C116" s="7" t="inlineStr">
        <is>
          <t>Armament@GARRISONED</t>
        </is>
      </c>
      <c r="L116" s="6" t="n">
        <v>2000</v>
      </c>
      <c r="M116" s="6" t="n">
        <v>12</v>
      </c>
      <c r="N116" s="6" t="n">
        <v>1</v>
      </c>
      <c r="O116" s="6" t="n"/>
      <c r="P116" s="6" t="n">
        <v>4062</v>
      </c>
      <c r="Q116" s="6" t="n">
        <v>0.75</v>
      </c>
      <c r="R116">
        <f>M116+IF(MAX(N116-1,0)&gt;0,IF(ISBLANK(O116),5*MAX(N116-1,0),IF(ISNUMBER(O116),O116*MAX(N116-1,0),SUM(IFERROR(VALUE(TEXTSPLIT(O116,",")),0)))),0)</f>
        <v/>
      </c>
      <c r="S116">
        <f>IFERROR(L116*MAX(N116,1)/R116*IF(ISBLANK(K114),1,K114),0)</f>
        <v/>
      </c>
      <c r="AB116" s="7" t="inlineStr">
        <is>
          <t>^Warhead_Bullet_Light</t>
        </is>
      </c>
    </row>
    <row r="117">
      <c r="A117" t="inlineStr">
        <is>
          <t>tiberiansun</t>
        </is>
      </c>
      <c r="B117" t="inlineStr">
        <is>
          <t>forgotten_mutant</t>
        </is>
      </c>
      <c r="C117" t="inlineStr">
        <is>
          <t>actor_forgotten_mutant.name</t>
        </is>
      </c>
      <c r="D117" s="6" t="inlineStr">
        <is>
          <t>ScoutInfantry</t>
        </is>
      </c>
      <c r="E117" s="6" t="n">
        <v>45000</v>
      </c>
      <c r="F117" s="6" t="n">
        <v>65</v>
      </c>
      <c r="G117" t="inlineStr">
        <is>
          <t>None</t>
        </is>
      </c>
      <c r="H117" s="6" t="n">
        <v>1</v>
      </c>
      <c r="I117" s="6" t="n">
        <v>1</v>
      </c>
      <c r="J117" s="6" t="n">
        <v>1</v>
      </c>
      <c r="K117" t="n">
        <v>0.003</v>
      </c>
      <c r="P117">
        <f>MAX(P118)</f>
        <v/>
      </c>
      <c r="S117">
        <f>S118</f>
        <v/>
      </c>
      <c r="T117">
        <f>(E117/100000+F117/100+(P117/1000)*J117/5+S117/200)*200*I117*H117</f>
        <v/>
      </c>
      <c r="U117">
        <f>((E117*F117/25000)+((P117/1000)*J117*S117/2.5))*I117*H117</f>
        <v/>
      </c>
      <c r="V117">
        <f>(E117*F117*(P117/1000)*J117*S117*I117*H117)/12500000</f>
        <v/>
      </c>
      <c r="W117">
        <f>IFERROR((((E117/20000)+(F117/60)+(S117/60)+((P117/5000)*J117))*100/4+(((E117/20000)*(F117/60))+(((P117/5000)*J117)*(S117/60)))*100/2+((E117/20000)*(F117/60)*((P117/5000)*J117)*(S117/60))*100)*(H117/1.0)/3,"")</f>
        <v/>
      </c>
      <c r="X117" s="6" t="n">
        <v>160</v>
      </c>
      <c r="Y117">
        <f>IFERROR(W117-X117,"")</f>
        <v/>
      </c>
      <c r="Z117">
        <f>IFERROR(ABS(Y117)/MAX(X117,1),"")</f>
        <v/>
      </c>
      <c r="AA117">
        <f>IFERROR(ROUND(((3*X117-(((E117/20000)+(F117/60)+(S117/60))*100/4+((E117/20000)*(F117/60))*100/2)*(H117/1.0))/(100/4+((S117/60))*100/2+((E117/20000)*(F117/60)*(S117/60))*100)*(H117/1.0)*5000)/J117,-1),"")</f>
        <v/>
      </c>
    </row>
    <row r="118">
      <c r="B118" s="7" t="inlineStr">
        <is>
          <t xml:space="preserve">  ↳ forgotten_mutant_dualwield</t>
        </is>
      </c>
      <c r="C118" s="7" t="inlineStr">
        <is>
          <t>Armament@PRIMARY</t>
        </is>
      </c>
      <c r="L118" s="6" t="n">
        <v>2000</v>
      </c>
      <c r="M118" s="6" t="n">
        <v>18</v>
      </c>
      <c r="N118" s="6" t="n">
        <v>2</v>
      </c>
      <c r="O118" s="6" t="n"/>
      <c r="P118" s="6" t="n">
        <v>5219</v>
      </c>
      <c r="Q118" s="6" t="n">
        <v>0.75</v>
      </c>
      <c r="R118">
        <f>M118+IF(MAX(N118-1,0)&gt;0,IF(ISBLANK(O118),5*MAX(N118-1,0),IF(ISNUMBER(O118),O118*MAX(N118-1,0),SUM(IFERROR(VALUE(TEXTSPLIT(O118,",")),0)))),0)</f>
        <v/>
      </c>
      <c r="S118">
        <f>IFERROR(L118*MAX(N118,1)/R118*IF(ISBLANK(K117),1,K117),0)</f>
        <v/>
      </c>
      <c r="AB118" s="7" t="inlineStr">
        <is>
          <t>^Warhead_Bullet_Light</t>
        </is>
      </c>
    </row>
    <row r="119">
      <c r="B119" s="7" t="inlineStr">
        <is>
          <t xml:space="preserve">  ↳ forgotten_mutant_dualwield</t>
        </is>
      </c>
      <c r="C119" s="7" t="inlineStr">
        <is>
          <t>Armament@GARRISONED</t>
        </is>
      </c>
      <c r="L119" s="6" t="n">
        <v>2000</v>
      </c>
      <c r="M119" s="6" t="n">
        <v>18</v>
      </c>
      <c r="N119" s="6" t="n">
        <v>2</v>
      </c>
      <c r="O119" s="6" t="n"/>
      <c r="P119" s="6" t="n">
        <v>5219</v>
      </c>
      <c r="Q119" s="6" t="n">
        <v>0.75</v>
      </c>
      <c r="R119">
        <f>M119+IF(MAX(N119-1,0)&gt;0,IF(ISBLANK(O119),5*MAX(N119-1,0),IF(ISNUMBER(O119),O119*MAX(N119-1,0),SUM(IFERROR(VALUE(TEXTSPLIT(O119,",")),0)))),0)</f>
        <v/>
      </c>
      <c r="S119">
        <f>IFERROR(L119*MAX(N119,1)/R119*IF(ISBLANK(K117),1,K117),0)</f>
        <v/>
      </c>
      <c r="AB119" s="7" t="inlineStr">
        <is>
          <t>^Warhead_Bullet_Light</t>
        </is>
      </c>
    </row>
    <row r="120">
      <c r="A120" t="inlineStr">
        <is>
          <t>tiberiansun</t>
        </is>
      </c>
      <c r="B120" t="inlineStr">
        <is>
          <t>forgotten_mutant_sp</t>
        </is>
      </c>
      <c r="C120" t="inlineStr">
        <is>
          <t>actor_forgotten_mutant.name</t>
        </is>
      </c>
      <c r="D120" s="6" t="inlineStr">
        <is>
          <t>ScoutInfantry</t>
        </is>
      </c>
      <c r="E120" s="6" t="n">
        <v>45000</v>
      </c>
      <c r="F120" s="6" t="n">
        <v>65</v>
      </c>
      <c r="G120" t="inlineStr">
        <is>
          <t>None</t>
        </is>
      </c>
      <c r="H120" s="6" t="n">
        <v>1</v>
      </c>
      <c r="I120" s="6" t="n">
        <v>1</v>
      </c>
      <c r="J120" s="6" t="n">
        <v>1</v>
      </c>
      <c r="P120">
        <f>MAX(P121)</f>
        <v/>
      </c>
      <c r="S120">
        <f>S121</f>
        <v/>
      </c>
      <c r="T120">
        <f>(E120/100000+F120/100+(P120/1000)*J120/5+S120/200)*200*I120*H120</f>
        <v/>
      </c>
      <c r="U120">
        <f>((E120*F120/25000)+((P120/1000)*J120*S120/2.5))*I120*H120</f>
        <v/>
      </c>
      <c r="V120">
        <f>(E120*F120*(P120/1000)*J120*S120*I120*H120)/12500000</f>
        <v/>
      </c>
      <c r="W120">
        <f>IFERROR((((E120/20000)+(F120/60)+(S120/60)+((P120/5000)*J120))*100/4+(((E120/20000)*(F120/60))+(((P120/5000)*J120)*(S120/60)))*100/2+((E120/20000)*(F120/60)*((P120/5000)*J120)*(S120/60))*100)*(H120/1.0)/3,"")</f>
        <v/>
      </c>
      <c r="X120" s="6" t="n">
        <v>160</v>
      </c>
      <c r="Y120">
        <f>IFERROR(W120-X120,"")</f>
        <v/>
      </c>
      <c r="Z120">
        <f>IFERROR(ABS(Y120)/MAX(X120,1),"")</f>
        <v/>
      </c>
      <c r="AA120">
        <f>IFERROR(ROUND(((3*X120-(((E120/20000)+(F120/60)+(S120/60))*100/4+((E120/20000)*(F120/60))*100/2)*(H120/1.0))/(100/4+((S120/60))*100/2+((E120/20000)*(F120/60)*(S120/60))*100)*(H120/1.0)*5000)/J120,-1),"")</f>
        <v/>
      </c>
    </row>
    <row r="121">
      <c r="B121" s="7" t="inlineStr">
        <is>
          <t xml:space="preserve">  ↳ forgotten_mutant_dualwield</t>
        </is>
      </c>
      <c r="C121" s="7" t="inlineStr">
        <is>
          <t>Armament@PRIMARY</t>
        </is>
      </c>
      <c r="L121" s="6" t="n">
        <v>2000</v>
      </c>
      <c r="M121" s="6" t="n">
        <v>18</v>
      </c>
      <c r="N121" s="6" t="n">
        <v>2</v>
      </c>
      <c r="O121" s="6" t="n"/>
      <c r="P121" s="6" t="n">
        <v>5219</v>
      </c>
      <c r="Q121" s="6" t="n">
        <v>0.75</v>
      </c>
      <c r="R121">
        <f>M121+IF(MAX(N121-1,0)&gt;0,IF(ISBLANK(O121),5*MAX(N121-1,0),IF(ISNUMBER(O121),O121*MAX(N121-1,0),SUM(IFERROR(VALUE(TEXTSPLIT(O121,",")),0)))),0)</f>
        <v/>
      </c>
      <c r="S121">
        <f>IFERROR(L121*MAX(N121,1)/R121*IF(ISBLANK(K120),1,K120),0)</f>
        <v/>
      </c>
      <c r="AB121" s="7" t="inlineStr">
        <is>
          <t>^Warhead_Bullet_Light</t>
        </is>
      </c>
    </row>
    <row r="122">
      <c r="B122" s="7" t="inlineStr">
        <is>
          <t xml:space="preserve">  ↳ forgotten_mutant_dualwield</t>
        </is>
      </c>
      <c r="C122" s="7" t="inlineStr">
        <is>
          <t>Armament@GARRISONED</t>
        </is>
      </c>
      <c r="L122" s="6" t="n">
        <v>2000</v>
      </c>
      <c r="M122" s="6" t="n">
        <v>18</v>
      </c>
      <c r="N122" s="6" t="n">
        <v>2</v>
      </c>
      <c r="O122" s="6" t="n"/>
      <c r="P122" s="6" t="n">
        <v>5219</v>
      </c>
      <c r="Q122" s="6" t="n">
        <v>0.75</v>
      </c>
      <c r="R122">
        <f>M122+IF(MAX(N122-1,0)&gt;0,IF(ISBLANK(O122),5*MAX(N122-1,0),IF(ISNUMBER(O122),O122*MAX(N122-1,0),SUM(IFERROR(VALUE(TEXTSPLIT(O122,",")),0)))),0)</f>
        <v/>
      </c>
      <c r="S122">
        <f>IFERROR(L122*MAX(N122,1)/R122*IF(ISBLANK(K120),1,K120),0)</f>
        <v/>
      </c>
      <c r="AB122" s="7" t="inlineStr">
        <is>
          <t>^Warhead_Bullet_Light</t>
        </is>
      </c>
    </row>
    <row r="123">
      <c r="A123" t="inlineStr">
        <is>
          <t>tiberiansun</t>
        </is>
      </c>
      <c r="B123" t="inlineStr">
        <is>
          <t>forgotten_mutant_wild</t>
        </is>
      </c>
      <c r="C123" t="inlineStr">
        <is>
          <t>actor_forgotten_mutant.name</t>
        </is>
      </c>
      <c r="D123" s="6" t="inlineStr">
        <is>
          <t>ScoutInfantry</t>
        </is>
      </c>
      <c r="E123" s="6" t="n">
        <v>45000</v>
      </c>
      <c r="F123" s="6" t="n">
        <v>65</v>
      </c>
      <c r="G123" t="inlineStr">
        <is>
          <t>None</t>
        </is>
      </c>
      <c r="H123" s="6" t="n">
        <v>1</v>
      </c>
      <c r="I123" s="6" t="n">
        <v>1</v>
      </c>
      <c r="J123" s="6" t="n">
        <v>1</v>
      </c>
      <c r="P123">
        <f>MAX(P124)</f>
        <v/>
      </c>
      <c r="S123">
        <f>S124</f>
        <v/>
      </c>
      <c r="T123">
        <f>(E123/100000+F123/100+(P123/1000)*J123/5+S123/200)*200*I123*H123</f>
        <v/>
      </c>
      <c r="U123">
        <f>((E123*F123/25000)+((P123/1000)*J123*S123/2.5))*I123*H123</f>
        <v/>
      </c>
      <c r="V123">
        <f>(E123*F123*(P123/1000)*J123*S123*I123*H123)/12500000</f>
        <v/>
      </c>
      <c r="W123">
        <f>IFERROR((((E123/20000)+(F123/60)+(S123/60)+((P123/5000)*J123))*100/4+(((E123/20000)*(F123/60))+(((P123/5000)*J123)*(S123/60)))*100/2+((E123/20000)*(F123/60)*((P123/5000)*J123)*(S123/60))*100)*(H123/1.0)/3,"")</f>
        <v/>
      </c>
      <c r="X123" s="6" t="n">
        <v>160</v>
      </c>
      <c r="Y123">
        <f>IFERROR(W123-X123,"")</f>
        <v/>
      </c>
      <c r="Z123">
        <f>IFERROR(ABS(Y123)/MAX(X123,1),"")</f>
        <v/>
      </c>
      <c r="AA123">
        <f>IFERROR(ROUND(((3*X123-(((E123/20000)+(F123/60)+(S123/60))*100/4+((E123/20000)*(F123/60))*100/2)*(H123/1.0))/(100/4+((S123/60))*100/2+((E123/20000)*(F123/60)*(S123/60))*100)*(H123/1.0)*5000)/J123,-1),"")</f>
        <v/>
      </c>
    </row>
    <row r="124">
      <c r="B124" s="7" t="inlineStr">
        <is>
          <t xml:space="preserve">  ↳ forgotten_mutant_dualwield</t>
        </is>
      </c>
      <c r="C124" s="7" t="inlineStr">
        <is>
          <t>Armament@PRIMARY</t>
        </is>
      </c>
      <c r="L124" s="6" t="n">
        <v>2000</v>
      </c>
      <c r="M124" s="6" t="n">
        <v>18</v>
      </c>
      <c r="N124" s="6" t="n">
        <v>2</v>
      </c>
      <c r="O124" s="6" t="n"/>
      <c r="P124" s="6" t="n">
        <v>5219</v>
      </c>
      <c r="Q124" s="6" t="n">
        <v>0.75</v>
      </c>
      <c r="R124">
        <f>M124+IF(MAX(N124-1,0)&gt;0,IF(ISBLANK(O124),5*MAX(N124-1,0),IF(ISNUMBER(O124),O124*MAX(N124-1,0),SUM(IFERROR(VALUE(TEXTSPLIT(O124,",")),0)))),0)</f>
        <v/>
      </c>
      <c r="S124">
        <f>IFERROR(L124*MAX(N124,1)/R124*IF(ISBLANK(K123),1,K123),0)</f>
        <v/>
      </c>
      <c r="AB124" s="7" t="inlineStr">
        <is>
          <t>^Warhead_Bullet_Light</t>
        </is>
      </c>
    </row>
    <row r="125">
      <c r="B125" s="7" t="inlineStr">
        <is>
          <t xml:space="preserve">  ↳ forgotten_mutant_dualwield</t>
        </is>
      </c>
      <c r="C125" s="7" t="inlineStr">
        <is>
          <t>Armament@GARRISONED</t>
        </is>
      </c>
      <c r="L125" s="6" t="n">
        <v>2000</v>
      </c>
      <c r="M125" s="6" t="n">
        <v>18</v>
      </c>
      <c r="N125" s="6" t="n">
        <v>2</v>
      </c>
      <c r="O125" s="6" t="n"/>
      <c r="P125" s="6" t="n">
        <v>5219</v>
      </c>
      <c r="Q125" s="6" t="n">
        <v>0.75</v>
      </c>
      <c r="R125">
        <f>M125+IF(MAX(N125-1,0)&gt;0,IF(ISBLANK(O125),5*MAX(N125-1,0),IF(ISNUMBER(O125),O125*MAX(N125-1,0),SUM(IFERROR(VALUE(TEXTSPLIT(O125,",")),0)))),0)</f>
        <v/>
      </c>
      <c r="S125">
        <f>IFERROR(L125*MAX(N125,1)/R125*IF(ISBLANK(K123),1,K123),0)</f>
        <v/>
      </c>
      <c r="AB125" s="7" t="inlineStr">
        <is>
          <t>^Warhead_Bullet_Light</t>
        </is>
      </c>
    </row>
    <row r="126">
      <c r="A126" t="inlineStr">
        <is>
          <t>tiberiansun</t>
        </is>
      </c>
      <c r="B126" t="inlineStr">
        <is>
          <t>forgotten_mutantsoldier</t>
        </is>
      </c>
      <c r="C126" t="inlineStr">
        <is>
          <t>actor_forgotten_mutantsoldier.name</t>
        </is>
      </c>
      <c r="D126" s="6" t="inlineStr">
        <is>
          <t>ScoutInfantry</t>
        </is>
      </c>
      <c r="E126" s="6" t="n">
        <v>40000</v>
      </c>
      <c r="F126" s="6" t="n">
        <v>60</v>
      </c>
      <c r="G126" t="inlineStr">
        <is>
          <t>None</t>
        </is>
      </c>
      <c r="H126" s="6" t="n">
        <v>1</v>
      </c>
      <c r="I126" s="6" t="n">
        <v>1</v>
      </c>
      <c r="J126" s="6" t="n">
        <v>1</v>
      </c>
      <c r="K126" t="n">
        <v>0.01</v>
      </c>
      <c r="P126">
        <f>MAX(P127)</f>
        <v/>
      </c>
      <c r="S126">
        <f>S127</f>
        <v/>
      </c>
      <c r="T126">
        <f>(E126/100000+F126/100+(P126/1000)*J126/5+S126/200)*200*I126*H126</f>
        <v/>
      </c>
      <c r="U126">
        <f>((E126*F126/25000)+((P126/1000)*J126*S126/2.5))*I126*H126</f>
        <v/>
      </c>
      <c r="V126">
        <f>(E126*F126*(P126/1000)*J126*S126*I126*H126)/12500000</f>
        <v/>
      </c>
      <c r="W126">
        <f>IFERROR((((E126/20000)+(F126/60)+(S126/60)+((P126/5000)*J126))*100/4+(((E126/20000)*(F126/60))+(((P126/5000)*J126)*(S126/60)))*100/2+((E126/20000)*(F126/60)*((P126/5000)*J126)*(S126/60))*100)*(H126/1.0)/3,"")</f>
        <v/>
      </c>
      <c r="X126" s="6" t="n">
        <v>250</v>
      </c>
      <c r="Y126">
        <f>IFERROR(W126-X126,"")</f>
        <v/>
      </c>
      <c r="Z126">
        <f>IFERROR(ABS(Y126)/MAX(X126,1),"")</f>
        <v/>
      </c>
      <c r="AA126">
        <f>IFERROR(ROUND(((3*X126-(((E126/20000)+(F126/60)+(S126/60))*100/4+((E126/20000)*(F126/60))*100/2)*(H126/1.0))/(100/4+((S126/60))*100/2+((E126/20000)*(F126/60)*(S126/60))*100)*(H126/1.0)*5000)/J126,-1),"")</f>
        <v/>
      </c>
    </row>
    <row r="127">
      <c r="B127" s="7" t="inlineStr">
        <is>
          <t xml:space="preserve">  ↳ forgotten_mutantsoldier_rifle</t>
        </is>
      </c>
      <c r="C127" s="7" t="inlineStr">
        <is>
          <t>Armament@PRIMARY</t>
        </is>
      </c>
      <c r="L127" s="6" t="n">
        <v>8000</v>
      </c>
      <c r="M127" s="6" t="n">
        <v>50</v>
      </c>
      <c r="N127" s="6" t="n">
        <v>1</v>
      </c>
      <c r="O127" s="6" t="n"/>
      <c r="P127" s="6" t="n">
        <v>5000</v>
      </c>
      <c r="Q127" s="6" t="n">
        <v>0.75</v>
      </c>
      <c r="R127">
        <f>M127+IF(MAX(N127-1,0)&gt;0,IF(ISBLANK(O127),5*MAX(N127-1,0),IF(ISNUMBER(O127),O127*MAX(N127-1,0),SUM(IFERROR(VALUE(TEXTSPLIT(O127,",")),0)))),0)</f>
        <v/>
      </c>
      <c r="S127">
        <f>IFERROR(L127*MAX(N127,1)/R127*IF(ISBLANK(K126),1,K126),0)</f>
        <v/>
      </c>
      <c r="AB127" s="7" t="inlineStr">
        <is>
          <t>^Warhead_Bullet_Light</t>
        </is>
      </c>
    </row>
    <row r="128">
      <c r="B128" s="7" t="inlineStr">
        <is>
          <t xml:space="preserve">  ↳ forgotten_mutantsoldier_rifle</t>
        </is>
      </c>
      <c r="C128" s="7" t="inlineStr">
        <is>
          <t>Armament@GARRISONED</t>
        </is>
      </c>
      <c r="L128" s="6" t="n">
        <v>8000</v>
      </c>
      <c r="M128" s="6" t="n">
        <v>50</v>
      </c>
      <c r="N128" s="6" t="n">
        <v>1</v>
      </c>
      <c r="O128" s="6" t="n"/>
      <c r="P128" s="6" t="n">
        <v>5000</v>
      </c>
      <c r="Q128" s="6" t="n">
        <v>0.75</v>
      </c>
      <c r="R128">
        <f>M128+IF(MAX(N128-1,0)&gt;0,IF(ISBLANK(O128),5*MAX(N128-1,0),IF(ISNUMBER(O128),O128*MAX(N128-1,0),SUM(IFERROR(VALUE(TEXTSPLIT(O128,",")),0)))),0)</f>
        <v/>
      </c>
      <c r="S128">
        <f>IFERROR(L128*MAX(N128,1)/R128*IF(ISBLANK(K126),1,K126),0)</f>
        <v/>
      </c>
      <c r="AB128" s="7" t="inlineStr">
        <is>
          <t>^Warhead_Bullet_Light</t>
        </is>
      </c>
    </row>
    <row r="129">
      <c r="A129" t="inlineStr">
        <is>
          <t>tiberiansun</t>
        </is>
      </c>
      <c r="B129" t="inlineStr">
        <is>
          <t>forgotten_mutantsoldier_sp</t>
        </is>
      </c>
      <c r="C129" t="inlineStr">
        <is>
          <t>actor_forgotten_mutantsoldier.name</t>
        </is>
      </c>
      <c r="D129" s="6" t="inlineStr">
        <is>
          <t>ScoutInfantry</t>
        </is>
      </c>
      <c r="E129" s="6" t="n">
        <v>40000</v>
      </c>
      <c r="F129" s="6" t="n">
        <v>60</v>
      </c>
      <c r="G129" t="inlineStr">
        <is>
          <t>None</t>
        </is>
      </c>
      <c r="H129" s="6" t="n">
        <v>1</v>
      </c>
      <c r="I129" s="6" t="n">
        <v>1</v>
      </c>
      <c r="J129" s="6" t="n">
        <v>1</v>
      </c>
      <c r="P129">
        <f>MAX(P130)</f>
        <v/>
      </c>
      <c r="S129">
        <f>S130</f>
        <v/>
      </c>
      <c r="T129">
        <f>(E129/100000+F129/100+(P129/1000)*J129/5+S129/200)*200*I129*H129</f>
        <v/>
      </c>
      <c r="U129">
        <f>((E129*F129/25000)+((P129/1000)*J129*S129/2.5))*I129*H129</f>
        <v/>
      </c>
      <c r="V129">
        <f>(E129*F129*(P129/1000)*J129*S129*I129*H129)/12500000</f>
        <v/>
      </c>
      <c r="W129">
        <f>IFERROR((((E129/20000)+(F129/60)+(S129/60)+((P129/5000)*J129))*100/4+(((E129/20000)*(F129/60))+(((P129/5000)*J129)*(S129/60)))*100/2+((E129/20000)*(F129/60)*((P129/5000)*J129)*(S129/60))*100)*(H129/1.0)/3,"")</f>
        <v/>
      </c>
      <c r="X129" s="6" t="n">
        <v>250</v>
      </c>
      <c r="Y129">
        <f>IFERROR(W129-X129,"")</f>
        <v/>
      </c>
      <c r="Z129">
        <f>IFERROR(ABS(Y129)/MAX(X129,1),"")</f>
        <v/>
      </c>
      <c r="AA129">
        <f>IFERROR(ROUND(((3*X129-(((E129/20000)+(F129/60)+(S129/60))*100/4+((E129/20000)*(F129/60))*100/2)*(H129/1.0))/(100/4+((S129/60))*100/2+((E129/20000)*(F129/60)*(S129/60))*100)*(H129/1.0)*5000)/J129,-1),"")</f>
        <v/>
      </c>
    </row>
    <row r="130">
      <c r="B130" s="7" t="inlineStr">
        <is>
          <t xml:space="preserve">  ↳ forgotten_mutantsoldier_rifle</t>
        </is>
      </c>
      <c r="C130" s="7" t="inlineStr">
        <is>
          <t>Armament@PRIMARY</t>
        </is>
      </c>
      <c r="L130" s="6" t="n">
        <v>8000</v>
      </c>
      <c r="M130" s="6" t="n">
        <v>50</v>
      </c>
      <c r="N130" s="6" t="n">
        <v>1</v>
      </c>
      <c r="O130" s="6" t="n"/>
      <c r="P130" s="6" t="n">
        <v>5000</v>
      </c>
      <c r="Q130" s="6" t="n">
        <v>0.75</v>
      </c>
      <c r="R130">
        <f>M130+IF(MAX(N130-1,0)&gt;0,IF(ISBLANK(O130),5*MAX(N130-1,0),IF(ISNUMBER(O130),O130*MAX(N130-1,0),SUM(IFERROR(VALUE(TEXTSPLIT(O130,",")),0)))),0)</f>
        <v/>
      </c>
      <c r="S130">
        <f>IFERROR(L130*MAX(N130,1)/R130*IF(ISBLANK(K129),1,K129),0)</f>
        <v/>
      </c>
      <c r="AB130" s="7" t="inlineStr">
        <is>
          <t>^Warhead_Bullet_Light</t>
        </is>
      </c>
    </row>
    <row r="131">
      <c r="B131" s="7" t="inlineStr">
        <is>
          <t xml:space="preserve">  ↳ forgotten_mutantsoldier_rifle</t>
        </is>
      </c>
      <c r="C131" s="7" t="inlineStr">
        <is>
          <t>Armament@GARRISONED</t>
        </is>
      </c>
      <c r="L131" s="6" t="n">
        <v>8000</v>
      </c>
      <c r="M131" s="6" t="n">
        <v>50</v>
      </c>
      <c r="N131" s="6" t="n">
        <v>1</v>
      </c>
      <c r="O131" s="6" t="n"/>
      <c r="P131" s="6" t="n">
        <v>5000</v>
      </c>
      <c r="Q131" s="6" t="n">
        <v>0.75</v>
      </c>
      <c r="R131">
        <f>M131+IF(MAX(N131-1,0)&gt;0,IF(ISBLANK(O131),5*MAX(N131-1,0),IF(ISNUMBER(O131),O131*MAX(N131-1,0),SUM(IFERROR(VALUE(TEXTSPLIT(O131,",")),0)))),0)</f>
        <v/>
      </c>
      <c r="S131">
        <f>IFERROR(L131*MAX(N131,1)/R131*IF(ISBLANK(K129),1,K129),0)</f>
        <v/>
      </c>
      <c r="AB131" s="7" t="inlineStr">
        <is>
          <t>^Warhead_Bullet_Light</t>
        </is>
      </c>
    </row>
    <row r="132">
      <c r="A132" t="inlineStr">
        <is>
          <t>shared</t>
        </is>
      </c>
      <c r="B132" t="inlineStr">
        <is>
          <t>ra2e2.black</t>
        </is>
      </c>
      <c r="C132" t="inlineStr">
        <is>
          <t>Black Operation Soldier</t>
        </is>
      </c>
      <c r="D132" s="6" t="inlineStr">
        <is>
          <t>ScoutInfantry</t>
        </is>
      </c>
      <c r="E132" s="6" t="n">
        <v>25000</v>
      </c>
      <c r="F132" s="6" t="n">
        <v>58</v>
      </c>
      <c r="G132" t="inlineStr">
        <is>
          <t>None</t>
        </is>
      </c>
      <c r="H132" s="6" t="n">
        <v>1</v>
      </c>
      <c r="I132" s="6" t="n">
        <v>1</v>
      </c>
      <c r="J132" s="6" t="n">
        <v>1</v>
      </c>
      <c r="P132">
        <f>MAX(P133,P134)</f>
        <v/>
      </c>
      <c r="S132">
        <f>S133+S134</f>
        <v/>
      </c>
      <c r="T132">
        <f>(E132/100000+F132/100+(P132/1000)*J132/5+S132/200)*200*I132*H132</f>
        <v/>
      </c>
      <c r="U132">
        <f>((E132*F132/25000)+((P132/1000)*J132*S132/2.5))*I132*H132</f>
        <v/>
      </c>
      <c r="V132">
        <f>(E132*F132*(P132/1000)*J132*S132*I132*H132)/12500000</f>
        <v/>
      </c>
      <c r="W132">
        <f>IFERROR((((E132/20000)+(F132/60)+(S132/60)+((P132/5000)*J132))*100/4+(((E132/20000)*(F132/60))+(((P132/5000)*J132)*(S132/60)))*100/2+((E132/20000)*(F132/60)*((P132/5000)*J132)*(S132/60))*100)*(H132/1.0)/3,"")</f>
        <v/>
      </c>
      <c r="X132" s="6" t="n">
        <v>150</v>
      </c>
      <c r="Y132">
        <f>IFERROR(W132-X132,"")</f>
        <v/>
      </c>
      <c r="Z132">
        <f>IFERROR(ABS(Y132)/MAX(X132,1),"")</f>
        <v/>
      </c>
      <c r="AA132">
        <f>IFERROR(ROUND(((3*X132-(((E132/20000)+(F132/60)+(S132/60))*100/4+((E132/20000)*(F132/60))*100/2)*(H132/1.0))/(100/4+((S132/60))*100/2+((E132/20000)*(F132/60)*(S132/60))*100)*(H132/1.0)*5000)/J132,-1),"")</f>
        <v/>
      </c>
    </row>
    <row r="133">
      <c r="B133" s="7" t="inlineStr">
        <is>
          <t xml:space="preserve">  ↳ ra2_soviets_conscript_carbine</t>
        </is>
      </c>
      <c r="C133" s="7" t="inlineStr">
        <is>
          <t>Armament@PRIMARY</t>
        </is>
      </c>
      <c r="L133" s="6" t="n">
        <v>2000</v>
      </c>
      <c r="M133" s="6" t="n">
        <v>18</v>
      </c>
      <c r="N133" s="6" t="n">
        <v>1</v>
      </c>
      <c r="O133" s="6" t="n"/>
      <c r="P133" s="6" t="n">
        <v>4500</v>
      </c>
      <c r="Q133" s="6" t="n">
        <v>0.75</v>
      </c>
      <c r="R133">
        <f>M133+IF(MAX(N133-1,0)&gt;0,IF(ISBLANK(O133),5*MAX(N133-1,0),IF(ISNUMBER(O133),O133*MAX(N133-1,0),SUM(IFERROR(VALUE(TEXTSPLIT(O133,",")),0)))),0)</f>
        <v/>
      </c>
      <c r="S133">
        <f>IFERROR(L133*MAX(N133,1)/R133*IF(ISBLANK(K132),1,K132),0)</f>
        <v/>
      </c>
      <c r="AB133" s="7" t="inlineStr">
        <is>
          <t>^Warhead_Bullet_Light</t>
        </is>
      </c>
    </row>
    <row r="134">
      <c r="B134" s="7" t="inlineStr">
        <is>
          <t xml:space="preserve">  ↳ ra2_soviets_conscript_carbine_elite</t>
        </is>
      </c>
      <c r="C134" s="7" t="inlineStr">
        <is>
          <t>Armament@ELITE</t>
        </is>
      </c>
      <c r="L134" s="6" t="n">
        <v>2000</v>
      </c>
      <c r="M134" s="6" t="n">
        <v>18</v>
      </c>
      <c r="N134" s="6" t="n">
        <v>2</v>
      </c>
      <c r="O134" s="6" t="n">
        <v>3</v>
      </c>
      <c r="P134" s="6" t="n">
        <v>5500</v>
      </c>
      <c r="Q134" s="6" t="n">
        <v>0.75</v>
      </c>
      <c r="R134">
        <f>M134+IF(MAX(N134-1,0)&gt;0,IF(ISBLANK(O134),5*MAX(N134-1,0),IF(ISNUMBER(O134),O134*MAX(N134-1,0),SUM(IFERROR(VALUE(TEXTSPLIT(O134,",")),0)))),0)</f>
        <v/>
      </c>
      <c r="S134">
        <f>IFERROR(L134*MAX(N134,1)/R134*IF(ISBLANK(K132),1,K132),0)</f>
        <v/>
      </c>
      <c r="AB134" s="7" t="inlineStr">
        <is>
          <t>^Warhead_Bullet_Light</t>
        </is>
      </c>
    </row>
    <row r="135">
      <c r="B135" s="7" t="inlineStr">
        <is>
          <t xml:space="preserve">  ↳ RA2vulcan3</t>
        </is>
      </c>
      <c r="C135" s="7" t="inlineStr">
        <is>
          <t>Armament@GARRISONED</t>
        </is>
      </c>
      <c r="L135" s="6" t="n">
        <v>4000</v>
      </c>
      <c r="M135" s="6" t="n">
        <v>50</v>
      </c>
      <c r="N135" s="6" t="n">
        <v>3</v>
      </c>
      <c r="O135" s="6" t="n">
        <v>2</v>
      </c>
      <c r="P135" s="6" t="n">
        <v>5724</v>
      </c>
      <c r="Q135" s="6" t="n">
        <v>0.875</v>
      </c>
      <c r="R135">
        <f>M135+IF(MAX(N135-1,0)&gt;0,IF(ISBLANK(O135),5*MAX(N135-1,0),IF(ISNUMBER(O135),O135*MAX(N135-1,0),SUM(IFERROR(VALUE(TEXTSPLIT(O135,",")),0)))),0)</f>
        <v/>
      </c>
      <c r="S135">
        <f>IFERROR(L135*MAX(N135,1)/R135*IF(ISBLANK(K132),1,K132),0)</f>
        <v/>
      </c>
      <c r="AB135" s="7" t="inlineStr">
        <is>
          <t>^Warhead_Bullet_Light, ^Warhead_Bullet_Medium</t>
        </is>
      </c>
    </row>
    <row r="136">
      <c r="A136" t="inlineStr">
        <is>
          <t>redalert2</t>
        </is>
      </c>
      <c r="B136" t="inlineStr">
        <is>
          <t>ra2_allies_gi</t>
        </is>
      </c>
      <c r="C136" t="inlineStr">
        <is>
          <t>G.I.</t>
        </is>
      </c>
      <c r="D136" s="6" t="inlineStr">
        <is>
          <t>ScoutInfantry</t>
        </is>
      </c>
      <c r="E136" s="6" t="n">
        <v>50000</v>
      </c>
      <c r="F136" s="6" t="n">
        <v>50</v>
      </c>
      <c r="G136" t="inlineStr">
        <is>
          <t>None</t>
        </is>
      </c>
      <c r="H136" s="6" t="n">
        <v>1</v>
      </c>
      <c r="I136" s="6" t="n">
        <v>1</v>
      </c>
      <c r="J136" s="6" t="n">
        <v>1.25</v>
      </c>
      <c r="K136" t="n">
        <v>0.0025</v>
      </c>
      <c r="P136">
        <f>MAX(P137,P138,P139)</f>
        <v/>
      </c>
      <c r="S136">
        <f>S137+S138+S139</f>
        <v/>
      </c>
      <c r="T136">
        <f>(E136/100000+F136/100+(P136/1000)*J136/5+S136/200)*200*I136*H136</f>
        <v/>
      </c>
      <c r="U136">
        <f>((E136*F136/25000)+((P136/1000)*J136*S136/2.5))*I136*H136</f>
        <v/>
      </c>
      <c r="V136">
        <f>(E136*F136*(P136/1000)*J136*S136*I136*H136)/12500000</f>
        <v/>
      </c>
      <c r="W136">
        <f>IFERROR((((E136/20000)+(F136/60)+(S136/60)+((P136/5000)*J136))*100/4+(((E136/20000)*(F136/60))+(((P136/5000)*J136)*(S136/60)))*100/2+((E136/20000)*(F136/60)*((P136/5000)*J136)*(S136/60))*100)*(H136/1.0)/3,"")</f>
        <v/>
      </c>
      <c r="X136" s="6" t="n">
        <v>200</v>
      </c>
      <c r="Y136">
        <f>IFERROR(W136-X136,"")</f>
        <v/>
      </c>
      <c r="Z136">
        <f>IFERROR(ABS(Y136)/MAX(X136,1),"")</f>
        <v/>
      </c>
      <c r="AA136">
        <f>IFERROR(ROUND(((3*X136-(((E136/20000)+(F136/60)+(S136/60))*100/4+((E136/20000)*(F136/60))*100/2)*(H136/1.0))/(100/4+((S136/60))*100/2+((E136/20000)*(F136/60)*(S136/60))*100)*(H136/1.0)*5000)/J136,-1),"")</f>
        <v/>
      </c>
    </row>
    <row r="137">
      <c r="B137" s="7" t="inlineStr">
        <is>
          <t xml:space="preserve">  ↳ ra2_allies_gi_mg</t>
        </is>
      </c>
      <c r="C137" s="7" t="inlineStr">
        <is>
          <t>Armament@PRIMARY</t>
        </is>
      </c>
      <c r="L137" s="6" t="n">
        <v>2000</v>
      </c>
      <c r="M137" s="6" t="n">
        <v>15</v>
      </c>
      <c r="N137" s="6" t="n">
        <v>3</v>
      </c>
      <c r="O137" s="6" t="n">
        <v>2</v>
      </c>
      <c r="P137" s="6" t="n">
        <v>4680</v>
      </c>
      <c r="Q137" s="6" t="n">
        <v>0.75</v>
      </c>
      <c r="R137">
        <f>M137+IF(MAX(N137-1,0)&gt;0,IF(ISBLANK(O137),5*MAX(N137-1,0),IF(ISNUMBER(O137),O137*MAX(N137-1,0),SUM(IFERROR(VALUE(TEXTSPLIT(O137,",")),0)))),0)</f>
        <v/>
      </c>
      <c r="S137">
        <f>IFERROR(L137*MAX(N137,1)/R137*IF(ISBLANK(K136),1,K136),0)</f>
        <v/>
      </c>
      <c r="AB137" s="7" t="inlineStr">
        <is>
          <t>^Warhead_Bullet_Light</t>
        </is>
      </c>
    </row>
    <row r="138">
      <c r="B138" s="7" t="inlineStr">
        <is>
          <t xml:space="preserve">  ↳ ra2_allies_gi_para</t>
        </is>
      </c>
      <c r="C138" s="7" t="inlineStr">
        <is>
          <t>Armament@PRIMARY2</t>
        </is>
      </c>
      <c r="L138" s="6" t="n">
        <v>2000</v>
      </c>
      <c r="M138" s="6" t="n">
        <v>19</v>
      </c>
      <c r="N138" s="6" t="n">
        <v>3</v>
      </c>
      <c r="O138" s="6" t="n">
        <v>3</v>
      </c>
      <c r="P138" s="6" t="n">
        <v>5500</v>
      </c>
      <c r="Q138" s="6" t="n">
        <v>1</v>
      </c>
      <c r="R138">
        <f>M138+IF(MAX(N138-1,0)&gt;0,IF(ISBLANK(O138),5*MAX(N138-1,0),IF(ISNUMBER(O138),O138*MAX(N138-1,0),SUM(IFERROR(VALUE(TEXTSPLIT(O138,",")),0)))),0)</f>
        <v/>
      </c>
      <c r="S138">
        <f>IFERROR(L138*MAX(N138,1)/R138*IF(ISBLANK(K136),1,K136),0)</f>
        <v/>
      </c>
      <c r="AB138" s="7" t="inlineStr">
        <is>
          <t>^Warhead_Bullet_Medium</t>
        </is>
      </c>
    </row>
    <row r="139">
      <c r="B139" s="7" t="inlineStr">
        <is>
          <t xml:space="preserve">  ↳ ra2_allies_gi_para</t>
        </is>
      </c>
      <c r="C139" s="7" t="inlineStr">
        <is>
          <t>Armament@DEPLOYED</t>
        </is>
      </c>
      <c r="L139" s="6" t="n">
        <v>2000</v>
      </c>
      <c r="M139" s="6" t="n">
        <v>19</v>
      </c>
      <c r="N139" s="6" t="n">
        <v>3</v>
      </c>
      <c r="O139" s="6" t="n">
        <v>3</v>
      </c>
      <c r="P139" s="6" t="n">
        <v>5500</v>
      </c>
      <c r="Q139" s="6" t="n">
        <v>1</v>
      </c>
      <c r="R139">
        <f>M139+IF(MAX(N139-1,0)&gt;0,IF(ISBLANK(O139),5*MAX(N139-1,0),IF(ISNUMBER(O139),O139*MAX(N139-1,0),SUM(IFERROR(VALUE(TEXTSPLIT(O139,",")),0)))),0)</f>
        <v/>
      </c>
      <c r="S139">
        <f>IFERROR(L139*MAX(N139,1)/R139*IF(ISBLANK(K136),1,K136),0)</f>
        <v/>
      </c>
      <c r="AB139" s="7" t="inlineStr">
        <is>
          <t>^Warhead_Bullet_Medium</t>
        </is>
      </c>
    </row>
    <row r="140">
      <c r="B140" s="7" t="inlineStr">
        <is>
          <t xml:space="preserve">  ↳ RA2vulcan2</t>
        </is>
      </c>
      <c r="C140" s="7" t="inlineStr">
        <is>
          <t>Armament@GARRISONED</t>
        </is>
      </c>
      <c r="L140" s="6" t="n">
        <v>4000</v>
      </c>
      <c r="M140" s="6" t="n">
        <v>25</v>
      </c>
      <c r="N140" s="6" t="n">
        <v>3</v>
      </c>
      <c r="O140" s="6" t="n">
        <v>2</v>
      </c>
      <c r="P140" s="6" t="n">
        <v>5724</v>
      </c>
      <c r="Q140" s="6" t="n">
        <v>0.875</v>
      </c>
      <c r="R140">
        <f>M140+IF(MAX(N140-1,0)&gt;0,IF(ISBLANK(O140),5*MAX(N140-1,0),IF(ISNUMBER(O140),O140*MAX(N140-1,0),SUM(IFERROR(VALUE(TEXTSPLIT(O140,",")),0)))),0)</f>
        <v/>
      </c>
      <c r="S140">
        <f>IFERROR(L140*MAX(N140,1)/R140*IF(ISBLANK(K136),1,K136),0)</f>
        <v/>
      </c>
      <c r="AB140" s="7" t="inlineStr">
        <is>
          <t>^Warhead_Bullet_Light, ^Warhead_Bullet_Medium</t>
        </is>
      </c>
    </row>
    <row r="141">
      <c r="A141" t="inlineStr">
        <is>
          <t>redalert2</t>
        </is>
      </c>
      <c r="B141" t="inlineStr">
        <is>
          <t>ra2_allies_ra2spy</t>
        </is>
      </c>
      <c r="C141" t="inlineStr">
        <is>
          <t>Spy</t>
        </is>
      </c>
      <c r="D141" s="6" t="inlineStr">
        <is>
          <t>ScoutInfantry</t>
        </is>
      </c>
      <c r="E141" s="6" t="n">
        <v>5000</v>
      </c>
      <c r="F141" s="6" t="n">
        <v>60</v>
      </c>
      <c r="G141" t="inlineStr">
        <is>
          <t>None</t>
        </is>
      </c>
      <c r="H141" s="6" t="n">
        <v>0.8639</v>
      </c>
      <c r="I141" s="6" t="n">
        <v>1</v>
      </c>
      <c r="J141" s="6" t="n">
        <v>1</v>
      </c>
      <c r="X141" s="6" t="n">
        <v>500</v>
      </c>
    </row>
    <row r="142">
      <c r="A142" t="inlineStr">
        <is>
          <t>redalert2</t>
        </is>
      </c>
      <c r="B142" t="inlineStr">
        <is>
          <t>ra2_soviets_conscript</t>
        </is>
      </c>
      <c r="C142" t="inlineStr">
        <is>
          <t>Conscript</t>
        </is>
      </c>
      <c r="D142" s="6" t="inlineStr">
        <is>
          <t>ScoutInfantry</t>
        </is>
      </c>
      <c r="E142" s="6" t="n">
        <v>26000</v>
      </c>
      <c r="F142" s="6" t="n">
        <v>58</v>
      </c>
      <c r="G142" t="inlineStr">
        <is>
          <t>None</t>
        </is>
      </c>
      <c r="H142" s="6" t="n">
        <v>1</v>
      </c>
      <c r="I142" s="6" t="n">
        <v>1</v>
      </c>
      <c r="J142" s="6" t="n">
        <v>1</v>
      </c>
      <c r="K142" t="n">
        <v>0.0019</v>
      </c>
      <c r="P142">
        <f>MAX(P143,P144)</f>
        <v/>
      </c>
      <c r="S142">
        <f>S143+S144</f>
        <v/>
      </c>
      <c r="T142">
        <f>(E142/100000+F142/100+(P142/1000)*J142/5+S142/200)*200*I142*H142</f>
        <v/>
      </c>
      <c r="U142">
        <f>((E142*F142/25000)+((P142/1000)*J142*S142/2.5))*I142*H142</f>
        <v/>
      </c>
      <c r="V142">
        <f>(E142*F142*(P142/1000)*J142*S142*I142*H142)/12500000</f>
        <v/>
      </c>
      <c r="W142">
        <f>IFERROR((((E142/20000)+(F142/60)+(S142/60)+((P142/5000)*J142))*100/4+(((E142/20000)*(F142/60))+(((P142/5000)*J142)*(S142/60)))*100/2+((E142/20000)*(F142/60)*((P142/5000)*J142)*(S142/60))*100)*(H142/1.0)/3,"")</f>
        <v/>
      </c>
      <c r="X142" s="6" t="n">
        <v>100</v>
      </c>
      <c r="Y142">
        <f>IFERROR(W142-X142,"")</f>
        <v/>
      </c>
      <c r="Z142">
        <f>IFERROR(ABS(Y142)/MAX(X142,1),"")</f>
        <v/>
      </c>
      <c r="AA142">
        <f>IFERROR(ROUND(((3*X142-(((E142/20000)+(F142/60)+(S142/60))*100/4+((E142/20000)*(F142/60))*100/2)*(H142/1.0))/(100/4+((S142/60))*100/2+((E142/20000)*(F142/60)*(S142/60))*100)*(H142/1.0)*5000)/J142,-1),"")</f>
        <v/>
      </c>
    </row>
    <row r="143">
      <c r="B143" s="7" t="inlineStr">
        <is>
          <t xml:space="preserve">  ↳ ra2_soviets_conscript_carbine</t>
        </is>
      </c>
      <c r="C143" s="7" t="inlineStr">
        <is>
          <t>Armament@PRIMARY</t>
        </is>
      </c>
      <c r="L143" s="6" t="n">
        <v>2000</v>
      </c>
      <c r="M143" s="6" t="n">
        <v>18</v>
      </c>
      <c r="N143" s="6" t="n">
        <v>1</v>
      </c>
      <c r="O143" s="6" t="n"/>
      <c r="P143" s="6" t="n">
        <v>4500</v>
      </c>
      <c r="Q143" s="6" t="n">
        <v>0.75</v>
      </c>
      <c r="R143">
        <f>M143+IF(MAX(N143-1,0)&gt;0,IF(ISBLANK(O143),5*MAX(N143-1,0),IF(ISNUMBER(O143),O143*MAX(N143-1,0),SUM(IFERROR(VALUE(TEXTSPLIT(O143,",")),0)))),0)</f>
        <v/>
      </c>
      <c r="S143">
        <f>IFERROR(L143*MAX(N143,1)/R143*IF(ISBLANK(K142),1,K142),0)</f>
        <v/>
      </c>
      <c r="AB143" s="7" t="inlineStr">
        <is>
          <t>^Warhead_Bullet_Light</t>
        </is>
      </c>
    </row>
    <row r="144">
      <c r="B144" s="7" t="inlineStr">
        <is>
          <t xml:space="preserve">  ↳ ra2_soviets_conscript_carbine_elite</t>
        </is>
      </c>
      <c r="C144" s="7" t="inlineStr">
        <is>
          <t>Armament@ELITE</t>
        </is>
      </c>
      <c r="L144" s="6" t="n">
        <v>2000</v>
      </c>
      <c r="M144" s="6" t="n">
        <v>18</v>
      </c>
      <c r="N144" s="6" t="n">
        <v>2</v>
      </c>
      <c r="O144" s="6" t="n">
        <v>3</v>
      </c>
      <c r="P144" s="6" t="n">
        <v>5500</v>
      </c>
      <c r="Q144" s="6" t="n">
        <v>0.75</v>
      </c>
      <c r="R144">
        <f>M144+IF(MAX(N144-1,0)&gt;0,IF(ISBLANK(O144),5*MAX(N144-1,0),IF(ISNUMBER(O144),O144*MAX(N144-1,0),SUM(IFERROR(VALUE(TEXTSPLIT(O144,",")),0)))),0)</f>
        <v/>
      </c>
      <c r="S144">
        <f>IFERROR(L144*MAX(N144,1)/R144*IF(ISBLANK(K142),1,K142),0)</f>
        <v/>
      </c>
      <c r="AB144" s="7" t="inlineStr">
        <is>
          <t>^Warhead_Bullet_Light</t>
        </is>
      </c>
    </row>
    <row r="145">
      <c r="B145" s="7" t="inlineStr">
        <is>
          <t xml:space="preserve">  ↳ RA2vulcan3</t>
        </is>
      </c>
      <c r="C145" s="7" t="inlineStr">
        <is>
          <t>Armament@GARRISONED</t>
        </is>
      </c>
      <c r="L145" s="6" t="n">
        <v>4000</v>
      </c>
      <c r="M145" s="6" t="n">
        <v>50</v>
      </c>
      <c r="N145" s="6" t="n">
        <v>3</v>
      </c>
      <c r="O145" s="6" t="n">
        <v>2</v>
      </c>
      <c r="P145" s="6" t="n">
        <v>5724</v>
      </c>
      <c r="Q145" s="6" t="n">
        <v>0.875</v>
      </c>
      <c r="R145">
        <f>M145+IF(MAX(N145-1,0)&gt;0,IF(ISBLANK(O145),5*MAX(N145-1,0),IF(ISNUMBER(O145),O145*MAX(N145-1,0),SUM(IFERROR(VALUE(TEXTSPLIT(O145,",")),0)))),0)</f>
        <v/>
      </c>
      <c r="S145">
        <f>IFERROR(L145*MAX(N145,1)/R145*IF(ISBLANK(K142),1,K142),0)</f>
        <v/>
      </c>
      <c r="AB145" s="7" t="inlineStr">
        <is>
          <t>^Warhead_Bullet_Light, ^Warhead_Bullet_Medium</t>
        </is>
      </c>
    </row>
    <row r="146">
      <c r="A146" t="inlineStr">
        <is>
          <t>redalert2</t>
        </is>
      </c>
      <c r="B146" t="inlineStr">
        <is>
          <t>yuri_clone</t>
        </is>
      </c>
      <c r="C146" t="inlineStr">
        <is>
          <t>Yuri Clone</t>
        </is>
      </c>
      <c r="D146" s="6" t="inlineStr">
        <is>
          <t>ScoutInfantry</t>
        </is>
      </c>
      <c r="E146" s="6" t="n">
        <v>5000</v>
      </c>
      <c r="F146" s="6" t="n">
        <v>50</v>
      </c>
      <c r="G146" t="inlineStr">
        <is>
          <t>None</t>
        </is>
      </c>
      <c r="H146" s="6" t="n">
        <v>0.8824</v>
      </c>
      <c r="I146" s="6" t="n">
        <v>1</v>
      </c>
      <c r="J146" s="6" t="n">
        <v>1</v>
      </c>
      <c r="P146">
        <f>MAX(P147)</f>
        <v/>
      </c>
      <c r="S146">
        <f>S147</f>
        <v/>
      </c>
      <c r="T146">
        <f>(E146/100000+F146/100+(P146/1000)*J146/5+S146/200)*200*I146*H146</f>
        <v/>
      </c>
      <c r="U146">
        <f>((E146*F146/25000)+((P146/1000)*J146*S146/2.5))*I146*H146</f>
        <v/>
      </c>
      <c r="V146">
        <f>(E146*F146*(P146/1000)*J146*S146*I146*H146)/12500000</f>
        <v/>
      </c>
      <c r="W146">
        <f>IFERROR((((E146/5000)+(F146/50)+(S146/0)+((P146/0)*J146))*500/4+(((E146/5000)*(F146/50))+(((P146/0)*J146)*(S146/0)))*500/2+((E146/5000)*(F146/50)*((P146/0)*J146)*(S146/0))*500)*(H146/1.0)/3,"")</f>
        <v/>
      </c>
      <c r="X146" s="6" t="n">
        <v>500</v>
      </c>
      <c r="Y146">
        <f>IFERROR(W146-X146,"")</f>
        <v/>
      </c>
      <c r="Z146">
        <f>IFERROR(ABS(Y146)/MAX(X146,1),"")</f>
        <v/>
      </c>
      <c r="AA146">
        <f>IFERROR(ROUND(((3*X146-(((E146/5000)+(F146/50)+(S146/0))*500/4+((E146/5000)*(F146/50))*500/2)*(H146/1.0))/(500/4+((S146/0))*500/2+((E146/5000)*(F146/50)*(S146/0))*500)*(H146/1.0)*0)/J146,-1),"")</f>
        <v/>
      </c>
    </row>
    <row r="147">
      <c r="B147" s="7" t="inlineStr">
        <is>
          <t xml:space="preserve">  ↳ RA2MindControl</t>
        </is>
      </c>
      <c r="C147" s="7" t="inlineStr">
        <is>
          <t>Armament@CONTROL</t>
        </is>
      </c>
      <c r="L147" t="n">
        <v>0</v>
      </c>
      <c r="M147" s="6" t="n">
        <v>75</v>
      </c>
      <c r="N147" s="6" t="n">
        <v>1</v>
      </c>
      <c r="O147" s="6" t="n"/>
      <c r="P147" s="6" t="n">
        <v>7000</v>
      </c>
      <c r="Q147" s="6" t="n">
        <v>1</v>
      </c>
      <c r="R147">
        <f>M147+IF(MAX(N147-1,0)&gt;0,IF(ISBLANK(O147),5*MAX(N147-1,0),IF(ISNUMBER(O147),O147*MAX(N147-1,0),SUM(IFERROR(VALUE(TEXTSPLIT(O147,",")),0)))),0)</f>
        <v/>
      </c>
      <c r="S147">
        <f>IFERROR(L147*MAX(N147,1)/R147*IF(ISBLANK(K146),1,K146),0)</f>
        <v/>
      </c>
      <c r="AB147" s="7" t="inlineStr"/>
    </row>
    <row r="148">
      <c r="A148" t="inlineStr">
        <is>
          <t>redalert2mod</t>
        </is>
      </c>
      <c r="B148" t="inlineStr">
        <is>
          <t>asianalliance_asianmilitia</t>
        </is>
      </c>
      <c r="C148" t="inlineStr">
        <is>
          <t>Asian Militia</t>
        </is>
      </c>
      <c r="D148" s="6" t="inlineStr">
        <is>
          <t>ScoutInfantry</t>
        </is>
      </c>
      <c r="E148" s="6" t="n">
        <v>24000</v>
      </c>
      <c r="F148" s="6" t="n">
        <v>53</v>
      </c>
      <c r="G148" t="inlineStr">
        <is>
          <t>None</t>
        </is>
      </c>
      <c r="H148" s="6" t="n">
        <v>1</v>
      </c>
      <c r="I148" s="6" t="n">
        <v>1</v>
      </c>
      <c r="J148" s="6" t="n">
        <v>1</v>
      </c>
      <c r="K148" t="n">
        <v>0.0083</v>
      </c>
      <c r="P148">
        <f>MAX(P149,P150,P151,P152)</f>
        <v/>
      </c>
      <c r="S148">
        <f>S149+S150+S151+S152</f>
        <v/>
      </c>
      <c r="T148">
        <f>(E148/100000+F148/100+(P148/1000)*J148/5+S148/200)*200*I148*H148</f>
        <v/>
      </c>
      <c r="U148">
        <f>((E148*F148/25000)+((P148/1000)*J148*S148/2.5))*I148*H148</f>
        <v/>
      </c>
      <c r="V148">
        <f>(E148*F148*(P148/1000)*J148*S148*I148*H148)/12500000</f>
        <v/>
      </c>
      <c r="W148">
        <f>IFERROR((((E148/20000)+(F148/60)+(S148/60)+((P148/5000)*J148))*100/4+(((E148/20000)*(F148/60))+(((P148/5000)*J148)*(S148/60)))*100/2+((E148/20000)*(F148/60)*((P148/5000)*J148)*(S148/60))*100)*(H148/1.0)/3,"")</f>
        <v/>
      </c>
      <c r="X148" s="6" t="n">
        <v>110</v>
      </c>
      <c r="Y148">
        <f>IFERROR(W148-X148,"")</f>
        <v/>
      </c>
      <c r="Z148">
        <f>IFERROR(ABS(Y148)/MAX(X148,1),"")</f>
        <v/>
      </c>
      <c r="AA148">
        <f>IFERROR(ROUND(((3*X148-(((E148/20000)+(F148/60)+(S148/60))*100/4+((E148/20000)*(F148/60))*100/2)*(H148/1.0))/(100/4+((S148/60))*100/2+((E148/20000)*(F148/60)*(S148/60))*100)*(H148/1.0)*5000)/J148,-1),"")</f>
        <v/>
      </c>
    </row>
    <row r="149">
      <c r="B149" s="7" t="inlineStr">
        <is>
          <t xml:space="preserve">  ↳ asianalliance_asianmilitia_shotgun</t>
        </is>
      </c>
      <c r="C149" s="7" t="inlineStr">
        <is>
          <t>Armament@PRIMARY</t>
        </is>
      </c>
      <c r="L149" s="6" t="n">
        <v>6000</v>
      </c>
      <c r="M149" s="6" t="n">
        <v>50</v>
      </c>
      <c r="N149" s="6" t="n">
        <v>1</v>
      </c>
      <c r="O149" s="6" t="n"/>
      <c r="P149" s="6" t="n">
        <v>4500</v>
      </c>
      <c r="Q149" s="6" t="n">
        <v>0.75</v>
      </c>
      <c r="R149">
        <f>M149+IF(MAX(N149-1,0)&gt;0,IF(ISBLANK(O149),5*MAX(N149-1,0),IF(ISNUMBER(O149),O149*MAX(N149-1,0),SUM(IFERROR(VALUE(TEXTSPLIT(O149,",")),0)))),0)</f>
        <v/>
      </c>
      <c r="S149">
        <f>IFERROR(L149*MAX(N149,1)/R149*IF(ISBLANK(K148),1,K148),0)</f>
        <v/>
      </c>
      <c r="AB149" s="7" t="inlineStr">
        <is>
          <t>^Warhead_Bullet_Light</t>
        </is>
      </c>
    </row>
    <row r="150">
      <c r="B150" s="7" t="inlineStr">
        <is>
          <t xml:space="preserve">  ↳ asianalliance_asianmilitia_shotgun_elite</t>
        </is>
      </c>
      <c r="C150" s="7" t="inlineStr">
        <is>
          <t>Armament@ELITE</t>
        </is>
      </c>
      <c r="L150" s="6" t="n">
        <v>6000</v>
      </c>
      <c r="M150" s="6" t="n">
        <v>50</v>
      </c>
      <c r="N150" s="6" t="n">
        <v>2</v>
      </c>
      <c r="O150" s="6" t="n">
        <v>3</v>
      </c>
      <c r="P150" s="6" t="n">
        <v>5500</v>
      </c>
      <c r="Q150" s="6" t="n">
        <v>0.75</v>
      </c>
      <c r="R150">
        <f>M150+IF(MAX(N150-1,0)&gt;0,IF(ISBLANK(O150),5*MAX(N150-1,0),IF(ISNUMBER(O150),O150*MAX(N150-1,0),SUM(IFERROR(VALUE(TEXTSPLIT(O150,",")),0)))),0)</f>
        <v/>
      </c>
      <c r="S150">
        <f>IFERROR(L150*MAX(N150,1)/R150*IF(ISBLANK(K148),1,K148),0)</f>
        <v/>
      </c>
      <c r="AB150" s="7" t="inlineStr">
        <is>
          <t>^Warhead_Bullet_Light</t>
        </is>
      </c>
    </row>
    <row r="151">
      <c r="B151" s="7" t="inlineStr">
        <is>
          <t xml:space="preserve">  ↳ asianalliance_asianmilitia_grenade</t>
        </is>
      </c>
      <c r="C151" s="7" t="inlineStr">
        <is>
          <t>Armament@GRENADE</t>
        </is>
      </c>
      <c r="L151" s="6" t="n">
        <v>8000</v>
      </c>
      <c r="M151" s="6" t="n">
        <v>92</v>
      </c>
      <c r="N151" s="6" t="n">
        <v>1</v>
      </c>
      <c r="O151" s="6" t="n"/>
      <c r="P151" s="6" t="n">
        <v>4500</v>
      </c>
      <c r="Q151" s="6" t="n">
        <v>1</v>
      </c>
      <c r="R151">
        <f>M151+IF(MAX(N151-1,0)&gt;0,IF(ISBLANK(O151),5*MAX(N151-1,0),IF(ISNUMBER(O151),O151*MAX(N151-1,0),SUM(IFERROR(VALUE(TEXTSPLIT(O151,",")),0)))),0)</f>
        <v/>
      </c>
      <c r="S151">
        <f>IFERROR(L151*MAX(N151,1)/R151*IF(ISBLANK(K148),1,K148),0)</f>
        <v/>
      </c>
      <c r="AB151" s="7" t="inlineStr">
        <is>
          <t>^Warhead_Concussion_Medium, ^Warhead_CannonHE_Medium</t>
        </is>
      </c>
    </row>
    <row r="152">
      <c r="B152" s="7" t="inlineStr">
        <is>
          <t xml:space="preserve">  ↳ asianalliance_asianmilitia_grenade_elite</t>
        </is>
      </c>
      <c r="C152" s="7" t="inlineStr">
        <is>
          <t>Armament@GRENADEELITE</t>
        </is>
      </c>
      <c r="L152" s="6" t="n">
        <v>8000</v>
      </c>
      <c r="M152" s="6" t="n">
        <v>92</v>
      </c>
      <c r="N152" s="6" t="n">
        <v>2</v>
      </c>
      <c r="O152" s="6" t="n">
        <v>3</v>
      </c>
      <c r="P152" s="6" t="n">
        <v>5500</v>
      </c>
      <c r="Q152" s="6" t="n">
        <v>1</v>
      </c>
      <c r="R152">
        <f>M152+IF(MAX(N152-1,0)&gt;0,IF(ISBLANK(O152),5*MAX(N152-1,0),IF(ISNUMBER(O152),O152*MAX(N152-1,0),SUM(IFERROR(VALUE(TEXTSPLIT(O152,",")),0)))),0)</f>
        <v/>
      </c>
      <c r="S152">
        <f>IFERROR(L152*MAX(N152,1)/R152*IF(ISBLANK(K148),1,K148),0)</f>
        <v/>
      </c>
      <c r="AB152" s="7" t="inlineStr">
        <is>
          <t>^Warhead_Concussion_Medium, ^Warhead_CannonHE_Medium</t>
        </is>
      </c>
    </row>
    <row r="153">
      <c r="B153" s="7" t="inlineStr">
        <is>
          <t xml:space="preserve">  ↳ asianalliance_asianmilitia_shotgun</t>
        </is>
      </c>
      <c r="C153" s="7" t="inlineStr">
        <is>
          <t>Armament@GARRISONED</t>
        </is>
      </c>
      <c r="L153" s="6" t="n">
        <v>6000</v>
      </c>
      <c r="M153" s="6" t="n">
        <v>50</v>
      </c>
      <c r="N153" s="6" t="n">
        <v>1</v>
      </c>
      <c r="O153" s="6" t="n"/>
      <c r="P153" s="6" t="n">
        <v>4500</v>
      </c>
      <c r="Q153" s="6" t="n">
        <v>0.75</v>
      </c>
      <c r="R153">
        <f>M153+IF(MAX(N153-1,0)&gt;0,IF(ISBLANK(O153),5*MAX(N153-1,0),IF(ISNUMBER(O153),O153*MAX(N153-1,0),SUM(IFERROR(VALUE(TEXTSPLIT(O153,",")),0)))),0)</f>
        <v/>
      </c>
      <c r="S153">
        <f>IFERROR(L153*MAX(N153,1)/R153*IF(ISBLANK(K148),1,K148),0)</f>
        <v/>
      </c>
      <c r="AB153" s="7" t="inlineStr">
        <is>
          <t>^Warhead_Bullet_Light</t>
        </is>
      </c>
    </row>
    <row r="154">
      <c r="B154" s="7" t="inlineStr">
        <is>
          <t xml:space="preserve">  ↳ asianalliance_asianmilitia_shotgun_elite</t>
        </is>
      </c>
      <c r="C154" s="7" t="inlineStr">
        <is>
          <t>Armament@GARRISONEDELITE</t>
        </is>
      </c>
      <c r="L154" s="6" t="n">
        <v>6000</v>
      </c>
      <c r="M154" s="6" t="n">
        <v>50</v>
      </c>
      <c r="N154" s="6" t="n">
        <v>2</v>
      </c>
      <c r="O154" s="6" t="n">
        <v>3</v>
      </c>
      <c r="P154" s="6" t="n">
        <v>5500</v>
      </c>
      <c r="Q154" s="6" t="n">
        <v>0.75</v>
      </c>
      <c r="R154">
        <f>M154+IF(MAX(N154-1,0)&gt;0,IF(ISBLANK(O154),5*MAX(N154-1,0),IF(ISNUMBER(O154),O154*MAX(N154-1,0),SUM(IFERROR(VALUE(TEXTSPLIT(O154,",")),0)))),0)</f>
        <v/>
      </c>
      <c r="S154">
        <f>IFERROR(L154*MAX(N154,1)/R154*IF(ISBLANK(K148),1,K148),0)</f>
        <v/>
      </c>
      <c r="AB154" s="7" t="inlineStr">
        <is>
          <t>^Warhead_Bullet_Light</t>
        </is>
      </c>
    </row>
    <row r="155">
      <c r="B155" s="7" t="inlineStr">
        <is>
          <t xml:space="preserve">  ↳ asianalliance_asianmilitia_grenade</t>
        </is>
      </c>
      <c r="C155" s="7" t="inlineStr">
        <is>
          <t>Armament@GRENADEG</t>
        </is>
      </c>
      <c r="L155" s="6" t="n">
        <v>8000</v>
      </c>
      <c r="M155" s="6" t="n">
        <v>92</v>
      </c>
      <c r="N155" s="6" t="n">
        <v>1</v>
      </c>
      <c r="O155" s="6" t="n"/>
      <c r="P155" s="6" t="n">
        <v>4500</v>
      </c>
      <c r="Q155" s="6" t="n">
        <v>1</v>
      </c>
      <c r="R155">
        <f>M155+IF(MAX(N155-1,0)&gt;0,IF(ISBLANK(O155),5*MAX(N155-1,0),IF(ISNUMBER(O155),O155*MAX(N155-1,0),SUM(IFERROR(VALUE(TEXTSPLIT(O155,",")),0)))),0)</f>
        <v/>
      </c>
      <c r="S155">
        <f>IFERROR(L155*MAX(N155,1)/R155*IF(ISBLANK(K148),1,K148),0)</f>
        <v/>
      </c>
      <c r="AB155" s="7" t="inlineStr">
        <is>
          <t>^Warhead_Concussion_Medium, ^Warhead_CannonHE_Medium</t>
        </is>
      </c>
    </row>
    <row r="156">
      <c r="B156" s="7" t="inlineStr">
        <is>
          <t xml:space="preserve">  ↳ asianalliance_asianmilitia_grenade_elite</t>
        </is>
      </c>
      <c r="C156" s="7" t="inlineStr">
        <is>
          <t>Armament@GRENADEGE</t>
        </is>
      </c>
      <c r="L156" s="6" t="n">
        <v>8000</v>
      </c>
      <c r="M156" s="6" t="n">
        <v>92</v>
      </c>
      <c r="N156" s="6" t="n">
        <v>2</v>
      </c>
      <c r="O156" s="6" t="n">
        <v>3</v>
      </c>
      <c r="P156" s="6" t="n">
        <v>5500</v>
      </c>
      <c r="Q156" s="6" t="n">
        <v>1</v>
      </c>
      <c r="R156">
        <f>M156+IF(MAX(N156-1,0)&gt;0,IF(ISBLANK(O156),5*MAX(N156-1,0),IF(ISNUMBER(O156),O156*MAX(N156-1,0),SUM(IFERROR(VALUE(TEXTSPLIT(O156,",")),0)))),0)</f>
        <v/>
      </c>
      <c r="S156">
        <f>IFERROR(L156*MAX(N156,1)/R156*IF(ISBLANK(K148),1,K148),0)</f>
        <v/>
      </c>
      <c r="AB156" s="7" t="inlineStr">
        <is>
          <t>^Warhead_Concussion_Medium, ^Warhead_CannonHE_Medium</t>
        </is>
      </c>
    </row>
    <row r="157">
      <c r="A157" t="inlineStr">
        <is>
          <t>redalert2mod</t>
        </is>
      </c>
      <c r="B157" t="inlineStr">
        <is>
          <t>latinsyndicate_latinmilitia</t>
        </is>
      </c>
      <c r="C157" t="inlineStr">
        <is>
          <t>Latin Militia</t>
        </is>
      </c>
      <c r="D157" s="6" t="inlineStr">
        <is>
          <t>ScoutInfantry</t>
        </is>
      </c>
      <c r="E157" s="6" t="n">
        <v>25000</v>
      </c>
      <c r="F157" s="6" t="n">
        <v>51</v>
      </c>
      <c r="G157" t="inlineStr">
        <is>
          <t>None</t>
        </is>
      </c>
      <c r="H157" s="6" t="n">
        <v>1</v>
      </c>
      <c r="I157" s="6" t="n">
        <v>1</v>
      </c>
      <c r="J157" s="6" t="n">
        <v>1</v>
      </c>
      <c r="K157" t="n">
        <v>0.0039</v>
      </c>
      <c r="P157">
        <f>MAX(P158,P159,P160,P161)</f>
        <v/>
      </c>
      <c r="S157">
        <f>S158+S159+S160+S161</f>
        <v/>
      </c>
      <c r="T157">
        <f>(E157/100000+F157/100+(P157/1000)*J157/5+S157/200)*200*I157*H157</f>
        <v/>
      </c>
      <c r="U157">
        <f>((E157*F157/25000)+((P157/1000)*J157*S157/2.5))*I157*H157</f>
        <v/>
      </c>
      <c r="V157">
        <f>(E157*F157*(P157/1000)*J157*S157*I157*H157)/12500000</f>
        <v/>
      </c>
      <c r="W157">
        <f>IFERROR((((E157/20000)+(F157/60)+(S157/60)+((P157/5000)*J157))*100/4+(((E157/20000)*(F157/60))+(((P157/5000)*J157)*(S157/60)))*100/2+((E157/20000)*(F157/60)*((P157/5000)*J157)*(S157/60))*100)*(H157/1.0)/3,"")</f>
        <v/>
      </c>
      <c r="X157" s="6" t="n">
        <v>130</v>
      </c>
      <c r="Y157">
        <f>IFERROR(W157-X157,"")</f>
        <v/>
      </c>
      <c r="Z157">
        <f>IFERROR(ABS(Y157)/MAX(X157,1),"")</f>
        <v/>
      </c>
      <c r="AA157">
        <f>IFERROR(ROUND(((3*X157-(((E157/20000)+(F157/60)+(S157/60))*100/4+((E157/20000)*(F157/60))*100/2)*(H157/1.0))/(100/4+((S157/60))*100/2+((E157/20000)*(F157/60)*(S157/60))*100)*(H157/1.0)*5000)/J157,-1),"")</f>
        <v/>
      </c>
    </row>
    <row r="158">
      <c r="B158" s="7" t="inlineStr">
        <is>
          <t xml:space="preserve">  ↳ latinsyndicate_latinmilitia_ak47</t>
        </is>
      </c>
      <c r="C158" s="7" t="inlineStr">
        <is>
          <t>Armament@PRIMARY</t>
        </is>
      </c>
      <c r="L158" s="6" t="n">
        <v>2000</v>
      </c>
      <c r="M158" s="6" t="n">
        <v>22</v>
      </c>
      <c r="N158" s="6" t="n">
        <v>3</v>
      </c>
      <c r="O158" s="6" t="n">
        <v>4</v>
      </c>
      <c r="P158" s="6" t="n">
        <v>5395</v>
      </c>
      <c r="Q158" s="6" t="n">
        <v>0.75</v>
      </c>
      <c r="R158">
        <f>M158+IF(MAX(N158-1,0)&gt;0,IF(ISBLANK(O158),5*MAX(N158-1,0),IF(ISNUMBER(O158),O158*MAX(N158-1,0),SUM(IFERROR(VALUE(TEXTSPLIT(O158,",")),0)))),0)</f>
        <v/>
      </c>
      <c r="S158">
        <f>IFERROR(L158*MAX(N158,1)/R158*IF(ISBLANK(K157),1,K157),0)</f>
        <v/>
      </c>
      <c r="AB158" s="7" t="inlineStr">
        <is>
          <t>^Warhead_Bullet_Light</t>
        </is>
      </c>
    </row>
    <row r="159">
      <c r="B159" s="7" t="inlineStr">
        <is>
          <t xml:space="preserve">  ↳ latinsyndicate_latinmilitia_ak47_elite</t>
        </is>
      </c>
      <c r="C159" s="7" t="inlineStr">
        <is>
          <t>Armament@ELITE</t>
        </is>
      </c>
      <c r="L159" s="6" t="n">
        <v>2000</v>
      </c>
      <c r="M159" s="6" t="n">
        <v>22</v>
      </c>
      <c r="N159" s="6" t="n">
        <v>6</v>
      </c>
      <c r="O159" s="6" t="n">
        <v>3</v>
      </c>
      <c r="P159" s="6" t="n">
        <v>5500</v>
      </c>
      <c r="Q159" s="6" t="n">
        <v>0.75</v>
      </c>
      <c r="R159">
        <f>M159+IF(MAX(N159-1,0)&gt;0,IF(ISBLANK(O159),5*MAX(N159-1,0),IF(ISNUMBER(O159),O159*MAX(N159-1,0),SUM(IFERROR(VALUE(TEXTSPLIT(O159,",")),0)))),0)</f>
        <v/>
      </c>
      <c r="S159">
        <f>IFERROR(L159*MAX(N159,1)/R159*IF(ISBLANK(K157),1,K157),0)</f>
        <v/>
      </c>
      <c r="AB159" s="7" t="inlineStr">
        <is>
          <t>^Warhead_Bullet_Light</t>
        </is>
      </c>
    </row>
    <row r="160">
      <c r="B160" s="7" t="inlineStr">
        <is>
          <t xml:space="preserve">  ↳ latinsyndicate_latinmilitia_molotov</t>
        </is>
      </c>
      <c r="C160" s="7" t="inlineStr">
        <is>
          <t>Armament@Molotov</t>
        </is>
      </c>
      <c r="L160" s="6" t="n">
        <v>8000</v>
      </c>
      <c r="M160" s="6" t="n">
        <v>93</v>
      </c>
      <c r="N160" s="6" t="n">
        <v>1</v>
      </c>
      <c r="O160" s="6" t="n"/>
      <c r="P160" s="6" t="n">
        <v>4500</v>
      </c>
      <c r="Q160" s="6" t="n">
        <v>0.75</v>
      </c>
      <c r="R160">
        <f>M160+IF(MAX(N160-1,0)&gt;0,IF(ISBLANK(O160),5*MAX(N160-1,0),IF(ISNUMBER(O160),O160*MAX(N160-1,0),SUM(IFERROR(VALUE(TEXTSPLIT(O160,",")),0)))),0)</f>
        <v/>
      </c>
      <c r="S160">
        <f>IFERROR(L160*MAX(N160,1)/R160*IF(ISBLANK(K157),1,K157),0)</f>
        <v/>
      </c>
      <c r="AB160" s="7" t="inlineStr">
        <is>
          <t>^Warhead_Flame_Light, ^Warhead_Demolition_Light</t>
        </is>
      </c>
    </row>
    <row r="161">
      <c r="B161" s="7" t="inlineStr">
        <is>
          <t xml:space="preserve">  ↳ latinsyndicate_latinmilitia_molotov_elite</t>
        </is>
      </c>
      <c r="C161" s="7" t="inlineStr">
        <is>
          <t>Armament@MolotovELITE</t>
        </is>
      </c>
      <c r="L161" s="6" t="n">
        <v>8000</v>
      </c>
      <c r="M161" s="6" t="n">
        <v>93</v>
      </c>
      <c r="N161" s="6" t="n">
        <v>2</v>
      </c>
      <c r="O161" s="6" t="n">
        <v>3</v>
      </c>
      <c r="P161" s="6" t="n">
        <v>5500</v>
      </c>
      <c r="Q161" s="6" t="n">
        <v>0.75</v>
      </c>
      <c r="R161">
        <f>M161+IF(MAX(N161-1,0)&gt;0,IF(ISBLANK(O161),5*MAX(N161-1,0),IF(ISNUMBER(O161),O161*MAX(N161-1,0),SUM(IFERROR(VALUE(TEXTSPLIT(O161,",")),0)))),0)</f>
        <v/>
      </c>
      <c r="S161">
        <f>IFERROR(L161*MAX(N161,1)/R161*IF(ISBLANK(K157),1,K157),0)</f>
        <v/>
      </c>
      <c r="AB161" s="7" t="inlineStr">
        <is>
          <t>^Warhead_Flame_Light, ^Warhead_Demolition_Light</t>
        </is>
      </c>
    </row>
    <row r="162">
      <c r="B162" s="7" t="inlineStr">
        <is>
          <t xml:space="preserve">  ↳ latinsyndicate_latinmilitia_ak47</t>
        </is>
      </c>
      <c r="C162" s="7" t="inlineStr">
        <is>
          <t>Armament@GARRISONED</t>
        </is>
      </c>
      <c r="L162" s="6" t="n">
        <v>2000</v>
      </c>
      <c r="M162" s="6" t="n">
        <v>22</v>
      </c>
      <c r="N162" s="6" t="n">
        <v>3</v>
      </c>
      <c r="O162" s="6" t="n">
        <v>4</v>
      </c>
      <c r="P162" s="6" t="n">
        <v>5395</v>
      </c>
      <c r="Q162" s="6" t="n">
        <v>0.75</v>
      </c>
      <c r="R162">
        <f>M162+IF(MAX(N162-1,0)&gt;0,IF(ISBLANK(O162),5*MAX(N162-1,0),IF(ISNUMBER(O162),O162*MAX(N162-1,0),SUM(IFERROR(VALUE(TEXTSPLIT(O162,",")),0)))),0)</f>
        <v/>
      </c>
      <c r="S162">
        <f>IFERROR(L162*MAX(N162,1)/R162*IF(ISBLANK(K157),1,K157),0)</f>
        <v/>
      </c>
      <c r="AB162" s="7" t="inlineStr">
        <is>
          <t>^Warhead_Bullet_Light</t>
        </is>
      </c>
    </row>
    <row r="163">
      <c r="B163" s="7" t="inlineStr">
        <is>
          <t xml:space="preserve">  ↳ latinsyndicate_latinmilitia_ak47_elite</t>
        </is>
      </c>
      <c r="C163" s="7" t="inlineStr">
        <is>
          <t>Armament@GARRISONEDELITE</t>
        </is>
      </c>
      <c r="L163" s="6" t="n">
        <v>2000</v>
      </c>
      <c r="M163" s="6" t="n">
        <v>22</v>
      </c>
      <c r="N163" s="6" t="n">
        <v>6</v>
      </c>
      <c r="O163" s="6" t="n">
        <v>3</v>
      </c>
      <c r="P163" s="6" t="n">
        <v>5500</v>
      </c>
      <c r="Q163" s="6" t="n">
        <v>0.75</v>
      </c>
      <c r="R163">
        <f>M163+IF(MAX(N163-1,0)&gt;0,IF(ISBLANK(O163),5*MAX(N163-1,0),IF(ISNUMBER(O163),O163*MAX(N163-1,0),SUM(IFERROR(VALUE(TEXTSPLIT(O163,",")),0)))),0)</f>
        <v/>
      </c>
      <c r="S163">
        <f>IFERROR(L163*MAX(N163,1)/R163*IF(ISBLANK(K157),1,K157),0)</f>
        <v/>
      </c>
      <c r="AB163" s="7" t="inlineStr">
        <is>
          <t>^Warhead_Bullet_Light</t>
        </is>
      </c>
    </row>
    <row r="164">
      <c r="B164" s="7" t="inlineStr">
        <is>
          <t xml:space="preserve">  ↳ latinsyndicate_latinmilitia_molotov</t>
        </is>
      </c>
      <c r="C164" s="7" t="inlineStr">
        <is>
          <t>Armament@MolotovGARRISONED</t>
        </is>
      </c>
      <c r="L164" s="6" t="n">
        <v>8000</v>
      </c>
      <c r="M164" s="6" t="n">
        <v>93</v>
      </c>
      <c r="N164" s="6" t="n">
        <v>1</v>
      </c>
      <c r="O164" s="6" t="n"/>
      <c r="P164" s="6" t="n">
        <v>4500</v>
      </c>
      <c r="Q164" s="6" t="n">
        <v>0.75</v>
      </c>
      <c r="R164">
        <f>M164+IF(MAX(N164-1,0)&gt;0,IF(ISBLANK(O164),5*MAX(N164-1,0),IF(ISNUMBER(O164),O164*MAX(N164-1,0),SUM(IFERROR(VALUE(TEXTSPLIT(O164,",")),0)))),0)</f>
        <v/>
      </c>
      <c r="S164">
        <f>IFERROR(L164*MAX(N164,1)/R164*IF(ISBLANK(K157),1,K157),0)</f>
        <v/>
      </c>
      <c r="AB164" s="7" t="inlineStr">
        <is>
          <t>^Warhead_Flame_Light, ^Warhead_Demolition_Light</t>
        </is>
      </c>
    </row>
    <row r="165">
      <c r="B165" s="7" t="inlineStr">
        <is>
          <t xml:space="preserve">  ↳ latinsyndicate_latinmilitia_molotov_elite</t>
        </is>
      </c>
      <c r="C165" s="7" t="inlineStr">
        <is>
          <t>Armament@MolotovGARRISONEDELITE</t>
        </is>
      </c>
      <c r="L165" s="6" t="n">
        <v>8000</v>
      </c>
      <c r="M165" s="6" t="n">
        <v>93</v>
      </c>
      <c r="N165" s="6" t="n">
        <v>2</v>
      </c>
      <c r="O165" s="6" t="n">
        <v>3</v>
      </c>
      <c r="P165" s="6" t="n">
        <v>5500</v>
      </c>
      <c r="Q165" s="6" t="n">
        <v>0.75</v>
      </c>
      <c r="R165">
        <f>M165+IF(MAX(N165-1,0)&gt;0,IF(ISBLANK(O165),5*MAX(N165-1,0),IF(ISNUMBER(O165),O165*MAX(N165-1,0),SUM(IFERROR(VALUE(TEXTSPLIT(O165,",")),0)))),0)</f>
        <v/>
      </c>
      <c r="S165">
        <f>IFERROR(L165*MAX(N165,1)/R165*IF(ISBLANK(K157),1,K157),0)</f>
        <v/>
      </c>
      <c r="AB165" s="7" t="inlineStr">
        <is>
          <t>^Warhead_Flame_Light, ^Warhead_Demolition_Light</t>
        </is>
      </c>
    </row>
    <row r="166">
      <c r="A166" t="inlineStr">
        <is>
          <t>redalert2mod</t>
        </is>
      </c>
      <c r="B166" t="inlineStr">
        <is>
          <t>conehead2.nax</t>
        </is>
      </c>
      <c r="C166" t="inlineStr">
        <is>
          <t>Conehead Leader</t>
        </is>
      </c>
      <c r="D166" s="6" t="inlineStr">
        <is>
          <t>ScoutInfantry</t>
        </is>
      </c>
      <c r="E166" s="6" t="n">
        <v>40000</v>
      </c>
      <c r="F166" s="6" t="n">
        <v>90</v>
      </c>
      <c r="G166" t="inlineStr">
        <is>
          <t>None</t>
        </is>
      </c>
      <c r="H166" s="6" t="n">
        <v>1</v>
      </c>
      <c r="I166" s="6" t="n">
        <v>1</v>
      </c>
      <c r="J166" s="6" t="n">
        <v>1</v>
      </c>
      <c r="P166">
        <f>MAX(P167,P168)</f>
        <v/>
      </c>
      <c r="S166">
        <f>S167+S168</f>
        <v/>
      </c>
      <c r="T166">
        <f>(E166/100000+F166/100+(P166/1000)*J166/5+S166/200)*200*I166*H166</f>
        <v/>
      </c>
      <c r="U166">
        <f>((E166*F166/25000)+((P166/1000)*J166*S166/2.5))*I166*H166</f>
        <v/>
      </c>
      <c r="V166">
        <f>(E166*F166*(P166/1000)*J166*S166*I166*H166)/12500000</f>
        <v/>
      </c>
      <c r="W166">
        <f>IFERROR((((E166/20000)+(F166/60)+(S166/60)+((P166/5000)*J166))*100/4+(((E166/20000)*(F166/60))+(((P166/5000)*J166)*(S166/60)))*100/2+((E166/20000)*(F166/60)*((P166/5000)*J166)*(S166/60))*100)*(H166/1.0)/3,"")</f>
        <v/>
      </c>
      <c r="X166" s="6" t="n">
        <v>500</v>
      </c>
      <c r="Y166">
        <f>IFERROR(W166-X166,"")</f>
        <v/>
      </c>
      <c r="Z166">
        <f>IFERROR(ABS(Y166)/MAX(X166,1),"")</f>
        <v/>
      </c>
      <c r="AA166">
        <f>IFERROR(ROUND(((3*X166-(((E166/20000)+(F166/60)+(S166/60))*100/4+((E166/20000)*(F166/60))*100/2)*(H166/1.0))/(100/4+((S166/60))*100/2+((E166/20000)*(F166/60)*(S166/60))*100)*(H166/1.0)*5000)/J166,-1),"")</f>
        <v/>
      </c>
    </row>
    <row r="167">
      <c r="B167" s="7" t="inlineStr">
        <is>
          <t xml:space="preserve">  ↳ RA2PortaTesla</t>
        </is>
      </c>
      <c r="C167" s="7" t="inlineStr">
        <is>
          <t>Armament@PRIMARY</t>
        </is>
      </c>
      <c r="L167" s="6" t="n">
        <v>24000</v>
      </c>
      <c r="M167" s="6" t="n">
        <v>100</v>
      </c>
      <c r="N167" s="6" t="n">
        <v>1</v>
      </c>
      <c r="O167" s="6" t="n"/>
      <c r="P167" s="6" t="n">
        <v>5222</v>
      </c>
      <c r="Q167" s="6" t="n">
        <v>1.25</v>
      </c>
      <c r="R167">
        <f>M167+IF(MAX(N167-1,0)&gt;0,IF(ISBLANK(O167),5*MAX(N167-1,0),IF(ISNUMBER(O167),O167*MAX(N167-1,0),SUM(IFERROR(VALUE(TEXTSPLIT(O167,",")),0)))),0)</f>
        <v/>
      </c>
      <c r="S167">
        <f>IFERROR(L167*MAX(N167,1)/R167*IF(ISBLANK(K166),1,K166),0)</f>
        <v/>
      </c>
      <c r="AB167" s="7" t="inlineStr">
        <is>
          <t>^Warhead_Tesla_Heavy</t>
        </is>
      </c>
    </row>
    <row r="168">
      <c r="B168" s="7" t="inlineStr">
        <is>
          <t xml:space="preserve">  ↳ RA2PortaTesla</t>
        </is>
      </c>
      <c r="C168" s="7" t="inlineStr">
        <is>
          <t>Armament@ELITE</t>
        </is>
      </c>
      <c r="L168" s="6" t="n">
        <v>24000</v>
      </c>
      <c r="M168" s="6" t="n">
        <v>100</v>
      </c>
      <c r="N168" s="6" t="n">
        <v>1</v>
      </c>
      <c r="O168" s="6" t="n"/>
      <c r="P168" s="6" t="n">
        <v>5222</v>
      </c>
      <c r="Q168" s="6" t="n">
        <v>1.25</v>
      </c>
      <c r="R168">
        <f>M168+IF(MAX(N168-1,0)&gt;0,IF(ISBLANK(O168),5*MAX(N168-1,0),IF(ISNUMBER(O168),O168*MAX(N168-1,0),SUM(IFERROR(VALUE(TEXTSPLIT(O168,",")),0)))),0)</f>
        <v/>
      </c>
      <c r="S168">
        <f>IFERROR(L168*MAX(N168,1)/R168*IF(ISBLANK(K166),1,K166),0)</f>
        <v/>
      </c>
      <c r="AB168" s="7" t="inlineStr">
        <is>
          <t>^Warhead_Tesla_Heavy</t>
        </is>
      </c>
    </row>
    <row r="169">
      <c r="B169" s="7" t="inlineStr">
        <is>
          <t xml:space="preserve">  ↳ RA2PortaTesla</t>
        </is>
      </c>
      <c r="C169" s="7" t="inlineStr">
        <is>
          <t>Armament@GARRISONED</t>
        </is>
      </c>
      <c r="L169" s="6" t="n">
        <v>24000</v>
      </c>
      <c r="M169" s="6" t="n">
        <v>100</v>
      </c>
      <c r="N169" s="6" t="n">
        <v>1</v>
      </c>
      <c r="O169" s="6" t="n"/>
      <c r="P169" s="6" t="n">
        <v>5222</v>
      </c>
      <c r="Q169" s="6" t="n">
        <v>1.25</v>
      </c>
      <c r="R169">
        <f>M169+IF(MAX(N169-1,0)&gt;0,IF(ISBLANK(O169),5*MAX(N169-1,0),IF(ISNUMBER(O169),O169*MAX(N169-1,0),SUM(IFERROR(VALUE(TEXTSPLIT(O169,",")),0)))),0)</f>
        <v/>
      </c>
      <c r="S169">
        <f>IFERROR(L169*MAX(N169,1)/R169*IF(ISBLANK(K166),1,K166),0)</f>
        <v/>
      </c>
      <c r="AB169" s="7" t="inlineStr">
        <is>
          <t>^Warhead_Tesla_Heavy</t>
        </is>
      </c>
    </row>
    <row r="170">
      <c r="B170" s="7" t="inlineStr">
        <is>
          <t xml:space="preserve">  ↳ RA2PortaTesla</t>
        </is>
      </c>
      <c r="C170" s="7" t="inlineStr">
        <is>
          <t>Armament@GARRISONEDELITE</t>
        </is>
      </c>
      <c r="L170" s="6" t="n">
        <v>24000</v>
      </c>
      <c r="M170" s="6" t="n">
        <v>100</v>
      </c>
      <c r="N170" s="6" t="n">
        <v>1</v>
      </c>
      <c r="O170" s="6" t="n"/>
      <c r="P170" s="6" t="n">
        <v>5222</v>
      </c>
      <c r="Q170" s="6" t="n">
        <v>1.25</v>
      </c>
      <c r="R170">
        <f>M170+IF(MAX(N170-1,0)&gt;0,IF(ISBLANK(O170),5*MAX(N170-1,0),IF(ISNUMBER(O170),O170*MAX(N170-1,0),SUM(IFERROR(VALUE(TEXTSPLIT(O170,",")),0)))),0)</f>
        <v/>
      </c>
      <c r="S170">
        <f>IFERROR(L170*MAX(N170,1)/R170*IF(ISBLANK(K166),1,K166),0)</f>
        <v/>
      </c>
      <c r="AB170" s="7" t="inlineStr">
        <is>
          <t>^Warhead_Tesla_Heavy</t>
        </is>
      </c>
    </row>
    <row r="171">
      <c r="A171" t="inlineStr">
        <is>
          <t>redalert2mod</t>
        </is>
      </c>
      <c r="B171" t="inlineStr">
        <is>
          <t>naxis_coneheadsknights</t>
        </is>
      </c>
      <c r="C171" t="inlineStr">
        <is>
          <t>Coneheads Knights</t>
        </is>
      </c>
      <c r="D171" s="6" t="inlineStr">
        <is>
          <t>ScoutInfantry</t>
        </is>
      </c>
      <c r="E171" s="6" t="n">
        <v>20000</v>
      </c>
      <c r="F171" s="6" t="n">
        <v>90</v>
      </c>
      <c r="G171" t="inlineStr">
        <is>
          <t>None</t>
        </is>
      </c>
      <c r="H171" s="6" t="n">
        <v>0.6322</v>
      </c>
      <c r="I171" s="6" t="n">
        <v>1</v>
      </c>
      <c r="J171" s="6" t="n">
        <v>1</v>
      </c>
      <c r="P171">
        <f>MAX(P172)</f>
        <v/>
      </c>
      <c r="S171">
        <f>S172</f>
        <v/>
      </c>
      <c r="T171">
        <f>(E171/100000+F171/100+(P171/1000)*J171/5+S171/200)*200*I171*H171</f>
        <v/>
      </c>
      <c r="U171">
        <f>((E171*F171/25000)+((P171/1000)*J171*S171/2.5))*I171*H171</f>
        <v/>
      </c>
      <c r="V171">
        <f>(E171*F171*(P171/1000)*J171*S171*I171*H171)/12500000</f>
        <v/>
      </c>
      <c r="W171">
        <f>IFERROR((((E171/20000)+(F171/60)+(S171/60)+((P171/5000)*J171))*100/4+(((E171/20000)*(F171/60))+(((P171/5000)*J171)*(S171/60)))*100/2+((E171/20000)*(F171/60)*((P171/5000)*J171)*(S171/60))*100)*(H171/1.0)/3,"")</f>
        <v/>
      </c>
      <c r="X171" s="6" t="n">
        <v>1000</v>
      </c>
      <c r="Y171">
        <f>IFERROR(W171-X171,"")</f>
        <v/>
      </c>
      <c r="Z171">
        <f>IFERROR(ABS(Y171)/MAX(X171,1),"")</f>
        <v/>
      </c>
      <c r="AA171">
        <f>IFERROR(ROUND(((3*X171-(((E171/20000)+(F171/60)+(S171/60))*100/4+((E171/20000)*(F171/60))*100/2)*(H171/1.0))/(100/4+((S171/60))*100/2+((E171/20000)*(F171/60)*(S171/60))*100)*(H171/1.0)*5000)/J171,-1),"")</f>
        <v/>
      </c>
    </row>
    <row r="172">
      <c r="B172" s="7" t="inlineStr">
        <is>
          <t xml:space="preserve">  ↳ wc2gruntslice</t>
        </is>
      </c>
      <c r="C172" s="7" t="inlineStr">
        <is>
          <t>Armament</t>
        </is>
      </c>
      <c r="L172" s="6" t="n">
        <v>16000</v>
      </c>
      <c r="M172" s="6" t="n">
        <v>18</v>
      </c>
      <c r="N172" s="6" t="n">
        <v>1</v>
      </c>
      <c r="O172" s="6" t="n"/>
      <c r="P172" s="6" t="n">
        <v>1555</v>
      </c>
      <c r="Q172" s="6" t="n">
        <v>1</v>
      </c>
      <c r="R172">
        <f>M172+IF(MAX(N172-1,0)&gt;0,IF(ISBLANK(O172),5*MAX(N172-1,0),IF(ISNUMBER(O172),O172*MAX(N172-1,0),SUM(IFERROR(VALUE(TEXTSPLIT(O172,",")),0)))),0)</f>
        <v/>
      </c>
      <c r="S172">
        <f>IFERROR(L172*MAX(N172,1)/R172*IF(ISBLANK(K171),1,K171),0)</f>
        <v/>
      </c>
      <c r="AB172" s="7" t="inlineStr">
        <is>
          <t>^Warhead_Melee_Medium</t>
        </is>
      </c>
    </row>
    <row r="173">
      <c r="B173" s="7" t="inlineStr">
        <is>
          <t xml:space="preserve">  ↳ NaxiRifleCons</t>
        </is>
      </c>
      <c r="C173" s="7" t="inlineStr">
        <is>
          <t>Armament@GARRISONED</t>
        </is>
      </c>
      <c r="L173" s="6" t="n">
        <v>4000</v>
      </c>
      <c r="M173" s="6" t="n">
        <v>100</v>
      </c>
      <c r="N173" s="6" t="n">
        <v>1</v>
      </c>
      <c r="O173" s="6" t="n"/>
      <c r="P173" s="6" t="n">
        <v>5501</v>
      </c>
      <c r="Q173" s="6" t="n">
        <v>0.75</v>
      </c>
      <c r="R173">
        <f>M173+IF(MAX(N173-1,0)&gt;0,IF(ISBLANK(O173),5*MAX(N173-1,0),IF(ISNUMBER(O173),O173*MAX(N173-1,0),SUM(IFERROR(VALUE(TEXTSPLIT(O173,",")),0)))),0)</f>
        <v/>
      </c>
      <c r="S173">
        <f>IFERROR(L173*MAX(N173,1)/R173*IF(ISBLANK(K171),1,K171),0)</f>
        <v/>
      </c>
      <c r="AB173" s="7" t="inlineStr">
        <is>
          <t>^Warhead_Bullet_Light</t>
        </is>
      </c>
    </row>
    <row r="174">
      <c r="B174" s="7" t="inlineStr">
        <is>
          <t xml:space="preserve">  ↳ NaxiRifleCons_elite</t>
        </is>
      </c>
      <c r="C174" s="7" t="inlineStr">
        <is>
          <t>Armament@GARRISONEDELITE</t>
        </is>
      </c>
      <c r="L174" s="6" t="n">
        <v>4000</v>
      </c>
      <c r="M174" s="6" t="n">
        <v>100</v>
      </c>
      <c r="N174" s="6" t="n">
        <v>2</v>
      </c>
      <c r="O174" s="6" t="n">
        <v>3</v>
      </c>
      <c r="P174" s="6" t="n">
        <v>6501</v>
      </c>
      <c r="Q174" s="6" t="n">
        <v>0.75</v>
      </c>
      <c r="R174">
        <f>M174+IF(MAX(N174-1,0)&gt;0,IF(ISBLANK(O174),5*MAX(N174-1,0),IF(ISNUMBER(O174),O174*MAX(N174-1,0),SUM(IFERROR(VALUE(TEXTSPLIT(O174,",")),0)))),0)</f>
        <v/>
      </c>
      <c r="S174">
        <f>IFERROR(L174*MAX(N174,1)/R174*IF(ISBLANK(K171),1,K171),0)</f>
        <v/>
      </c>
      <c r="AB174" s="7" t="inlineStr">
        <is>
          <t>^Warhead_Bullet_Light</t>
        </is>
      </c>
    </row>
    <row r="175">
      <c r="A175" t="inlineStr">
        <is>
          <t>redalert2mod</t>
        </is>
      </c>
      <c r="B175" t="inlineStr">
        <is>
          <t>naxis_naxiriflerecruit</t>
        </is>
      </c>
      <c r="C175" t="inlineStr">
        <is>
          <t>Naxi Rifle Recruit</t>
        </is>
      </c>
      <c r="D175" s="6" t="inlineStr">
        <is>
          <t>ScoutInfantry</t>
        </is>
      </c>
      <c r="E175" s="6" t="n">
        <v>21000</v>
      </c>
      <c r="F175" s="6" t="n">
        <v>48</v>
      </c>
      <c r="G175" t="inlineStr">
        <is>
          <t>None</t>
        </is>
      </c>
      <c r="H175" s="6" t="n">
        <v>1</v>
      </c>
      <c r="I175" s="6" t="n">
        <v>1</v>
      </c>
      <c r="J175" s="6" t="n">
        <v>1</v>
      </c>
      <c r="K175" t="n">
        <v>0.0067</v>
      </c>
      <c r="P175">
        <f>MAX(P176,P177)</f>
        <v/>
      </c>
      <c r="S175">
        <f>S176+S177</f>
        <v/>
      </c>
      <c r="T175">
        <f>(E175/100000+F175/100+(P175/1000)*J175/5+S175/200)*200*I175*H175</f>
        <v/>
      </c>
      <c r="U175">
        <f>((E175*F175/25000)+((P175/1000)*J175*S175/2.5))*I175*H175</f>
        <v/>
      </c>
      <c r="V175">
        <f>(E175*F175*(P175/1000)*J175*S175*I175*H175)/12500000</f>
        <v/>
      </c>
      <c r="W175">
        <f>IFERROR((((E175/20000)+(F175/60)+(S175/60)+((P175/5000)*J175))*100/4+(((E175/20000)*(F175/60))+(((P175/5000)*J175)*(S175/60)))*100/2+((E175/20000)*(F175/60)*((P175/5000)*J175)*(S175/60))*100)*(H175/1.0)/3,"")</f>
        <v/>
      </c>
      <c r="X175" s="6" t="n">
        <v>75</v>
      </c>
      <c r="Y175">
        <f>IFERROR(W175-X175,"")</f>
        <v/>
      </c>
      <c r="Z175">
        <f>IFERROR(ABS(Y175)/MAX(X175,1),"")</f>
        <v/>
      </c>
      <c r="AA175">
        <f>IFERROR(ROUND(((3*X175-(((E175/20000)+(F175/60)+(S175/60))*100/4+((E175/20000)*(F175/60))*100/2)*(H175/1.0))/(100/4+((S175/60))*100/2+((E175/20000)*(F175/60)*(S175/60))*100)*(H175/1.0)*5000)/J175,-1),"")</f>
        <v/>
      </c>
    </row>
    <row r="176">
      <c r="B176" s="7" t="inlineStr">
        <is>
          <t xml:space="preserve">  ↳ naxis_naxiriflerecruit_rifle</t>
        </is>
      </c>
      <c r="C176" s="7" t="inlineStr">
        <is>
          <t>Armament@PRIMARY</t>
        </is>
      </c>
      <c r="L176" s="6" t="n">
        <v>8000</v>
      </c>
      <c r="M176" s="6" t="n">
        <v>100</v>
      </c>
      <c r="N176" s="6" t="n">
        <v>1</v>
      </c>
      <c r="O176" s="6" t="n"/>
      <c r="P176" s="6" t="n">
        <v>5227</v>
      </c>
      <c r="Q176" s="6" t="n">
        <v>0.75</v>
      </c>
      <c r="R176">
        <f>M176+IF(MAX(N176-1,0)&gt;0,IF(ISBLANK(O176),5*MAX(N176-1,0),IF(ISNUMBER(O176),O176*MAX(N176-1,0),SUM(IFERROR(VALUE(TEXTSPLIT(O176,",")),0)))),0)</f>
        <v/>
      </c>
      <c r="S176">
        <f>IFERROR(L176*MAX(N176,1)/R176*IF(ISBLANK(K175),1,K175),0)</f>
        <v/>
      </c>
      <c r="AB176" s="7" t="inlineStr">
        <is>
          <t>^Warhead_Bullet_Light</t>
        </is>
      </c>
    </row>
    <row r="177">
      <c r="B177" s="7" t="inlineStr">
        <is>
          <t xml:space="preserve">  ↳ naxis_naxiriflerecruit_rifle_elite</t>
        </is>
      </c>
      <c r="C177" s="7" t="inlineStr">
        <is>
          <t>Armament@ELITE</t>
        </is>
      </c>
      <c r="L177" s="6" t="n">
        <v>8000</v>
      </c>
      <c r="M177" s="6" t="n">
        <v>100</v>
      </c>
      <c r="N177" s="6" t="n">
        <v>2</v>
      </c>
      <c r="O177" s="6" t="n">
        <v>3</v>
      </c>
      <c r="P177" s="6" t="n">
        <v>6500</v>
      </c>
      <c r="Q177" s="6" t="n">
        <v>0.75</v>
      </c>
      <c r="R177">
        <f>M177+IF(MAX(N177-1,0)&gt;0,IF(ISBLANK(O177),5*MAX(N177-1,0),IF(ISNUMBER(O177),O177*MAX(N177-1,0),SUM(IFERROR(VALUE(TEXTSPLIT(O177,",")),0)))),0)</f>
        <v/>
      </c>
      <c r="S177">
        <f>IFERROR(L177*MAX(N177,1)/R177*IF(ISBLANK(K175),1,K175),0)</f>
        <v/>
      </c>
      <c r="AB177" s="7" t="inlineStr">
        <is>
          <t>^Warhead_Bullet_Light</t>
        </is>
      </c>
    </row>
    <row r="178">
      <c r="B178" s="7" t="inlineStr">
        <is>
          <t xml:space="preserve">  ↳ naxis_naxiriflerecruit_rifle</t>
        </is>
      </c>
      <c r="C178" s="7" t="inlineStr">
        <is>
          <t>Armament@GARRISONED</t>
        </is>
      </c>
      <c r="L178" s="6" t="n">
        <v>8000</v>
      </c>
      <c r="M178" s="6" t="n">
        <v>100</v>
      </c>
      <c r="N178" s="6" t="n">
        <v>1</v>
      </c>
      <c r="O178" s="6" t="n"/>
      <c r="P178" s="6" t="n">
        <v>5227</v>
      </c>
      <c r="Q178" s="6" t="n">
        <v>0.75</v>
      </c>
      <c r="R178">
        <f>M178+IF(MAX(N178-1,0)&gt;0,IF(ISBLANK(O178),5*MAX(N178-1,0),IF(ISNUMBER(O178),O178*MAX(N178-1,0),SUM(IFERROR(VALUE(TEXTSPLIT(O178,",")),0)))),0)</f>
        <v/>
      </c>
      <c r="S178">
        <f>IFERROR(L178*MAX(N178,1)/R178*IF(ISBLANK(K175),1,K175),0)</f>
        <v/>
      </c>
      <c r="AB178" s="7" t="inlineStr">
        <is>
          <t>^Warhead_Bullet_Light</t>
        </is>
      </c>
    </row>
    <row r="179">
      <c r="B179" s="7" t="inlineStr">
        <is>
          <t xml:space="preserve">  ↳ naxis_naxiriflerecruit_rifle_elite</t>
        </is>
      </c>
      <c r="C179" s="7" t="inlineStr">
        <is>
          <t>Armament@GARRISONEDELITE</t>
        </is>
      </c>
      <c r="L179" s="6" t="n">
        <v>8000</v>
      </c>
      <c r="M179" s="6" t="n">
        <v>100</v>
      </c>
      <c r="N179" s="6" t="n">
        <v>2</v>
      </c>
      <c r="O179" s="6" t="n">
        <v>3</v>
      </c>
      <c r="P179" s="6" t="n">
        <v>6500</v>
      </c>
      <c r="Q179" s="6" t="n">
        <v>0.75</v>
      </c>
      <c r="R179">
        <f>M179+IF(MAX(N179-1,0)&gt;0,IF(ISBLANK(O179),5*MAX(N179-1,0),IF(ISNUMBER(O179),O179*MAX(N179-1,0),SUM(IFERROR(VALUE(TEXTSPLIT(O179,",")),0)))),0)</f>
        <v/>
      </c>
      <c r="S179">
        <f>IFERROR(L179*MAX(N179,1)/R179*IF(ISBLANK(K175),1,K175),0)</f>
        <v/>
      </c>
      <c r="AB179" s="7" t="inlineStr">
        <is>
          <t>^Warhead_Bullet_Light</t>
        </is>
      </c>
    </row>
    <row r="180">
      <c r="A180" t="inlineStr">
        <is>
          <t>redalert2mod</t>
        </is>
      </c>
      <c r="B180" t="inlineStr">
        <is>
          <t>naxis_naxiriflesoldier</t>
        </is>
      </c>
      <c r="C180" t="inlineStr">
        <is>
          <t>Naxi Rifle Soldier</t>
        </is>
      </c>
      <c r="D180" s="6" t="inlineStr">
        <is>
          <t>ScoutInfantry</t>
        </is>
      </c>
      <c r="E180" s="6" t="n">
        <v>20000</v>
      </c>
      <c r="F180" s="6" t="n">
        <v>60</v>
      </c>
      <c r="G180" t="inlineStr">
        <is>
          <t>None</t>
        </is>
      </c>
      <c r="H180" s="6" t="n">
        <v>1</v>
      </c>
      <c r="I180" s="6" t="n">
        <v>1</v>
      </c>
      <c r="J180" s="6" t="n">
        <v>1</v>
      </c>
      <c r="K180" t="n">
        <v>0.01</v>
      </c>
      <c r="P180">
        <f>MAX(P181,P182)</f>
        <v/>
      </c>
      <c r="S180">
        <f>S181+S182</f>
        <v/>
      </c>
      <c r="T180">
        <f>(E180/100000+F180/100+(P180/1000)*J180/5+S180/200)*200*I180*H180</f>
        <v/>
      </c>
      <c r="U180">
        <f>((E180*F180/25000)+((P180/1000)*J180*S180/2.5))*I180*H180</f>
        <v/>
      </c>
      <c r="V180">
        <f>(E180*F180*(P180/1000)*J180*S180*I180*H180)/12500000</f>
        <v/>
      </c>
      <c r="W180">
        <f>IFERROR((((E180/20000)+(F180/60)+(S180/60)+((P180/5000)*J180))*100/4+(((E180/20000)*(F180/60))+(((P180/5000)*J180)*(S180/60)))*100/2+((E180/20000)*(F180/60)*((P180/5000)*J180)*(S180/60))*100)*(H180/1.0)/3,"")</f>
        <v/>
      </c>
      <c r="X180" s="6" t="n">
        <v>100</v>
      </c>
      <c r="Y180">
        <f>IFERROR(W180-X180,"")</f>
        <v/>
      </c>
      <c r="Z180">
        <f>IFERROR(ABS(Y180)/MAX(X180,1),"")</f>
        <v/>
      </c>
      <c r="AA180">
        <f>IFERROR(ROUND(((3*X180-(((E180/20000)+(F180/60)+(S180/60))*100/4+((E180/20000)*(F180/60))*100/2)*(H180/1.0))/(100/4+((S180/60))*100/2+((E180/20000)*(F180/60)*(S180/60))*100)*(H180/1.0)*5000)/J180,-1),"")</f>
        <v/>
      </c>
    </row>
    <row r="181">
      <c r="B181" s="7" t="inlineStr">
        <is>
          <t xml:space="preserve">  ↳ naxis_naxiriflesoldier_rifle</t>
        </is>
      </c>
      <c r="C181" s="7" t="inlineStr">
        <is>
          <t>Armament@PRIMARY</t>
        </is>
      </c>
      <c r="L181" s="6" t="n">
        <v>4000</v>
      </c>
      <c r="M181" s="6" t="n">
        <v>50</v>
      </c>
      <c r="N181" s="6" t="n">
        <v>1</v>
      </c>
      <c r="O181" s="6" t="n"/>
      <c r="P181" s="6" t="n">
        <v>5000</v>
      </c>
      <c r="Q181" s="6" t="n">
        <v>0.75</v>
      </c>
      <c r="R181">
        <f>M181+IF(MAX(N181-1,0)&gt;0,IF(ISBLANK(O181),5*MAX(N181-1,0),IF(ISNUMBER(O181),O181*MAX(N181-1,0),SUM(IFERROR(VALUE(TEXTSPLIT(O181,",")),0)))),0)</f>
        <v/>
      </c>
      <c r="S181">
        <f>IFERROR(L181*MAX(N181,1)/R181*IF(ISBLANK(K180),1,K180),0)</f>
        <v/>
      </c>
      <c r="AB181" s="7" t="inlineStr">
        <is>
          <t>^Warhead_Bullet_Light</t>
        </is>
      </c>
    </row>
    <row r="182">
      <c r="B182" s="7" t="inlineStr">
        <is>
          <t xml:space="preserve">  ↳ naxis_naxiriflesoldier_rifle_elite</t>
        </is>
      </c>
      <c r="C182" s="7" t="inlineStr">
        <is>
          <t>Armament@ELITE</t>
        </is>
      </c>
      <c r="L182" s="6" t="n">
        <v>4000</v>
      </c>
      <c r="M182" s="6" t="n">
        <v>50</v>
      </c>
      <c r="N182" s="6" t="n">
        <v>2</v>
      </c>
      <c r="O182" s="6" t="n">
        <v>3</v>
      </c>
      <c r="P182" s="6" t="n">
        <v>6500</v>
      </c>
      <c r="Q182" s="6" t="n">
        <v>0.75</v>
      </c>
      <c r="R182">
        <f>M182+IF(MAX(N182-1,0)&gt;0,IF(ISBLANK(O182),5*MAX(N182-1,0),IF(ISNUMBER(O182),O182*MAX(N182-1,0),SUM(IFERROR(VALUE(TEXTSPLIT(O182,",")),0)))),0)</f>
        <v/>
      </c>
      <c r="S182">
        <f>IFERROR(L182*MAX(N182,1)/R182*IF(ISBLANK(K180),1,K180),0)</f>
        <v/>
      </c>
      <c r="AB182" s="7" t="inlineStr">
        <is>
          <t>^Warhead_Bullet_Light</t>
        </is>
      </c>
    </row>
    <row r="183">
      <c r="B183" s="7" t="inlineStr">
        <is>
          <t xml:space="preserve">  ↳ naxis_naxiriflesoldier_rifle</t>
        </is>
      </c>
      <c r="C183" s="7" t="inlineStr">
        <is>
          <t>Armament@GARRISONED</t>
        </is>
      </c>
      <c r="L183" s="6" t="n">
        <v>4000</v>
      </c>
      <c r="M183" s="6" t="n">
        <v>50</v>
      </c>
      <c r="N183" s="6" t="n">
        <v>1</v>
      </c>
      <c r="O183" s="6" t="n"/>
      <c r="P183" s="6" t="n">
        <v>5000</v>
      </c>
      <c r="Q183" s="6" t="n">
        <v>0.75</v>
      </c>
      <c r="R183">
        <f>M183+IF(MAX(N183-1,0)&gt;0,IF(ISBLANK(O183),5*MAX(N183-1,0),IF(ISNUMBER(O183),O183*MAX(N183-1,0),SUM(IFERROR(VALUE(TEXTSPLIT(O183,",")),0)))),0)</f>
        <v/>
      </c>
      <c r="S183">
        <f>IFERROR(L183*MAX(N183,1)/R183*IF(ISBLANK(K180),1,K180),0)</f>
        <v/>
      </c>
      <c r="AB183" s="7" t="inlineStr">
        <is>
          <t>^Warhead_Bullet_Light</t>
        </is>
      </c>
    </row>
    <row r="184">
      <c r="B184" s="7" t="inlineStr">
        <is>
          <t xml:space="preserve">  ↳ naxis_naxiriflesoldier_rifle_elite</t>
        </is>
      </c>
      <c r="C184" s="7" t="inlineStr">
        <is>
          <t>Armament@GARRISONEDELITE</t>
        </is>
      </c>
      <c r="L184" s="6" t="n">
        <v>4000</v>
      </c>
      <c r="M184" s="6" t="n">
        <v>50</v>
      </c>
      <c r="N184" s="6" t="n">
        <v>2</v>
      </c>
      <c r="O184" s="6" t="n">
        <v>3</v>
      </c>
      <c r="P184" s="6" t="n">
        <v>6500</v>
      </c>
      <c r="Q184" s="6" t="n">
        <v>0.75</v>
      </c>
      <c r="R184">
        <f>M184+IF(MAX(N184-1,0)&gt;0,IF(ISBLANK(O184),5*MAX(N184-1,0),IF(ISNUMBER(O184),O184*MAX(N184-1,0),SUM(IFERROR(VALUE(TEXTSPLIT(O184,",")),0)))),0)</f>
        <v/>
      </c>
      <c r="S184">
        <f>IFERROR(L184*MAX(N184,1)/R184*IF(ISBLANK(K180),1,K180),0)</f>
        <v/>
      </c>
      <c r="AB184" s="7" t="inlineStr">
        <is>
          <t>^Warhead_Bullet_Light</t>
        </is>
      </c>
    </row>
    <row r="185">
      <c r="A185" t="inlineStr">
        <is>
          <t>redalert2mod</t>
        </is>
      </c>
      <c r="B185" t="inlineStr">
        <is>
          <t>naxis_slaveoverseer</t>
        </is>
      </c>
      <c r="C185" t="inlineStr">
        <is>
          <t>Slave Overseer</t>
        </is>
      </c>
      <c r="D185" s="6" t="inlineStr">
        <is>
          <t>ScoutInfantry</t>
        </is>
      </c>
      <c r="E185" s="6" t="n">
        <v>20000</v>
      </c>
      <c r="F185" s="6" t="n">
        <v>90</v>
      </c>
      <c r="G185" t="inlineStr">
        <is>
          <t>None</t>
        </is>
      </c>
      <c r="H185" s="6" t="n">
        <v>0.9649</v>
      </c>
      <c r="I185" s="6" t="n">
        <v>1</v>
      </c>
      <c r="J185" s="6" t="n">
        <v>1</v>
      </c>
      <c r="P185">
        <f>MAX(P187,P188)</f>
        <v/>
      </c>
      <c r="S185">
        <f>S187+S188</f>
        <v/>
      </c>
      <c r="T185">
        <f>(E185/100000+F185/100+(P185/1000)*J185/5+S185/200)*200*I185*H185</f>
        <v/>
      </c>
      <c r="U185">
        <f>((E185*F185/25000)+((P185/1000)*J185*S185/2.5))*I185*H185</f>
        <v/>
      </c>
      <c r="V185">
        <f>(E185*F185*(P185/1000)*J185*S185*I185*H185)/12500000</f>
        <v/>
      </c>
      <c r="W185">
        <f>IFERROR((((E185/5000)+(F185/50)+(S185/0)+((P185/0)*J185))*500/4+(((E185/5000)*(F185/50))+(((P185/0)*J185)*(S185/0)))*500/2+((E185/5000)*(F185/50)*((P185/0)*J185)*(S185/0))*500)*(H185/1.0)/3,"")</f>
        <v/>
      </c>
      <c r="X185" s="6" t="n">
        <v>500</v>
      </c>
      <c r="Y185">
        <f>IFERROR(W185-X185,"")</f>
        <v/>
      </c>
      <c r="Z185">
        <f>IFERROR(ABS(Y185)/MAX(X185,1),"")</f>
        <v/>
      </c>
      <c r="AA185">
        <f>IFERROR(ROUND(((3*X185-(((E185/5000)+(F185/50)+(S185/0))*500/4+((E185/5000)*(F185/50))*500/2)*(H185/1.0))/(500/4+((S185/0))*500/2+((E185/5000)*(F185/50)*(S185/0))*500)*(H185/1.0)*0)/J185,-1),"")</f>
        <v/>
      </c>
    </row>
    <row r="186">
      <c r="B186" s="7" t="inlineStr">
        <is>
          <t xml:space="preserve">  ↳ NaxiSlaveWhip</t>
        </is>
      </c>
      <c r="C186" s="7" t="inlineStr">
        <is>
          <t>Armament@SlaveWhip</t>
        </is>
      </c>
      <c r="M186" s="6" t="n">
        <v>50</v>
      </c>
      <c r="N186" s="6" t="n">
        <v>1</v>
      </c>
      <c r="O186" s="6" t="n"/>
      <c r="P186" s="6" t="n">
        <v>2500</v>
      </c>
      <c r="Q186" s="6" t="n">
        <v>1</v>
      </c>
      <c r="R186">
        <f>M186+IF(MAX(N186-1,0)&gt;0,IF(ISBLANK(O186),5*MAX(N186-1,0),IF(ISNUMBER(O186),O186*MAX(N186-1,0),SUM(IFERROR(VALUE(TEXTSPLIT(O186,",")),0)))),0)</f>
        <v/>
      </c>
      <c r="S186">
        <f>IFERROR(L186*MAX(N186,1)/R186*IF(ISBLANK(K185),1,K185),0)</f>
        <v/>
      </c>
      <c r="AB186" s="7" t="inlineStr"/>
    </row>
    <row r="187">
      <c r="B187" s="7" t="inlineStr">
        <is>
          <t xml:space="preserve">  ↳ NaxiRifle</t>
        </is>
      </c>
      <c r="C187" s="7" t="inlineStr">
        <is>
          <t>Armament@PRIMARY</t>
        </is>
      </c>
      <c r="L187" s="6" t="n">
        <v>6000</v>
      </c>
      <c r="M187" s="6" t="n">
        <v>75</v>
      </c>
      <c r="N187" s="6" t="n">
        <v>1</v>
      </c>
      <c r="O187" s="6" t="n"/>
      <c r="P187" s="6" t="n">
        <v>5621</v>
      </c>
      <c r="Q187" s="6" t="n">
        <v>0.75</v>
      </c>
      <c r="R187">
        <f>M187+IF(MAX(N187-1,0)&gt;0,IF(ISBLANK(O187),5*MAX(N187-1,0),IF(ISNUMBER(O187),O187*MAX(N187-1,0),SUM(IFERROR(VALUE(TEXTSPLIT(O187,",")),0)))),0)</f>
        <v/>
      </c>
      <c r="S187">
        <f>IFERROR(L187*MAX(N187,1)/R187*IF(ISBLANK(K185),1,K185),0)</f>
        <v/>
      </c>
      <c r="AB187" s="7" t="inlineStr">
        <is>
          <t>^Warhead_Bullet_Light</t>
        </is>
      </c>
    </row>
    <row r="188">
      <c r="B188" s="7" t="inlineStr">
        <is>
          <t xml:space="preserve">  ↳ NaxiRifle_elite</t>
        </is>
      </c>
      <c r="C188" s="7" t="inlineStr">
        <is>
          <t>Armament@ELITE</t>
        </is>
      </c>
      <c r="L188" s="6" t="n">
        <v>6000</v>
      </c>
      <c r="M188" s="6" t="n">
        <v>75</v>
      </c>
      <c r="N188" s="6" t="n">
        <v>2</v>
      </c>
      <c r="O188" s="6" t="n">
        <v>3</v>
      </c>
      <c r="P188" s="6" t="n">
        <v>6621</v>
      </c>
      <c r="Q188" s="6" t="n">
        <v>0.75</v>
      </c>
      <c r="R188">
        <f>M188+IF(MAX(N188-1,0)&gt;0,IF(ISBLANK(O188),5*MAX(N188-1,0),IF(ISNUMBER(O188),O188*MAX(N188-1,0),SUM(IFERROR(VALUE(TEXTSPLIT(O188,",")),0)))),0)</f>
        <v/>
      </c>
      <c r="S188">
        <f>IFERROR(L188*MAX(N188,1)/R188*IF(ISBLANK(K185),1,K185),0)</f>
        <v/>
      </c>
      <c r="AB188" s="7" t="inlineStr">
        <is>
          <t>^Warhead_Bullet_Light</t>
        </is>
      </c>
    </row>
    <row r="189">
      <c r="B189" s="7" t="inlineStr">
        <is>
          <t xml:space="preserve">  ↳ NaxiRifle</t>
        </is>
      </c>
      <c r="C189" s="7" t="inlineStr">
        <is>
          <t>Armament@GARRISONED</t>
        </is>
      </c>
      <c r="L189" s="6" t="n">
        <v>6000</v>
      </c>
      <c r="M189" s="6" t="n">
        <v>75</v>
      </c>
      <c r="N189" s="6" t="n">
        <v>1</v>
      </c>
      <c r="O189" s="6" t="n"/>
      <c r="P189" s="6" t="n">
        <v>5621</v>
      </c>
      <c r="Q189" s="6" t="n">
        <v>0.75</v>
      </c>
      <c r="R189">
        <f>M189+IF(MAX(N189-1,0)&gt;0,IF(ISBLANK(O189),5*MAX(N189-1,0),IF(ISNUMBER(O189),O189*MAX(N189-1,0),SUM(IFERROR(VALUE(TEXTSPLIT(O189,",")),0)))),0)</f>
        <v/>
      </c>
      <c r="S189">
        <f>IFERROR(L189*MAX(N189,1)/R189*IF(ISBLANK(K185),1,K185),0)</f>
        <v/>
      </c>
      <c r="AB189" s="7" t="inlineStr">
        <is>
          <t>^Warhead_Bullet_Light</t>
        </is>
      </c>
    </row>
    <row r="190">
      <c r="B190" s="7" t="inlineStr">
        <is>
          <t xml:space="preserve">  ↳ NaxiRifle_elite</t>
        </is>
      </c>
      <c r="C190" s="7" t="inlineStr">
        <is>
          <t>Armament@GARRISONEDELITE</t>
        </is>
      </c>
      <c r="L190" s="6" t="n">
        <v>6000</v>
      </c>
      <c r="M190" s="6" t="n">
        <v>75</v>
      </c>
      <c r="N190" s="6" t="n">
        <v>2</v>
      </c>
      <c r="O190" s="6" t="n">
        <v>3</v>
      </c>
      <c r="P190" s="6" t="n">
        <v>6621</v>
      </c>
      <c r="Q190" s="6" t="n">
        <v>0.75</v>
      </c>
      <c r="R190">
        <f>M190+IF(MAX(N190-1,0)&gt;0,IF(ISBLANK(O190),5*MAX(N190-1,0),IF(ISNUMBER(O190),O190*MAX(N190-1,0),SUM(IFERROR(VALUE(TEXTSPLIT(O190,",")),0)))),0)</f>
        <v/>
      </c>
      <c r="S190">
        <f>IFERROR(L190*MAX(N190,1)/R190*IF(ISBLANK(K185),1,K185),0)</f>
        <v/>
      </c>
      <c r="AB190" s="7" t="inlineStr">
        <is>
          <t>^Warhead_Bullet_Light</t>
        </is>
      </c>
    </row>
    <row r="191">
      <c r="A191" t="inlineStr">
        <is>
          <t>redalert2mod</t>
        </is>
      </c>
      <c r="B191" t="inlineStr">
        <is>
          <t>undead.nax</t>
        </is>
      </c>
      <c r="C191" t="inlineStr">
        <is>
          <t>Undead Soldier</t>
        </is>
      </c>
      <c r="D191" s="6" t="inlineStr">
        <is>
          <t>ScoutInfantry</t>
        </is>
      </c>
      <c r="E191" s="6" t="n">
        <v>15000</v>
      </c>
      <c r="F191" s="6" t="n">
        <v>50</v>
      </c>
      <c r="G191" t="inlineStr">
        <is>
          <t>None</t>
        </is>
      </c>
      <c r="H191" s="6" t="n">
        <v>1</v>
      </c>
      <c r="I191" s="6" t="n">
        <v>1</v>
      </c>
      <c r="J191" s="6" t="n">
        <v>1</v>
      </c>
      <c r="P191">
        <f>MAX(P192,P193)</f>
        <v/>
      </c>
      <c r="S191">
        <f>S192+S193</f>
        <v/>
      </c>
      <c r="T191">
        <f>(E191/100000+F191/100+(P191/1000)*J191/5+S191/200)*200*I191*H191</f>
        <v/>
      </c>
      <c r="U191">
        <f>((E191*F191/25000)+((P191/1000)*J191*S191/2.5))*I191*H191</f>
        <v/>
      </c>
      <c r="V191">
        <f>(E191*F191*(P191/1000)*J191*S191*I191*H191)/12500000</f>
        <v/>
      </c>
      <c r="W191">
        <f>IFERROR((((E191/20000)+(F191/60)+(S191/60)+((P191/5000)*J191))*100/4+(((E191/20000)*(F191/60))+(((P191/5000)*J191)*(S191/60)))*100/2+((E191/20000)*(F191/60)*((P191/5000)*J191)*(S191/60))*100)*(H191/1.0)/3,"")</f>
        <v/>
      </c>
      <c r="X191" s="6" t="n">
        <v>100</v>
      </c>
      <c r="Y191">
        <f>IFERROR(W191-X191,"")</f>
        <v/>
      </c>
      <c r="Z191">
        <f>IFERROR(ABS(Y191)/MAX(X191,1),"")</f>
        <v/>
      </c>
      <c r="AA191">
        <f>IFERROR(ROUND(((3*X191-(((E191/20000)+(F191/60)+(S191/60))*100/4+((E191/20000)*(F191/60))*100/2)*(H191/1.0))/(100/4+((S191/60))*100/2+((E191/20000)*(F191/60)*(S191/60))*100)*(H191/1.0)*5000)/J191,-1),"")</f>
        <v/>
      </c>
    </row>
    <row r="192">
      <c r="B192" s="7" t="inlineStr">
        <is>
          <t xml:space="preserve">  ↳ NaxiRifle</t>
        </is>
      </c>
      <c r="C192" s="7" t="inlineStr">
        <is>
          <t>Armament@PRIMARY</t>
        </is>
      </c>
      <c r="L192" s="6" t="n">
        <v>6000</v>
      </c>
      <c r="M192" s="6" t="n">
        <v>75</v>
      </c>
      <c r="N192" s="6" t="n">
        <v>1</v>
      </c>
      <c r="O192" s="6" t="n"/>
      <c r="P192" s="6" t="n">
        <v>5621</v>
      </c>
      <c r="Q192" s="6" t="n">
        <v>0.75</v>
      </c>
      <c r="R192">
        <f>M192+IF(MAX(N192-1,0)&gt;0,IF(ISBLANK(O192),5*MAX(N192-1,0),IF(ISNUMBER(O192),O192*MAX(N192-1,0),SUM(IFERROR(VALUE(TEXTSPLIT(O192,",")),0)))),0)</f>
        <v/>
      </c>
      <c r="S192">
        <f>IFERROR(L192*MAX(N192,1)/R192*IF(ISBLANK(K191),1,K191),0)</f>
        <v/>
      </c>
      <c r="AB192" s="7" t="inlineStr">
        <is>
          <t>^Warhead_Bullet_Light</t>
        </is>
      </c>
    </row>
    <row r="193">
      <c r="B193" s="7" t="inlineStr">
        <is>
          <t xml:space="preserve">  ↳ NaxiRifle_elite</t>
        </is>
      </c>
      <c r="C193" s="7" t="inlineStr">
        <is>
          <t>Armament@ELITE</t>
        </is>
      </c>
      <c r="L193" s="6" t="n">
        <v>6000</v>
      </c>
      <c r="M193" s="6" t="n">
        <v>75</v>
      </c>
      <c r="N193" s="6" t="n">
        <v>2</v>
      </c>
      <c r="O193" s="6" t="n">
        <v>3</v>
      </c>
      <c r="P193" s="6" t="n">
        <v>6621</v>
      </c>
      <c r="Q193" s="6" t="n">
        <v>0.75</v>
      </c>
      <c r="R193">
        <f>M193+IF(MAX(N193-1,0)&gt;0,IF(ISBLANK(O193),5*MAX(N193-1,0),IF(ISNUMBER(O193),O193*MAX(N193-1,0),SUM(IFERROR(VALUE(TEXTSPLIT(O193,",")),0)))),0)</f>
        <v/>
      </c>
      <c r="S193">
        <f>IFERROR(L193*MAX(N193,1)/R193*IF(ISBLANK(K191),1,K191),0)</f>
        <v/>
      </c>
      <c r="AB193" s="7" t="inlineStr">
        <is>
          <t>^Warhead_Bullet_Light</t>
        </is>
      </c>
    </row>
    <row r="194">
      <c r="B194" s="7" t="inlineStr">
        <is>
          <t xml:space="preserve">  ↳ NaxiRifle</t>
        </is>
      </c>
      <c r="C194" s="7" t="inlineStr">
        <is>
          <t>Armament@GARRISONED</t>
        </is>
      </c>
      <c r="L194" s="6" t="n">
        <v>6000</v>
      </c>
      <c r="M194" s="6" t="n">
        <v>75</v>
      </c>
      <c r="N194" s="6" t="n">
        <v>1</v>
      </c>
      <c r="O194" s="6" t="n"/>
      <c r="P194" s="6" t="n">
        <v>5621</v>
      </c>
      <c r="Q194" s="6" t="n">
        <v>0.75</v>
      </c>
      <c r="R194">
        <f>M194+IF(MAX(N194-1,0)&gt;0,IF(ISBLANK(O194),5*MAX(N194-1,0),IF(ISNUMBER(O194),O194*MAX(N194-1,0),SUM(IFERROR(VALUE(TEXTSPLIT(O194,",")),0)))),0)</f>
        <v/>
      </c>
      <c r="S194">
        <f>IFERROR(L194*MAX(N194,1)/R194*IF(ISBLANK(K191),1,K191),0)</f>
        <v/>
      </c>
      <c r="AB194" s="7" t="inlineStr">
        <is>
          <t>^Warhead_Bullet_Light</t>
        </is>
      </c>
    </row>
    <row r="195">
      <c r="B195" s="7" t="inlineStr">
        <is>
          <t xml:space="preserve">  ↳ NaxiRifle_elite</t>
        </is>
      </c>
      <c r="C195" s="7" t="inlineStr">
        <is>
          <t>Armament@GARRISONEDELITE</t>
        </is>
      </c>
      <c r="L195" s="6" t="n">
        <v>6000</v>
      </c>
      <c r="M195" s="6" t="n">
        <v>75</v>
      </c>
      <c r="N195" s="6" t="n">
        <v>2</v>
      </c>
      <c r="O195" s="6" t="n">
        <v>3</v>
      </c>
      <c r="P195" s="6" t="n">
        <v>6621</v>
      </c>
      <c r="Q195" s="6" t="n">
        <v>0.75</v>
      </c>
      <c r="R195">
        <f>M195+IF(MAX(N195-1,0)&gt;0,IF(ISBLANK(O195),5*MAX(N195-1,0),IF(ISNUMBER(O195),O195*MAX(N195-1,0),SUM(IFERROR(VALUE(TEXTSPLIT(O195,",")),0)))),0)</f>
        <v/>
      </c>
      <c r="S195">
        <f>IFERROR(L195*MAX(N195,1)/R195*IF(ISBLANK(K191),1,K191),0)</f>
        <v/>
      </c>
      <c r="AB195" s="7" t="inlineStr">
        <is>
          <t>^Warhead_Bullet_Light</t>
        </is>
      </c>
    </row>
    <row r="196">
      <c r="A196" t="inlineStr">
        <is>
          <t>redalert2mod</t>
        </is>
      </c>
      <c r="B196" t="inlineStr">
        <is>
          <t>futuretech_spyfutu</t>
        </is>
      </c>
      <c r="C196" t="inlineStr">
        <is>
          <t>Infiltrator</t>
        </is>
      </c>
      <c r="D196" s="6" t="inlineStr">
        <is>
          <t>ScoutInfantry</t>
        </is>
      </c>
      <c r="E196" s="6" t="n">
        <v>5000</v>
      </c>
      <c r="F196" s="6" t="n">
        <v>60</v>
      </c>
      <c r="G196" t="inlineStr">
        <is>
          <t>None</t>
        </is>
      </c>
      <c r="H196" s="6" t="n">
        <v>0.4015</v>
      </c>
      <c r="I196" s="6" t="n">
        <v>1</v>
      </c>
      <c r="J196" s="6" t="n">
        <v>1</v>
      </c>
      <c r="X196" s="6" t="n">
        <v>1000</v>
      </c>
    </row>
    <row r="197">
      <c r="A197" t="inlineStr">
        <is>
          <t>redalert2mod</t>
        </is>
      </c>
      <c r="B197" t="inlineStr">
        <is>
          <t>tkm_marine</t>
        </is>
      </c>
      <c r="C197" t="inlineStr">
        <is>
          <t>Marine</t>
        </is>
      </c>
      <c r="D197" s="6" t="inlineStr">
        <is>
          <t>ScoutInfantry</t>
        </is>
      </c>
      <c r="E197" s="6" t="n">
        <v>20000</v>
      </c>
      <c r="F197" s="6" t="n">
        <v>60</v>
      </c>
      <c r="G197" t="inlineStr">
        <is>
          <t>None</t>
        </is>
      </c>
      <c r="H197" s="6" t="n">
        <v>1</v>
      </c>
      <c r="I197" s="6" t="n">
        <v>1</v>
      </c>
      <c r="J197" s="6" t="n">
        <v>1</v>
      </c>
      <c r="P197">
        <f>MAX(P198,P199)</f>
        <v/>
      </c>
      <c r="S197">
        <f>S198+S199</f>
        <v/>
      </c>
      <c r="T197">
        <f>(E197/100000+F197/100+(P197/1000)*J197/5+S197/200)*200*I197*H197</f>
        <v/>
      </c>
      <c r="U197">
        <f>((E197*F197/25000)+((P197/1000)*J197*S197/2.5))*I197*H197</f>
        <v/>
      </c>
      <c r="V197">
        <f>(E197*F197*(P197/1000)*J197*S197*I197*H197)/12500000</f>
        <v/>
      </c>
      <c r="W197">
        <f>IFERROR((((E197/20000)+(F197/60)+(S197/60)+((P197/5000)*J197))*100/4+(((E197/20000)*(F197/60))+(((P197/5000)*J197)*(S197/60)))*100/2+((E197/20000)*(F197/60)*((P197/5000)*J197)*(S197/60))*100)*(H197/1.0)/3,"")</f>
        <v/>
      </c>
      <c r="X197" s="6" t="n">
        <v>300</v>
      </c>
      <c r="Y197">
        <f>IFERROR(W197-X197,"")</f>
        <v/>
      </c>
      <c r="Z197">
        <f>IFERROR(ABS(Y197)/MAX(X197,1),"")</f>
        <v/>
      </c>
      <c r="AA197">
        <f>IFERROR(ROUND(((3*X197-(((E197/20000)+(F197/60)+(S197/60))*100/4+((E197/20000)*(F197/60))*100/2)*(H197/1.0))/(100/4+((S197/60))*100/2+((E197/20000)*(F197/60)*(S197/60))*100)*(H197/1.0)*5000)/J197,-1),"")</f>
        <v/>
      </c>
    </row>
    <row r="198">
      <c r="B198" s="7" t="inlineStr">
        <is>
          <t xml:space="preserve">  ↳ tkmm16</t>
        </is>
      </c>
      <c r="C198" s="7" t="inlineStr">
        <is>
          <t>Armament@PRIMARY</t>
        </is>
      </c>
      <c r="L198" s="6" t="n">
        <v>2000</v>
      </c>
      <c r="M198" s="6" t="n">
        <v>16</v>
      </c>
      <c r="N198" s="6" t="n">
        <v>5</v>
      </c>
      <c r="O198" s="6" t="n">
        <v>1</v>
      </c>
      <c r="P198" s="6" t="n">
        <v>5385</v>
      </c>
      <c r="Q198" s="6" t="n">
        <v>0.75</v>
      </c>
      <c r="R198">
        <f>M198+IF(MAX(N198-1,0)&gt;0,IF(ISBLANK(O198),5*MAX(N198-1,0),IF(ISNUMBER(O198),O198*MAX(N198-1,0),SUM(IFERROR(VALUE(TEXTSPLIT(O198,",")),0)))),0)</f>
        <v/>
      </c>
      <c r="S198">
        <f>IFERROR(L198*MAX(N198,1)/R198*IF(ISBLANK(K197),1,K197),0)</f>
        <v/>
      </c>
      <c r="AB198" s="7" t="inlineStr">
        <is>
          <t>^Warhead_Bullet_Light</t>
        </is>
      </c>
    </row>
    <row r="199">
      <c r="B199" s="7" t="inlineStr">
        <is>
          <t xml:space="preserve">  ↳ tkmm16ap</t>
        </is>
      </c>
      <c r="C199" s="7" t="inlineStr">
        <is>
          <t>Armament@PRIMARYUPGRADE</t>
        </is>
      </c>
      <c r="L199" s="6" t="n">
        <v>2000</v>
      </c>
      <c r="M199" s="6" t="n">
        <v>16</v>
      </c>
      <c r="N199" s="6" t="n">
        <v>5</v>
      </c>
      <c r="O199" s="6" t="n">
        <v>1</v>
      </c>
      <c r="P199" s="6" t="n">
        <v>5385</v>
      </c>
      <c r="Q199" s="6" t="n">
        <v>1</v>
      </c>
      <c r="R199">
        <f>M199+IF(MAX(N199-1,0)&gt;0,IF(ISBLANK(O199),5*MAX(N199-1,0),IF(ISNUMBER(O199),O199*MAX(N199-1,0),SUM(IFERROR(VALUE(TEXTSPLIT(O199,",")),0)))),0)</f>
        <v/>
      </c>
      <c r="S199">
        <f>IFERROR(L199*MAX(N199,1)/R199*IF(ISBLANK(K197),1,K197),0)</f>
        <v/>
      </c>
      <c r="AB199" s="7" t="inlineStr">
        <is>
          <t>^Warhead_Bullet_Medium</t>
        </is>
      </c>
    </row>
    <row r="200">
      <c r="B200" s="7" t="inlineStr">
        <is>
          <t xml:space="preserve">  ↳ tkmm16</t>
        </is>
      </c>
      <c r="C200" s="7" t="inlineStr">
        <is>
          <t>Armament@GARRISONED</t>
        </is>
      </c>
      <c r="L200" s="6" t="n">
        <v>2000</v>
      </c>
      <c r="M200" s="6" t="n">
        <v>16</v>
      </c>
      <c r="N200" s="6" t="n">
        <v>5</v>
      </c>
      <c r="O200" s="6" t="n">
        <v>1</v>
      </c>
      <c r="P200" s="6" t="n">
        <v>5385</v>
      </c>
      <c r="Q200" s="6" t="n">
        <v>0.75</v>
      </c>
      <c r="R200">
        <f>M200+IF(MAX(N200-1,0)&gt;0,IF(ISBLANK(O200),5*MAX(N200-1,0),IF(ISNUMBER(O200),O200*MAX(N200-1,0),SUM(IFERROR(VALUE(TEXTSPLIT(O200,",")),0)))),0)</f>
        <v/>
      </c>
      <c r="S200">
        <f>IFERROR(L200*MAX(N200,1)/R200*IF(ISBLANK(K197),1,K197),0)</f>
        <v/>
      </c>
      <c r="AB200" s="7" t="inlineStr">
        <is>
          <t>^Warhead_Bullet_Light</t>
        </is>
      </c>
    </row>
    <row r="201">
      <c r="B201" s="7" t="inlineStr">
        <is>
          <t xml:space="preserve">  ↳ tkmm16ap</t>
        </is>
      </c>
      <c r="C201" s="7" t="inlineStr">
        <is>
          <t>Armament@GARRISONEDUPGRADE</t>
        </is>
      </c>
      <c r="L201" s="6" t="n">
        <v>2000</v>
      </c>
      <c r="M201" s="6" t="n">
        <v>16</v>
      </c>
      <c r="N201" s="6" t="n">
        <v>5</v>
      </c>
      <c r="O201" s="6" t="n">
        <v>1</v>
      </c>
      <c r="P201" s="6" t="n">
        <v>5385</v>
      </c>
      <c r="Q201" s="6" t="n">
        <v>1</v>
      </c>
      <c r="R201">
        <f>M201+IF(MAX(N201-1,0)&gt;0,IF(ISBLANK(O201),5*MAX(N201-1,0),IF(ISNUMBER(O201),O201*MAX(N201-1,0),SUM(IFERROR(VALUE(TEXTSPLIT(O201,",")),0)))),0)</f>
        <v/>
      </c>
      <c r="S201">
        <f>IFERROR(L201*MAX(N201,1)/R201*IF(ISBLANK(K197),1,K197),0)</f>
        <v/>
      </c>
      <c r="AB201" s="7" t="inlineStr">
        <is>
          <t>^Warhead_Bullet_Medium</t>
        </is>
      </c>
    </row>
    <row r="202">
      <c r="A202" t="inlineStr">
        <is>
          <t>redalert2mod</t>
        </is>
      </c>
      <c r="B202" t="inlineStr">
        <is>
          <t>tkm_rifleman</t>
        </is>
      </c>
      <c r="C202" t="inlineStr">
        <is>
          <t>Rifleman</t>
        </is>
      </c>
      <c r="D202" s="6" t="inlineStr">
        <is>
          <t>ScoutInfantry</t>
        </is>
      </c>
      <c r="E202" s="6" t="n">
        <v>29000</v>
      </c>
      <c r="F202" s="6" t="n">
        <v>61</v>
      </c>
      <c r="G202" t="inlineStr">
        <is>
          <t>None</t>
        </is>
      </c>
      <c r="H202" s="6" t="n">
        <v>1</v>
      </c>
      <c r="I202" s="6" t="n">
        <v>1</v>
      </c>
      <c r="J202" s="6" t="n">
        <v>1</v>
      </c>
      <c r="K202" t="n">
        <v>0.0089</v>
      </c>
      <c r="P202">
        <f>MAX(P203,P204)</f>
        <v/>
      </c>
      <c r="S202">
        <f>S203+S204</f>
        <v/>
      </c>
      <c r="T202">
        <f>(E202/100000+F202/100+(P202/1000)*J202/5+S202/200)*200*I202*H202</f>
        <v/>
      </c>
      <c r="U202">
        <f>((E202*F202/25000)+((P202/1000)*J202*S202/2.5))*I202*H202</f>
        <v/>
      </c>
      <c r="V202">
        <f>(E202*F202*(P202/1000)*J202*S202*I202*H202)/12500000</f>
        <v/>
      </c>
      <c r="W202">
        <f>IFERROR((((E202/20000)+(F202/60)+(S202/60)+((P202/5000)*J202))*100/4+(((E202/20000)*(F202/60))+(((P202/5000)*J202)*(S202/60)))*100/2+((E202/20000)*(F202/60)*((P202/5000)*J202)*(S202/60))*100)*(H202/1.0)/3,"")</f>
        <v/>
      </c>
      <c r="X202" s="6" t="n">
        <v>120</v>
      </c>
      <c r="Y202">
        <f>IFERROR(W202-X202,"")</f>
        <v/>
      </c>
      <c r="Z202">
        <f>IFERROR(ABS(Y202)/MAX(X202,1),"")</f>
        <v/>
      </c>
      <c r="AA202">
        <f>IFERROR(ROUND(((3*X202-(((E202/20000)+(F202/60)+(S202/60))*100/4+((E202/20000)*(F202/60))*100/2)*(H202/1.0))/(100/4+((S202/60))*100/2+((E202/20000)*(F202/60)*(S202/60))*100)*(H202/1.0)*5000)/J202,-1),"")</f>
        <v/>
      </c>
    </row>
    <row r="203">
      <c r="B203" s="7" t="inlineStr">
        <is>
          <t xml:space="preserve">  ↳ tkm_rifleman_rifle</t>
        </is>
      </c>
      <c r="C203" s="7" t="inlineStr">
        <is>
          <t>Armament@PRIMARY</t>
        </is>
      </c>
      <c r="L203" s="6" t="n">
        <v>6000</v>
      </c>
      <c r="M203" s="6" t="n">
        <v>75</v>
      </c>
      <c r="N203" s="6" t="n">
        <v>1</v>
      </c>
      <c r="O203" s="6" t="n"/>
      <c r="P203" s="6" t="n">
        <v>5042</v>
      </c>
      <c r="Q203" s="6" t="n">
        <v>0.75</v>
      </c>
      <c r="R203">
        <f>M203+IF(MAX(N203-1,0)&gt;0,IF(ISBLANK(O203),5*MAX(N203-1,0),IF(ISNUMBER(O203),O203*MAX(N203-1,0),SUM(IFERROR(VALUE(TEXTSPLIT(O203,",")),0)))),0)</f>
        <v/>
      </c>
      <c r="S203">
        <f>IFERROR(L203*MAX(N203,1)/R203*IF(ISBLANK(K202),1,K202),0)</f>
        <v/>
      </c>
      <c r="AB203" s="7" t="inlineStr">
        <is>
          <t>^Warhead_Bullet_Light</t>
        </is>
      </c>
    </row>
    <row r="204">
      <c r="B204" s="7" t="inlineStr">
        <is>
          <t xml:space="preserve">  ↳ tkm_rifleman_semiautorifle</t>
        </is>
      </c>
      <c r="C204" s="7" t="inlineStr">
        <is>
          <t>Armament@PRIMARYUPGRADE</t>
        </is>
      </c>
      <c r="L204" s="6" t="n">
        <v>10000</v>
      </c>
      <c r="M204" s="6" t="n">
        <v>25</v>
      </c>
      <c r="N204" s="6" t="n">
        <v>1</v>
      </c>
      <c r="O204" s="6" t="n"/>
      <c r="P204" s="6" t="n">
        <v>5500</v>
      </c>
      <c r="Q204" s="6" t="n">
        <v>0.75</v>
      </c>
      <c r="R204">
        <f>M204+IF(MAX(N204-1,0)&gt;0,IF(ISBLANK(O204),5*MAX(N204-1,0),IF(ISNUMBER(O204),O204*MAX(N204-1,0),SUM(IFERROR(VALUE(TEXTSPLIT(O204,",")),0)))),0)</f>
        <v/>
      </c>
      <c r="S204">
        <f>IFERROR(L204*MAX(N204,1)/R204*IF(ISBLANK(K202),1,K202),0)</f>
        <v/>
      </c>
      <c r="AB204" s="7" t="inlineStr">
        <is>
          <t>^Warhead_Bullet_Light</t>
        </is>
      </c>
    </row>
    <row r="205">
      <c r="B205" s="7" t="inlineStr">
        <is>
          <t xml:space="preserve">  ↳ tkm_rifleman_rifle</t>
        </is>
      </c>
      <c r="C205" s="7" t="inlineStr">
        <is>
          <t>Armament@GARRISONED</t>
        </is>
      </c>
      <c r="L205" s="6" t="n">
        <v>6000</v>
      </c>
      <c r="M205" s="6" t="n">
        <v>75</v>
      </c>
      <c r="N205" s="6" t="n">
        <v>1</v>
      </c>
      <c r="O205" s="6" t="n"/>
      <c r="P205" s="6" t="n">
        <v>5042</v>
      </c>
      <c r="Q205" s="6" t="n">
        <v>0.75</v>
      </c>
      <c r="R205">
        <f>M205+IF(MAX(N205-1,0)&gt;0,IF(ISBLANK(O205),5*MAX(N205-1,0),IF(ISNUMBER(O205),O205*MAX(N205-1,0),SUM(IFERROR(VALUE(TEXTSPLIT(O205,",")),0)))),0)</f>
        <v/>
      </c>
      <c r="S205">
        <f>IFERROR(L205*MAX(N205,1)/R205*IF(ISBLANK(K202),1,K202),0)</f>
        <v/>
      </c>
      <c r="AB205" s="7" t="inlineStr">
        <is>
          <t>^Warhead_Bullet_Light</t>
        </is>
      </c>
    </row>
    <row r="206">
      <c r="A206" t="inlineStr">
        <is>
          <t>shared</t>
        </is>
      </c>
      <c r="B206" t="inlineStr">
        <is>
          <t>light_inf</t>
        </is>
      </c>
      <c r="C206" t="inlineStr">
        <is>
          <t>Light Infantry</t>
        </is>
      </c>
      <c r="D206" s="6" t="inlineStr">
        <is>
          <t>ScoutInfantry</t>
        </is>
      </c>
      <c r="E206" s="6" t="n">
        <v>40000</v>
      </c>
      <c r="F206" s="6" t="n">
        <v>54</v>
      </c>
      <c r="G206" t="inlineStr">
        <is>
          <t>None</t>
        </is>
      </c>
      <c r="H206" s="6" t="n">
        <v>1</v>
      </c>
      <c r="I206" s="6" t="n">
        <v>1</v>
      </c>
      <c r="J206" s="6" t="n">
        <v>1</v>
      </c>
      <c r="K206" t="n">
        <v>0.0091</v>
      </c>
      <c r="P206">
        <f>MAX(P207,P208)</f>
        <v/>
      </c>
      <c r="S206">
        <f>S207+S208</f>
        <v/>
      </c>
      <c r="T206">
        <f>(E206/100000+F206/100+(P206/1000)*J206/5+S206/200)*200*I206*H206</f>
        <v/>
      </c>
      <c r="U206">
        <f>((E206*F206/25000)+((P206/1000)*J206*S206/2.5))*I206*H206</f>
        <v/>
      </c>
      <c r="V206">
        <f>(E206*F206*(P206/1000)*J206*S206*I206*H206)/12500000</f>
        <v/>
      </c>
      <c r="W206">
        <f>IFERROR((((E206/20000)+(F206/60)+(S206/60)+((P206/5000)*J206))*100/4+(((E206/20000)*(F206/60))+(((P206/5000)*J206)*(S206/60)))*100/2+((E206/20000)*(F206/60)*((P206/5000)*J206)*(S206/60))*100)*(H206/1.0)/3,"")</f>
        <v/>
      </c>
      <c r="X206" s="6" t="n">
        <v>150</v>
      </c>
      <c r="Y206">
        <f>IFERROR(W206-X206,"")</f>
        <v/>
      </c>
      <c r="Z206">
        <f>IFERROR(ABS(Y206)/MAX(X206,1),"")</f>
        <v/>
      </c>
      <c r="AA206">
        <f>IFERROR(ROUND(((3*X206-(((E206/20000)+(F206/60)+(S206/60))*100/4+((E206/20000)*(F206/60))*100/2)*(H206/1.0))/(100/4+((S206/60))*100/2+((E206/20000)*(F206/60)*(S206/60))*100)*(H206/1.0)*5000)/J206,-1),"")</f>
        <v/>
      </c>
    </row>
    <row r="207">
      <c r="B207" s="7" t="inlineStr">
        <is>
          <t xml:space="preserve">  ↳ light_inf_lmg</t>
        </is>
      </c>
      <c r="C207" s="7" t="inlineStr">
        <is>
          <t>Armament@PRIMARY</t>
        </is>
      </c>
      <c r="L207" s="6" t="n">
        <v>4000</v>
      </c>
      <c r="M207" s="6" t="n">
        <v>20</v>
      </c>
      <c r="N207" s="6" t="n">
        <v>1</v>
      </c>
      <c r="O207" s="6" t="n"/>
      <c r="P207" s="6" t="n">
        <v>5475</v>
      </c>
      <c r="Q207" s="6" t="n">
        <v>0.875</v>
      </c>
      <c r="R207">
        <f>M207+IF(MAX(N207-1,0)&gt;0,IF(ISBLANK(O207),5*MAX(N207-1,0),IF(ISNUMBER(O207),O207*MAX(N207-1,0),SUM(IFERROR(VALUE(TEXTSPLIT(O207,",")),0)))),0)</f>
        <v/>
      </c>
      <c r="S207">
        <f>IFERROR(L207*MAX(N207,1)/R207*IF(ISBLANK(K206),1,K206),0)</f>
        <v/>
      </c>
      <c r="AB207" s="7" t="inlineStr">
        <is>
          <t>^Warhead_Bullet_Medium, ^Warhead_Bullet_Light</t>
        </is>
      </c>
    </row>
    <row r="208">
      <c r="B208" s="7" t="inlineStr">
        <is>
          <t xml:space="preserve">  ↳ light_inf_lmg_upgrade</t>
        </is>
      </c>
      <c r="C208" s="7" t="inlineStr">
        <is>
          <t>Armament@Upgrade</t>
        </is>
      </c>
      <c r="L208" s="6" t="n">
        <v>6000</v>
      </c>
      <c r="M208" s="6" t="n">
        <v>20</v>
      </c>
      <c r="N208" s="6" t="n">
        <v>1</v>
      </c>
      <c r="O208" s="6" t="n"/>
      <c r="P208" s="6" t="n">
        <v>4500</v>
      </c>
      <c r="Q208" s="6" t="n">
        <v>1</v>
      </c>
      <c r="R208">
        <f>M208+IF(MAX(N208-1,0)&gt;0,IF(ISBLANK(O208),5*MAX(N208-1,0),IF(ISNUMBER(O208),O208*MAX(N208-1,0),SUM(IFERROR(VALUE(TEXTSPLIT(O208,",")),0)))),0)</f>
        <v/>
      </c>
      <c r="S208">
        <f>IFERROR(L208*MAX(N208,1)/R208*IF(ISBLANK(K206),1,K206),0)</f>
        <v/>
      </c>
      <c r="AB208" s="7" t="inlineStr">
        <is>
          <t>^Warhead_Bullet_Medium, ^Warhead_Bullet_Light, ^Warhead_CannonHE_Heavy</t>
        </is>
      </c>
    </row>
    <row r="209">
      <c r="B209" s="7" t="inlineStr">
        <is>
          <t xml:space="preserve">  ↳ light_inf_lmg</t>
        </is>
      </c>
      <c r="C209" s="7" t="inlineStr">
        <is>
          <t>Armament@GARRISONED</t>
        </is>
      </c>
      <c r="L209" s="6" t="n">
        <v>4000</v>
      </c>
      <c r="M209" s="6" t="n">
        <v>20</v>
      </c>
      <c r="N209" s="6" t="n">
        <v>1</v>
      </c>
      <c r="O209" s="6" t="n"/>
      <c r="P209" s="6" t="n">
        <v>5475</v>
      </c>
      <c r="Q209" s="6" t="n">
        <v>0.875</v>
      </c>
      <c r="R209">
        <f>M209+IF(MAX(N209-1,0)&gt;0,IF(ISBLANK(O209),5*MAX(N209-1,0),IF(ISNUMBER(O209),O209*MAX(N209-1,0),SUM(IFERROR(VALUE(TEXTSPLIT(O209,",")),0)))),0)</f>
        <v/>
      </c>
      <c r="S209">
        <f>IFERROR(L209*MAX(N209,1)/R209*IF(ISBLANK(K206),1,K206),0)</f>
        <v/>
      </c>
      <c r="AB209" s="7" t="inlineStr">
        <is>
          <t>^Warhead_Bullet_Medium, ^Warhead_Bullet_Light</t>
        </is>
      </c>
    </row>
    <row r="210">
      <c r="B210" s="7" t="inlineStr">
        <is>
          <t xml:space="preserve">  ↳ light_inf_lmg_upgrade</t>
        </is>
      </c>
      <c r="C210" s="7" t="inlineStr">
        <is>
          <t>Armament@UpgradeGARRISONED</t>
        </is>
      </c>
      <c r="L210" s="6" t="n">
        <v>6000</v>
      </c>
      <c r="M210" s="6" t="n">
        <v>20</v>
      </c>
      <c r="N210" s="6" t="n">
        <v>1</v>
      </c>
      <c r="O210" s="6" t="n"/>
      <c r="P210" s="6" t="n">
        <v>4500</v>
      </c>
      <c r="Q210" s="6" t="n">
        <v>1</v>
      </c>
      <c r="R210">
        <f>M210+IF(MAX(N210-1,0)&gt;0,IF(ISBLANK(O210),5*MAX(N210-1,0),IF(ISNUMBER(O210),O210*MAX(N210-1,0),SUM(IFERROR(VALUE(TEXTSPLIT(O210,",")),0)))),0)</f>
        <v/>
      </c>
      <c r="S210">
        <f>IFERROR(L210*MAX(N210,1)/R210*IF(ISBLANK(K206),1,K206),0)</f>
        <v/>
      </c>
      <c r="AB210" s="7" t="inlineStr">
        <is>
          <t>^Warhead_Bullet_Medium, ^Warhead_Bullet_Light, ^Warhead_CannonHE_Heavy</t>
        </is>
      </c>
    </row>
    <row r="211">
      <c r="A211" t="inlineStr">
        <is>
          <t>d2k</t>
        </is>
      </c>
      <c r="B211" t="inlineStr">
        <is>
          <t>ordos_lightinfantry</t>
        </is>
      </c>
      <c r="C211" t="inlineStr">
        <is>
          <t>Ordos Light Infantry</t>
        </is>
      </c>
      <c r="D211" s="6" t="inlineStr">
        <is>
          <t>ScoutInfantry</t>
        </is>
      </c>
      <c r="E211" s="6" t="n">
        <v>28000</v>
      </c>
      <c r="F211" s="6" t="n">
        <v>62</v>
      </c>
      <c r="G211" t="inlineStr">
        <is>
          <t>None</t>
        </is>
      </c>
      <c r="H211" s="6" t="n">
        <v>1</v>
      </c>
      <c r="I211" s="6" t="n">
        <v>1</v>
      </c>
      <c r="J211" s="6" t="n">
        <v>1</v>
      </c>
      <c r="K211" t="n">
        <v>0.0067</v>
      </c>
      <c r="P211">
        <f>MAX(P212,P213)</f>
        <v/>
      </c>
      <c r="S211">
        <f>S212+S213</f>
        <v/>
      </c>
      <c r="T211">
        <f>(E211/100000+F211/100+(P211/1000)*J211/5+S211/200)*200*I211*H211</f>
        <v/>
      </c>
      <c r="U211">
        <f>((E211*F211/25000)+((P211/1000)*J211*S211/2.5))*I211*H211</f>
        <v/>
      </c>
      <c r="V211">
        <f>(E211*F211*(P211/1000)*J211*S211*I211*H211)/12500000</f>
        <v/>
      </c>
      <c r="W211">
        <f>IFERROR((((E211/20000)+(F211/60)+(S211/60)+((P211/5000)*J211))*100/4+(((E211/20000)*(F211/60))+(((P211/5000)*J211)*(S211/60)))*100/2+((E211/20000)*(F211/60)*((P211/5000)*J211)*(S211/60))*100)*(H211/1.0)/3,"")</f>
        <v/>
      </c>
      <c r="X211" s="6" t="n">
        <v>120</v>
      </c>
      <c r="Y211">
        <f>IFERROR(W211-X211,"")</f>
        <v/>
      </c>
      <c r="Z211">
        <f>IFERROR(ABS(Y211)/MAX(X211,1),"")</f>
        <v/>
      </c>
      <c r="AA211">
        <f>IFERROR(ROUND(((3*X211-(((E211/20000)+(F211/60)+(S211/60))*100/4+((E211/20000)*(F211/60))*100/2)*(H211/1.0))/(100/4+((S211/60))*100/2+((E211/20000)*(F211/60)*(S211/60))*100)*(H211/1.0)*5000)/J211,-1),"")</f>
        <v/>
      </c>
    </row>
    <row r="212">
      <c r="B212" s="7" t="inlineStr">
        <is>
          <t xml:space="preserve">  ↳ light_inf_lmg</t>
        </is>
      </c>
      <c r="C212" s="7" t="inlineStr">
        <is>
          <t>Armament@PRIMARY</t>
        </is>
      </c>
      <c r="L212" s="6" t="n">
        <v>4000</v>
      </c>
      <c r="M212" s="6" t="n">
        <v>20</v>
      </c>
      <c r="N212" s="6" t="n">
        <v>1</v>
      </c>
      <c r="O212" s="6" t="n"/>
      <c r="P212" s="6" t="n">
        <v>5475</v>
      </c>
      <c r="Q212" s="6" t="n">
        <v>0.875</v>
      </c>
      <c r="R212">
        <f>M212+IF(MAX(N212-1,0)&gt;0,IF(ISBLANK(O212),5*MAX(N212-1,0),IF(ISNUMBER(O212),O212*MAX(N212-1,0),SUM(IFERROR(VALUE(TEXTSPLIT(O212,",")),0)))),0)</f>
        <v/>
      </c>
      <c r="S212">
        <f>IFERROR(L212*MAX(N212,1)/R212*IF(ISBLANK(K211),1,K211),0)</f>
        <v/>
      </c>
      <c r="AB212" s="7" t="inlineStr">
        <is>
          <t>^Warhead_Bullet_Medium, ^Warhead_Bullet_Light</t>
        </is>
      </c>
    </row>
    <row r="213">
      <c r="B213" s="7" t="inlineStr">
        <is>
          <t xml:space="preserve">  ↳ light_inf_lmg_ordos_upgrade</t>
        </is>
      </c>
      <c r="C213" s="7" t="inlineStr">
        <is>
          <t>Armament@Upgrade</t>
        </is>
      </c>
      <c r="L213" s="6" t="n">
        <v>6000</v>
      </c>
      <c r="M213" s="6" t="n">
        <v>20</v>
      </c>
      <c r="N213" s="6" t="n">
        <v>1</v>
      </c>
      <c r="O213" s="6" t="n"/>
      <c r="P213" s="6" t="n">
        <v>5475</v>
      </c>
      <c r="Q213" s="6" t="n">
        <v>1</v>
      </c>
      <c r="R213">
        <f>M213+IF(MAX(N213-1,0)&gt;0,IF(ISBLANK(O213),5*MAX(N213-1,0),IF(ISNUMBER(O213),O213*MAX(N213-1,0),SUM(IFERROR(VALUE(TEXTSPLIT(O213,",")),0)))),0)</f>
        <v/>
      </c>
      <c r="S213">
        <f>IFERROR(L213*MAX(N213,1)/R213*IF(ISBLANK(K211),1,K211),0)</f>
        <v/>
      </c>
      <c r="AB213" s="7" t="inlineStr">
        <is>
          <t>^Warhead_Laser_Heavy, ^Warhead_Bullet_Medium, ^Warhead_Bullet_Light</t>
        </is>
      </c>
    </row>
    <row r="214">
      <c r="B214" s="7" t="inlineStr">
        <is>
          <t xml:space="preserve">  ↳ light_inf_lmg</t>
        </is>
      </c>
      <c r="C214" s="7" t="inlineStr">
        <is>
          <t>Armament@GARRISONED</t>
        </is>
      </c>
      <c r="L214" s="6" t="n">
        <v>4000</v>
      </c>
      <c r="M214" s="6" t="n">
        <v>20</v>
      </c>
      <c r="N214" s="6" t="n">
        <v>1</v>
      </c>
      <c r="O214" s="6" t="n"/>
      <c r="P214" s="6" t="n">
        <v>5475</v>
      </c>
      <c r="Q214" s="6" t="n">
        <v>0.875</v>
      </c>
      <c r="R214">
        <f>M214+IF(MAX(N214-1,0)&gt;0,IF(ISBLANK(O214),5*MAX(N214-1,0),IF(ISNUMBER(O214),O214*MAX(N214-1,0),SUM(IFERROR(VALUE(TEXTSPLIT(O214,",")),0)))),0)</f>
        <v/>
      </c>
      <c r="S214">
        <f>IFERROR(L214*MAX(N214,1)/R214*IF(ISBLANK(K211),1,K211),0)</f>
        <v/>
      </c>
      <c r="AB214" s="7" t="inlineStr">
        <is>
          <t>^Warhead_Bullet_Medium, ^Warhead_Bullet_Light</t>
        </is>
      </c>
    </row>
    <row r="215">
      <c r="B215" s="7" t="inlineStr">
        <is>
          <t xml:space="preserve">  ↳ light_inf_lmg_ordos_upgrade</t>
        </is>
      </c>
      <c r="C215" s="7" t="inlineStr">
        <is>
          <t>Armament@UpgradeGARRISONED</t>
        </is>
      </c>
      <c r="L215" s="6" t="n">
        <v>6000</v>
      </c>
      <c r="M215" s="6" t="n">
        <v>20</v>
      </c>
      <c r="N215" s="6" t="n">
        <v>1</v>
      </c>
      <c r="O215" s="6" t="n"/>
      <c r="P215" s="6" t="n">
        <v>5475</v>
      </c>
      <c r="Q215" s="6" t="n">
        <v>1</v>
      </c>
      <c r="R215">
        <f>M215+IF(MAX(N215-1,0)&gt;0,IF(ISBLANK(O215),5*MAX(N215-1,0),IF(ISNUMBER(O215),O215*MAX(N215-1,0),SUM(IFERROR(VALUE(TEXTSPLIT(O215,",")),0)))),0)</f>
        <v/>
      </c>
      <c r="S215">
        <f>IFERROR(L215*MAX(N215,1)/R215*IF(ISBLANK(K211),1,K211),0)</f>
        <v/>
      </c>
      <c r="AB215" s="7" t="inlineStr">
        <is>
          <t>^Warhead_Laser_Heavy, ^Warhead_Bullet_Medium, ^Warhead_Bullet_Light</t>
        </is>
      </c>
    </row>
    <row r="216">
      <c r="A216" t="inlineStr">
        <is>
          <t>d2k</t>
        </is>
      </c>
      <c r="B216" t="inlineStr">
        <is>
          <t>ixian_lightinfantry</t>
        </is>
      </c>
      <c r="C216" t="inlineStr">
        <is>
          <t>Ixian Light Infantry</t>
        </is>
      </c>
      <c r="D216" s="6" t="inlineStr">
        <is>
          <t>ScoutInfantry</t>
        </is>
      </c>
      <c r="E216" s="6" t="n">
        <v>32000</v>
      </c>
      <c r="F216" s="6" t="n">
        <v>56</v>
      </c>
      <c r="G216" t="inlineStr">
        <is>
          <t>None</t>
        </is>
      </c>
      <c r="H216" s="6" t="n">
        <v>1</v>
      </c>
      <c r="I216" s="6" t="n">
        <v>1</v>
      </c>
      <c r="J216" s="6" t="n">
        <v>1</v>
      </c>
      <c r="K216" t="n">
        <v>0.0113</v>
      </c>
      <c r="P216">
        <f>MAX(P217,P218)</f>
        <v/>
      </c>
      <c r="S216">
        <f>S217+S218</f>
        <v/>
      </c>
      <c r="T216">
        <f>(E216/100000+F216/100+(P216/1000)*J216/5+S216/200)*200*I216*H216</f>
        <v/>
      </c>
      <c r="U216">
        <f>((E216*F216/25000)+((P216/1000)*J216*S216/2.5))*I216*H216</f>
        <v/>
      </c>
      <c r="V216">
        <f>(E216*F216*(P216/1000)*J216*S216*I216*H216)/12500000</f>
        <v/>
      </c>
      <c r="W216">
        <f>IFERROR((((E216/20000)+(F216/60)+(S216/60)+((P216/5000)*J216))*100/4+(((E216/20000)*(F216/60))+(((P216/5000)*J216)*(S216/60)))*100/2+((E216/20000)*(F216/60)*((P216/5000)*J216)*(S216/60))*100)*(H216/1.0)/3,"")</f>
        <v/>
      </c>
      <c r="X216" s="6" t="n">
        <v>150</v>
      </c>
      <c r="Y216">
        <f>IFERROR(W216-X216,"")</f>
        <v/>
      </c>
      <c r="Z216">
        <f>IFERROR(ABS(Y216)/MAX(X216,1),"")</f>
        <v/>
      </c>
      <c r="AA216">
        <f>IFERROR(ROUND(((3*X216-(((E216/20000)+(F216/60)+(S216/60))*100/4+((E216/20000)*(F216/60))*100/2)*(H216/1.0))/(100/4+((S216/60))*100/2+((E216/20000)*(F216/60)*(S216/60))*100)*(H216/1.0)*5000)/J216,-1),"")</f>
        <v/>
      </c>
    </row>
    <row r="217">
      <c r="B217" s="7" t="inlineStr">
        <is>
          <t xml:space="preserve">  ↳ light_inf_lmg</t>
        </is>
      </c>
      <c r="C217" s="7" t="inlineStr">
        <is>
          <t>Armament@PRIMARY</t>
        </is>
      </c>
      <c r="L217" s="6" t="n">
        <v>4000</v>
      </c>
      <c r="M217" s="6" t="n">
        <v>20</v>
      </c>
      <c r="N217" s="6" t="n">
        <v>1</v>
      </c>
      <c r="O217" s="6" t="n"/>
      <c r="P217" s="6" t="n">
        <v>5475</v>
      </c>
      <c r="Q217" s="6" t="n">
        <v>0.875</v>
      </c>
      <c r="R217">
        <f>M217+IF(MAX(N217-1,0)&gt;0,IF(ISBLANK(O217),5*MAX(N217-1,0),IF(ISNUMBER(O217),O217*MAX(N217-1,0),SUM(IFERROR(VALUE(TEXTSPLIT(O217,",")),0)))),0)</f>
        <v/>
      </c>
      <c r="S217">
        <f>IFERROR(L217*MAX(N217,1)/R217*IF(ISBLANK(K216),1,K216),0)</f>
        <v/>
      </c>
      <c r="AB217" s="7" t="inlineStr">
        <is>
          <t>^Warhead_Bullet_Medium, ^Warhead_Bullet_Light</t>
        </is>
      </c>
    </row>
    <row r="218">
      <c r="B218" s="7" t="inlineStr">
        <is>
          <t xml:space="preserve">  ↳ light_inf_lmg_upgrade</t>
        </is>
      </c>
      <c r="C218" s="7" t="inlineStr">
        <is>
          <t>Armament@Upgrade</t>
        </is>
      </c>
      <c r="L218" s="6" t="n">
        <v>6000</v>
      </c>
      <c r="M218" s="6" t="n">
        <v>20</v>
      </c>
      <c r="N218" s="6" t="n">
        <v>1</v>
      </c>
      <c r="O218" s="6" t="n"/>
      <c r="P218" s="6" t="n">
        <v>4500</v>
      </c>
      <c r="Q218" s="6" t="n">
        <v>1</v>
      </c>
      <c r="R218">
        <f>M218+IF(MAX(N218-1,0)&gt;0,IF(ISBLANK(O218),5*MAX(N218-1,0),IF(ISNUMBER(O218),O218*MAX(N218-1,0),SUM(IFERROR(VALUE(TEXTSPLIT(O218,",")),0)))),0)</f>
        <v/>
      </c>
      <c r="S218">
        <f>IFERROR(L218*MAX(N218,1)/R218*IF(ISBLANK(K216),1,K216),0)</f>
        <v/>
      </c>
      <c r="AB218" s="7" t="inlineStr">
        <is>
          <t>^Warhead_Bullet_Medium, ^Warhead_Bullet_Light, ^Warhead_CannonHE_Heavy</t>
        </is>
      </c>
    </row>
    <row r="219">
      <c r="B219" s="7" t="inlineStr">
        <is>
          <t xml:space="preserve">  ↳ light_inf_lmg</t>
        </is>
      </c>
      <c r="C219" s="7" t="inlineStr">
        <is>
          <t>Armament@GARRISONED</t>
        </is>
      </c>
      <c r="L219" s="6" t="n">
        <v>4000</v>
      </c>
      <c r="M219" s="6" t="n">
        <v>20</v>
      </c>
      <c r="N219" s="6" t="n">
        <v>1</v>
      </c>
      <c r="O219" s="6" t="n"/>
      <c r="P219" s="6" t="n">
        <v>5475</v>
      </c>
      <c r="Q219" s="6" t="n">
        <v>0.875</v>
      </c>
      <c r="R219">
        <f>M219+IF(MAX(N219-1,0)&gt;0,IF(ISBLANK(O219),5*MAX(N219-1,0),IF(ISNUMBER(O219),O219*MAX(N219-1,0),SUM(IFERROR(VALUE(TEXTSPLIT(O219,",")),0)))),0)</f>
        <v/>
      </c>
      <c r="S219">
        <f>IFERROR(L219*MAX(N219,1)/R219*IF(ISBLANK(K216),1,K216),0)</f>
        <v/>
      </c>
      <c r="AB219" s="7" t="inlineStr">
        <is>
          <t>^Warhead_Bullet_Medium, ^Warhead_Bullet_Light</t>
        </is>
      </c>
    </row>
    <row r="220">
      <c r="B220" s="7" t="inlineStr">
        <is>
          <t xml:space="preserve">  ↳ light_inf_lmg_upgrade</t>
        </is>
      </c>
      <c r="C220" s="7" t="inlineStr">
        <is>
          <t>Armament@UpgradeGARRISONED</t>
        </is>
      </c>
      <c r="L220" s="6" t="n">
        <v>6000</v>
      </c>
      <c r="M220" s="6" t="n">
        <v>20</v>
      </c>
      <c r="N220" s="6" t="n">
        <v>1</v>
      </c>
      <c r="O220" s="6" t="n"/>
      <c r="P220" s="6" t="n">
        <v>4500</v>
      </c>
      <c r="Q220" s="6" t="n">
        <v>1</v>
      </c>
      <c r="R220">
        <f>M220+IF(MAX(N220-1,0)&gt;0,IF(ISBLANK(O220),5*MAX(N220-1,0),IF(ISNUMBER(O220),O220*MAX(N220-1,0),SUM(IFERROR(VALUE(TEXTSPLIT(O220,",")),0)))),0)</f>
        <v/>
      </c>
      <c r="S220">
        <f>IFERROR(L220*MAX(N220,1)/R220*IF(ISBLANK(K216),1,K216),0)</f>
        <v/>
      </c>
      <c r="AB220" s="7" t="inlineStr">
        <is>
          <t>^Warhead_Bullet_Medium, ^Warhead_Bullet_Light, ^Warhead_CannonHE_Heavy</t>
        </is>
      </c>
    </row>
    <row r="221">
      <c r="A221" t="inlineStr">
        <is>
          <t>starcraft</t>
        </is>
      </c>
      <c r="B221" t="inlineStr">
        <is>
          <t>zerg_defiler</t>
        </is>
      </c>
      <c r="C221" t="inlineStr">
        <is>
          <t>Defiler</t>
        </is>
      </c>
      <c r="D221" s="6" t="inlineStr">
        <is>
          <t>ScoutInfantry</t>
        </is>
      </c>
      <c r="E221" s="6" t="n">
        <v>80000</v>
      </c>
      <c r="F221" s="6" t="n">
        <v>50</v>
      </c>
      <c r="G221" t="inlineStr">
        <is>
          <t>None</t>
        </is>
      </c>
      <c r="H221" s="6" t="n">
        <v>1</v>
      </c>
      <c r="I221" s="6" t="n">
        <v>1</v>
      </c>
      <c r="J221" s="6" t="n">
        <v>1.25</v>
      </c>
      <c r="P221">
        <f>MAX(P222)</f>
        <v/>
      </c>
      <c r="S221">
        <f>S222</f>
        <v/>
      </c>
      <c r="T221">
        <f>(E221/100000+F221/100+(P221/1000)*J221/5+S221/200)*200*I221*H221</f>
        <v/>
      </c>
      <c r="U221">
        <f>((E221*F221/25000)+((P221/1000)*J221*S221/2.5))*I221*H221</f>
        <v/>
      </c>
      <c r="V221">
        <f>(E221*F221*(P221/1000)*J221*S221*I221*H221)/12500000</f>
        <v/>
      </c>
      <c r="W221">
        <f>IFERROR((((E221/5000)+(F221/50)+(S221/0)+((P221/0)*J221))*500/4+(((E221/5000)*(F221/50))+(((P221/0)*J221)*(S221/0)))*500/2+((E221/5000)*(F221/50)*((P221/0)*J221)*(S221/0))*500)*(H221/1.0)/3,"")</f>
        <v/>
      </c>
      <c r="X221" s="6" t="n">
        <v>1400</v>
      </c>
      <c r="Y221">
        <f>IFERROR(W221-X221,"")</f>
        <v/>
      </c>
      <c r="Z221">
        <f>IFERROR(ABS(Y221)/MAX(X221,1),"")</f>
        <v/>
      </c>
      <c r="AA221">
        <f>IFERROR(ROUND(((3*X221-(((E221/5000)+(F221/50)+(S221/0))*500/4+((E221/5000)*(F221/50))*500/2)*(H221/1.0))/(500/4+((S221/0))*500/2+((E221/5000)*(F221/50)*(S221/0))*500)*(H221/1.0)*0)/J221,-1),"")</f>
        <v/>
      </c>
    </row>
    <row r="222">
      <c r="B222" s="7" t="inlineStr">
        <is>
          <t xml:space="preserve">  ↳ DefilerPlague</t>
        </is>
      </c>
      <c r="C222" s="7" t="inlineStr">
        <is>
          <t>Armament</t>
        </is>
      </c>
      <c r="L222" s="6" t="n">
        <v>30000</v>
      </c>
      <c r="M222" s="6" t="n">
        <v>175</v>
      </c>
      <c r="N222" s="6" t="n">
        <v>1</v>
      </c>
      <c r="O222" s="6" t="n"/>
      <c r="P222" s="6" t="n">
        <v>9000</v>
      </c>
      <c r="Q222" s="6" t="n">
        <v>1.25</v>
      </c>
      <c r="R222">
        <f>M222+IF(MAX(N222-1,0)&gt;0,IF(ISBLANK(O222),5*MAX(N222-1,0),IF(ISNUMBER(O222),O222*MAX(N222-1,0),SUM(IFERROR(VALUE(TEXTSPLIT(O222,",")),0)))),0)</f>
        <v/>
      </c>
      <c r="S222">
        <f>IFERROR(L222*MAX(N222,1)/R222*IF(ISBLANK(K221),1,K221),0)</f>
        <v/>
      </c>
      <c r="AB222" s="7" t="inlineStr">
        <is>
          <t>^Warhead_Chemical_Heavy</t>
        </is>
      </c>
    </row>
    <row r="223">
      <c r="A223" t="inlineStr">
        <is>
          <t>starcraft</t>
        </is>
      </c>
      <c r="B223" t="inlineStr">
        <is>
          <t>zerg_spithid</t>
        </is>
      </c>
      <c r="C223" t="inlineStr">
        <is>
          <t>Spithid</t>
        </is>
      </c>
      <c r="D223" s="6" t="inlineStr">
        <is>
          <t>ScoutInfantry</t>
        </is>
      </c>
      <c r="E223" s="6" t="n">
        <v>40000</v>
      </c>
      <c r="F223" s="6" t="n">
        <v>110</v>
      </c>
      <c r="G223" t="inlineStr">
        <is>
          <t>None</t>
        </is>
      </c>
      <c r="H223" s="6" t="n">
        <v>1</v>
      </c>
      <c r="I223" s="6" t="n">
        <v>1</v>
      </c>
      <c r="J223" s="6" t="n">
        <v>1</v>
      </c>
      <c r="P223">
        <f>MAX(P224)</f>
        <v/>
      </c>
      <c r="S223">
        <f>S224</f>
        <v/>
      </c>
      <c r="T223">
        <f>(E223/100000+F223/100+(P223/1000)*J223/5+S223/200)*200*I223*H223</f>
        <v/>
      </c>
      <c r="U223">
        <f>((E223*F223/25000)+((P223/1000)*J223*S223/2.5))*I223*H223</f>
        <v/>
      </c>
      <c r="V223">
        <f>(E223*F223*(P223/1000)*J223*S223*I223*H223)/12500000</f>
        <v/>
      </c>
      <c r="W223">
        <f>IFERROR((((E223/20000)+(F223/60)+(S223/60)+((P223/5000)*J223))*100/4+(((E223/20000)*(F223/60))+(((P223/5000)*J223)*(S223/60)))*100/2+((E223/20000)*(F223/60)*((P223/5000)*J223)*(S223/60))*100)*(H223/1.0)/3,"")</f>
        <v/>
      </c>
      <c r="X223" s="6" t="n">
        <v>300</v>
      </c>
      <c r="Y223">
        <f>IFERROR(W223-X223,"")</f>
        <v/>
      </c>
      <c r="Z223">
        <f>IFERROR(ABS(Y223)/MAX(X223,1),"")</f>
        <v/>
      </c>
      <c r="AA223">
        <f>IFERROR(ROUND(((3*X223-(((E223/20000)+(F223/60)+(S223/60))*100/4+((E223/20000)*(F223/60))*100/2)*(H223/1.0))/(100/4+((S223/60))*100/2+((E223/20000)*(F223/60)*(S223/60))*100)*(H223/1.0)*5000)/J223,-1),"")</f>
        <v/>
      </c>
    </row>
    <row r="224">
      <c r="B224" s="7" t="inlineStr">
        <is>
          <t xml:space="preserve">  ↳ SpithidSpit</t>
        </is>
      </c>
      <c r="C224" s="7" t="inlineStr">
        <is>
          <t>Armament@PRIMARY</t>
        </is>
      </c>
      <c r="L224" s="6" t="n">
        <v>6000</v>
      </c>
      <c r="M224" s="6" t="n">
        <v>15</v>
      </c>
      <c r="N224" s="6" t="n">
        <v>1</v>
      </c>
      <c r="O224" s="6" t="n"/>
      <c r="P224" s="6" t="n">
        <v>3855</v>
      </c>
      <c r="Q224" s="6" t="n">
        <v>1</v>
      </c>
      <c r="R224">
        <f>M224+IF(MAX(N224-1,0)&gt;0,IF(ISBLANK(O224),5*MAX(N224-1,0),IF(ISNUMBER(O224),O224*MAX(N224-1,0),SUM(IFERROR(VALUE(TEXTSPLIT(O224,",")),0)))),0)</f>
        <v/>
      </c>
      <c r="S224">
        <f>IFERROR(L224*MAX(N224,1)/R224*IF(ISBLANK(K223),1,K223),0)</f>
        <v/>
      </c>
      <c r="AB224" s="7" t="inlineStr">
        <is>
          <t>^LightMissile, ^SmallArms, ^ArrowWeapon</t>
        </is>
      </c>
    </row>
    <row r="225">
      <c r="B225" s="7" t="inlineStr">
        <is>
          <t xml:space="preserve">  ↳ SpithidSpit</t>
        </is>
      </c>
      <c r="C225" s="7" t="inlineStr">
        <is>
          <t>Armament@GARRISONED</t>
        </is>
      </c>
      <c r="L225" s="6" t="n">
        <v>6000</v>
      </c>
      <c r="M225" s="6" t="n">
        <v>15</v>
      </c>
      <c r="N225" s="6" t="n">
        <v>1</v>
      </c>
      <c r="O225" s="6" t="n"/>
      <c r="P225" s="6" t="n">
        <v>3855</v>
      </c>
      <c r="Q225" s="6" t="n">
        <v>1</v>
      </c>
      <c r="R225">
        <f>M225+IF(MAX(N225-1,0)&gt;0,IF(ISBLANK(O225),5*MAX(N225-1,0),IF(ISNUMBER(O225),O225*MAX(N225-1,0),SUM(IFERROR(VALUE(TEXTSPLIT(O225,",")),0)))),0)</f>
        <v/>
      </c>
      <c r="S225">
        <f>IFERROR(L225*MAX(N225,1)/R225*IF(ISBLANK(K223),1,K223),0)</f>
        <v/>
      </c>
      <c r="AB225" s="7" t="inlineStr">
        <is>
          <t>^LightMissile, ^SmallArms, ^ArrowWeapon</t>
        </is>
      </c>
    </row>
    <row r="226">
      <c r="A226" s="4" t="inlineStr">
        <is>
          <t>CloseCombatInfantry</t>
        </is>
      </c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</row>
    <row r="227">
      <c r="A227" t="inlineStr">
        <is>
          <t>tiberiandawn</t>
        </is>
      </c>
      <c r="B227" t="inlineStr">
        <is>
          <t>td_gdi_shotgunner</t>
        </is>
      </c>
      <c r="C227" t="inlineStr">
        <is>
          <t>Shotgunner</t>
        </is>
      </c>
      <c r="D227" s="6" t="inlineStr">
        <is>
          <t>CloseCombatInfantry</t>
        </is>
      </c>
      <c r="E227" s="6" t="n">
        <v>50000</v>
      </c>
      <c r="F227" s="6" t="n">
        <v>75</v>
      </c>
      <c r="G227" t="inlineStr">
        <is>
          <t>Plate</t>
        </is>
      </c>
      <c r="H227" s="6" t="n">
        <v>1</v>
      </c>
      <c r="I227" s="6" t="n">
        <v>1</v>
      </c>
      <c r="J227" s="6" t="n">
        <v>1</v>
      </c>
      <c r="K227" t="n">
        <v>0.01</v>
      </c>
      <c r="P227">
        <f>MAX(P228)</f>
        <v/>
      </c>
      <c r="S227">
        <f>S228</f>
        <v/>
      </c>
      <c r="T227">
        <f>(E227/100000+F227/100+(P227/1000)*J227/5+S227/200)*200*I227*H227</f>
        <v/>
      </c>
      <c r="U227">
        <f>((E227*F227/25000)+((P227/1000)*J227*S227/2.5))*I227*H227</f>
        <v/>
      </c>
      <c r="V227">
        <f>(E227*F227*(P227/1000)*J227*S227*I227*H227)/12500000</f>
        <v/>
      </c>
      <c r="W227">
        <f>IFERROR((((E227/50000)+(F227/75)+(S227/250)+((P227/3500)*J227))*200/4+(((E227/50000)*(F227/75))+(((P227/3500)*J227)*(S227/250)))*200/2+((E227/50000)*(F227/75)*((P227/3500)*J227)*(S227/250))*200)*(H227/1.0)/3,"")</f>
        <v/>
      </c>
      <c r="X227" s="6" t="n">
        <v>200</v>
      </c>
      <c r="Y227">
        <f>IFERROR(W227-X227,"")</f>
        <v/>
      </c>
      <c r="Z227">
        <f>IFERROR(ABS(Y227)/MAX(X227,1),"")</f>
        <v/>
      </c>
      <c r="AA227">
        <f>IFERROR(ROUND(((3*X227-(((E227/50000)+(F227/75)+(S227/250))*200/4+((E227/50000)*(F227/75))*200/2)*(H227/1.0))/(200/4+((S227/250))*200/2+((E227/50000)*(F227/75)*(S227/250))*200)*(H227/1.0)*3500)/J227,-1),"")</f>
        <v/>
      </c>
    </row>
    <row r="228">
      <c r="B228" s="7" t="inlineStr">
        <is>
          <t xml:space="preserve">  ↳ td_gdi_shotgunner_shotgun</t>
        </is>
      </c>
      <c r="C228" s="7" t="inlineStr">
        <is>
          <t>Armament@PRIMARY</t>
        </is>
      </c>
      <c r="L228" s="6" t="n">
        <v>4000</v>
      </c>
      <c r="M228" s="6" t="n">
        <v>70</v>
      </c>
      <c r="N228" s="6" t="n">
        <v>5</v>
      </c>
      <c r="O228" s="6" t="n">
        <v>0</v>
      </c>
      <c r="P228" s="6" t="n">
        <v>3500</v>
      </c>
      <c r="Q228" s="6" t="n">
        <v>0.875</v>
      </c>
      <c r="R228">
        <f>M228+IF(MAX(N228-1,0)&gt;0,IF(ISBLANK(O228),5*MAX(N228-1,0),IF(ISNUMBER(O228),O228*MAX(N228-1,0),SUM(IFERROR(VALUE(TEXTSPLIT(O228,",")),0)))),0)</f>
        <v/>
      </c>
      <c r="S228">
        <f>IFERROR(L228*MAX(N228,1)/R228*IF(ISBLANK(K227),1,K227),0)</f>
        <v/>
      </c>
      <c r="AB228" s="7" t="inlineStr">
        <is>
          <t>^Warhead_Bullet_Light, ^Warhead_Bullet_Medium</t>
        </is>
      </c>
    </row>
    <row r="229">
      <c r="B229" s="7" t="inlineStr">
        <is>
          <t xml:space="preserve">  ↳ td_gdi_shotgunner_shotgun</t>
        </is>
      </c>
      <c r="C229" s="7" t="inlineStr">
        <is>
          <t>Armament@GARRISONED</t>
        </is>
      </c>
      <c r="L229" s="6" t="n">
        <v>4000</v>
      </c>
      <c r="M229" s="6" t="n">
        <v>70</v>
      </c>
      <c r="N229" s="6" t="n">
        <v>5</v>
      </c>
      <c r="O229" s="6" t="n">
        <v>0</v>
      </c>
      <c r="P229" s="6" t="n">
        <v>3500</v>
      </c>
      <c r="Q229" s="6" t="n">
        <v>0.875</v>
      </c>
      <c r="R229">
        <f>M229+IF(MAX(N229-1,0)&gt;0,IF(ISBLANK(O229),5*MAX(N229-1,0),IF(ISNUMBER(O229),O229*MAX(N229-1,0),SUM(IFERROR(VALUE(TEXTSPLIT(O229,",")),0)))),0)</f>
        <v/>
      </c>
      <c r="S229">
        <f>IFERROR(L229*MAX(N229,1)/R229*IF(ISBLANK(K227),1,K227),0)</f>
        <v/>
      </c>
      <c r="AB229" s="7" t="inlineStr">
        <is>
          <t>^Warhead_Bullet_Light, ^Warhead_Bullet_Medium</t>
        </is>
      </c>
    </row>
    <row r="230">
      <c r="A230" t="inlineStr">
        <is>
          <t>redalert2mod</t>
        </is>
      </c>
      <c r="B230" t="inlineStr">
        <is>
          <t>asianalliance_fanatic</t>
        </is>
      </c>
      <c r="C230" t="inlineStr">
        <is>
          <t>Fanatic</t>
        </is>
      </c>
      <c r="D230" s="6" t="inlineStr">
        <is>
          <t>CloseCombatInfantry</t>
        </is>
      </c>
      <c r="E230" s="6" t="n">
        <v>100000</v>
      </c>
      <c r="F230" s="6" t="n">
        <v>75</v>
      </c>
      <c r="G230" t="inlineStr">
        <is>
          <t>Plate</t>
        </is>
      </c>
      <c r="H230" s="6" t="n">
        <v>1</v>
      </c>
      <c r="I230" s="6" t="n">
        <v>1</v>
      </c>
      <c r="J230" s="6" t="n">
        <v>1</v>
      </c>
      <c r="K230" t="n">
        <v>0.01</v>
      </c>
      <c r="P230">
        <f>MAX(P231,P232,P233)</f>
        <v/>
      </c>
      <c r="S230">
        <f>S231+S232+S233</f>
        <v/>
      </c>
      <c r="T230">
        <f>(E230/100000+F230/100+(P230/1000)*J230/5+S230/200)*200*I230*H230</f>
        <v/>
      </c>
      <c r="U230">
        <f>((E230*F230/25000)+((P230/1000)*J230*S230/2.5))*I230*H230</f>
        <v/>
      </c>
      <c r="V230">
        <f>(E230*F230*(P230/1000)*J230*S230*I230*H230)/12500000</f>
        <v/>
      </c>
      <c r="W230">
        <f>IFERROR((((E230/50000)+(F230/75)+(S230/250)+((P230/3500)*J230))*200/4+(((E230/50000)*(F230/75))+(((P230/3500)*J230)*(S230/250)))*200/2+((E230/50000)*(F230/75)*((P230/3500)*J230)*(S230/250))*200)*(H230/1.0)/3,"")</f>
        <v/>
      </c>
      <c r="X230" s="6" t="n">
        <v>500</v>
      </c>
      <c r="Y230">
        <f>IFERROR(W230-X230,"")</f>
        <v/>
      </c>
      <c r="Z230">
        <f>IFERROR(ABS(Y230)/MAX(X230,1),"")</f>
        <v/>
      </c>
      <c r="AA230">
        <f>IFERROR(ROUND(((3*X230-(((E230/50000)+(F230/75)+(S230/250))*200/4+((E230/50000)*(F230/75))*200/2)*(H230/1.0))/(200/4+((S230/250))*200/2+((E230/50000)*(F230/75)*(S230/250))*200)*(H230/1.0)*3500)/J230,-1),"")</f>
        <v/>
      </c>
    </row>
    <row r="231">
      <c r="B231" s="7" t="inlineStr">
        <is>
          <t xml:space="preserve">  ↳ asianalliance_fanatic_shotgun</t>
        </is>
      </c>
      <c r="C231" s="7" t="inlineStr">
        <is>
          <t>Armament@PRIMARY</t>
        </is>
      </c>
      <c r="L231" s="6" t="n">
        <v>4000</v>
      </c>
      <c r="M231" s="6" t="n">
        <v>70</v>
      </c>
      <c r="N231" s="6" t="n">
        <v>10</v>
      </c>
      <c r="O231" s="6" t="n">
        <v>0</v>
      </c>
      <c r="P231" s="6" t="n">
        <v>3500</v>
      </c>
      <c r="Q231" s="6" t="n">
        <v>0.875</v>
      </c>
      <c r="R231">
        <f>M231+IF(MAX(N231-1,0)&gt;0,IF(ISBLANK(O231),5*MAX(N231-1,0),IF(ISNUMBER(O231),O231*MAX(N231-1,0),SUM(IFERROR(VALUE(TEXTSPLIT(O231,",")),0)))),0)</f>
        <v/>
      </c>
      <c r="S231">
        <f>IFERROR(L231*MAX(N231,1)/R231*IF(ISBLANK(K230),1,K230),0)</f>
        <v/>
      </c>
      <c r="AB231" s="7" t="inlineStr">
        <is>
          <t>^Warhead_Bullet_Light, ^Warhead_Bullet_Medium</t>
        </is>
      </c>
    </row>
    <row r="232">
      <c r="B232" s="7" t="inlineStr">
        <is>
          <t xml:space="preserve">  ↳ asianalliance_fanatic_shotgun_upgrade</t>
        </is>
      </c>
      <c r="C232" s="7" t="inlineStr">
        <is>
          <t>Armament@Upgrade</t>
        </is>
      </c>
      <c r="L232" s="6" t="n">
        <v>4000</v>
      </c>
      <c r="M232" s="6" t="n">
        <v>70</v>
      </c>
      <c r="N232" s="6" t="n">
        <v>13</v>
      </c>
      <c r="O232" s="6" t="n">
        <v>0</v>
      </c>
      <c r="P232" s="6" t="n">
        <v>3500</v>
      </c>
      <c r="Q232" s="6" t="n">
        <v>0.875</v>
      </c>
      <c r="R232">
        <f>M232+IF(MAX(N232-1,0)&gt;0,IF(ISBLANK(O232),5*MAX(N232-1,0),IF(ISNUMBER(O232),O232*MAX(N232-1,0),SUM(IFERROR(VALUE(TEXTSPLIT(O232,",")),0)))),0)</f>
        <v/>
      </c>
      <c r="S232">
        <f>IFERROR(L232*MAX(N232,1)/R232*IF(ISBLANK(K230),1,K230),0)</f>
        <v/>
      </c>
      <c r="AB232" s="7" t="inlineStr">
        <is>
          <t>^Warhead_Bullet_Light, ^Warhead_Bullet_Medium</t>
        </is>
      </c>
    </row>
    <row r="233">
      <c r="B233" s="7" t="inlineStr">
        <is>
          <t xml:space="preserve">  ↳ asianalliance_fanatic_shotgun_elite</t>
        </is>
      </c>
      <c r="C233" s="7" t="inlineStr">
        <is>
          <t>Armament@ELITE</t>
        </is>
      </c>
      <c r="L233" s="6" t="n">
        <v>4000</v>
      </c>
      <c r="M233" s="6" t="n">
        <v>70</v>
      </c>
      <c r="N233" s="6" t="n">
        <v>20</v>
      </c>
      <c r="O233" s="6" t="n">
        <v>0</v>
      </c>
      <c r="P233" s="6" t="n">
        <v>3500</v>
      </c>
      <c r="Q233" s="6" t="n">
        <v>0.875</v>
      </c>
      <c r="R233">
        <f>M233+IF(MAX(N233-1,0)&gt;0,IF(ISBLANK(O233),5*MAX(N233-1,0),IF(ISNUMBER(O233),O233*MAX(N233-1,0),SUM(IFERROR(VALUE(TEXTSPLIT(O233,",")),0)))),0)</f>
        <v/>
      </c>
      <c r="S233">
        <f>IFERROR(L233*MAX(N233,1)/R233*IF(ISBLANK(K230),1,K230),0)</f>
        <v/>
      </c>
      <c r="AB233" s="7" t="inlineStr">
        <is>
          <t>^Warhead_Bullet_Light, ^Warhead_Bullet_Medium</t>
        </is>
      </c>
    </row>
    <row r="234">
      <c r="B234" s="7" t="inlineStr">
        <is>
          <t xml:space="preserve">  ↳ asianalliance_fanatic_shotgun</t>
        </is>
      </c>
      <c r="C234" s="7" t="inlineStr">
        <is>
          <t>Armament@GARRISONED</t>
        </is>
      </c>
      <c r="L234" s="6" t="n">
        <v>4000</v>
      </c>
      <c r="M234" s="6" t="n">
        <v>70</v>
      </c>
      <c r="N234" s="6" t="n">
        <v>10</v>
      </c>
      <c r="O234" s="6" t="n">
        <v>0</v>
      </c>
      <c r="P234" s="6" t="n">
        <v>3500</v>
      </c>
      <c r="Q234" s="6" t="n">
        <v>0.875</v>
      </c>
      <c r="R234">
        <f>M234+IF(MAX(N234-1,0)&gt;0,IF(ISBLANK(O234),5*MAX(N234-1,0),IF(ISNUMBER(O234),O234*MAX(N234-1,0),SUM(IFERROR(VALUE(TEXTSPLIT(O234,",")),0)))),0)</f>
        <v/>
      </c>
      <c r="S234">
        <f>IFERROR(L234*MAX(N234,1)/R234*IF(ISBLANK(K230),1,K230),0)</f>
        <v/>
      </c>
      <c r="AB234" s="7" t="inlineStr">
        <is>
          <t>^Warhead_Bullet_Light, ^Warhead_Bullet_Medium</t>
        </is>
      </c>
    </row>
    <row r="235">
      <c r="B235" s="7" t="inlineStr">
        <is>
          <t xml:space="preserve">  ↳ asianalliance_fanatic_shotgun_upgrade</t>
        </is>
      </c>
      <c r="C235" s="7" t="inlineStr">
        <is>
          <t>Armament@GARRISONEDUpgrade</t>
        </is>
      </c>
      <c r="L235" s="6" t="n">
        <v>4000</v>
      </c>
      <c r="M235" s="6" t="n">
        <v>70</v>
      </c>
      <c r="N235" s="6" t="n">
        <v>13</v>
      </c>
      <c r="O235" s="6" t="n">
        <v>0</v>
      </c>
      <c r="P235" s="6" t="n">
        <v>3500</v>
      </c>
      <c r="Q235" s="6" t="n">
        <v>0.875</v>
      </c>
      <c r="R235">
        <f>M235+IF(MAX(N235-1,0)&gt;0,IF(ISBLANK(O235),5*MAX(N235-1,0),IF(ISNUMBER(O235),O235*MAX(N235-1,0),SUM(IFERROR(VALUE(TEXTSPLIT(O235,",")),0)))),0)</f>
        <v/>
      </c>
      <c r="S235">
        <f>IFERROR(L235*MAX(N235,1)/R235*IF(ISBLANK(K230),1,K230),0)</f>
        <v/>
      </c>
      <c r="AB235" s="7" t="inlineStr">
        <is>
          <t>^Warhead_Bullet_Light, ^Warhead_Bullet_Medium</t>
        </is>
      </c>
    </row>
    <row r="236">
      <c r="B236" s="7" t="inlineStr">
        <is>
          <t xml:space="preserve">  ↳ asianalliance_fanatic_shotgun_elite</t>
        </is>
      </c>
      <c r="C236" s="7" t="inlineStr">
        <is>
          <t>Armament@GARRISONEDELITE</t>
        </is>
      </c>
      <c r="L236" s="6" t="n">
        <v>4000</v>
      </c>
      <c r="M236" s="6" t="n">
        <v>70</v>
      </c>
      <c r="N236" s="6" t="n">
        <v>20</v>
      </c>
      <c r="O236" s="6" t="n">
        <v>0</v>
      </c>
      <c r="P236" s="6" t="n">
        <v>3500</v>
      </c>
      <c r="Q236" s="6" t="n">
        <v>0.875</v>
      </c>
      <c r="R236">
        <f>M236+IF(MAX(N236-1,0)&gt;0,IF(ISBLANK(O236),5*MAX(N236-1,0),IF(ISNUMBER(O236),O236*MAX(N236-1,0),SUM(IFERROR(VALUE(TEXTSPLIT(O236,",")),0)))),0)</f>
        <v/>
      </c>
      <c r="S236">
        <f>IFERROR(L236*MAX(N236,1)/R236*IF(ISBLANK(K230),1,K230),0)</f>
        <v/>
      </c>
      <c r="AB236" s="7" t="inlineStr">
        <is>
          <t>^Warhead_Bullet_Light, ^Warhead_Bullet_Medium</t>
        </is>
      </c>
    </row>
    <row r="237">
      <c r="A237" t="inlineStr">
        <is>
          <t>redalert2mod</t>
        </is>
      </c>
      <c r="B237" t="inlineStr">
        <is>
          <t>alien.nax</t>
        </is>
      </c>
      <c r="C237" t="inlineStr">
        <is>
          <t>Naxi Alien</t>
        </is>
      </c>
      <c r="D237" s="6" t="inlineStr">
        <is>
          <t>CloseCombatInfantry</t>
        </is>
      </c>
      <c r="E237" s="6" t="n">
        <v>15000</v>
      </c>
      <c r="F237" s="6" t="n">
        <v>40</v>
      </c>
      <c r="G237" t="inlineStr">
        <is>
          <t>Plate</t>
        </is>
      </c>
      <c r="H237" s="6" t="n">
        <v>1</v>
      </c>
      <c r="I237" s="6" t="n">
        <v>1</v>
      </c>
      <c r="J237" s="6" t="n">
        <v>1</v>
      </c>
      <c r="K237" t="n">
        <v>0.0125</v>
      </c>
      <c r="P237">
        <f>MAX(P238,P239)</f>
        <v/>
      </c>
      <c r="S237">
        <f>S238+S239</f>
        <v/>
      </c>
      <c r="T237">
        <f>(E237/100000+F237/100+(P237/1000)*J237/5+S237/200)*200*I237*H237</f>
        <v/>
      </c>
      <c r="U237">
        <f>((E237*F237/25000)+((P237/1000)*J237*S237/2.5))*I237*H237</f>
        <v/>
      </c>
      <c r="V237">
        <f>(E237*F237*(P237/1000)*J237*S237*I237*H237)/12500000</f>
        <v/>
      </c>
      <c r="W237">
        <f>IFERROR((((E237/50000)+(F237/75)+(S237/250)+((P237/3500)*J237))*200/4+(((E237/50000)*(F237/75))+(((P237/3500)*J237)*(S237/250)))*200/2+((E237/50000)*(F237/75)*((P237/3500)*J237)*(S237/250))*200)*(H237/1.0)/3,"")</f>
        <v/>
      </c>
      <c r="X237" s="6" t="n">
        <v>110</v>
      </c>
      <c r="Y237">
        <f>IFERROR(W237-X237,"")</f>
        <v/>
      </c>
      <c r="Z237">
        <f>IFERROR(ABS(Y237)/MAX(X237,1),"")</f>
        <v/>
      </c>
      <c r="AA237">
        <f>IFERROR(ROUND(((3*X237-(((E237/50000)+(F237/75)+(S237/250))*200/4+((E237/50000)*(F237/75))*200/2)*(H237/1.0))/(200/4+((S237/250))*200/2+((E237/50000)*(F237/75)*(S237/250))*200)*(H237/1.0)*3500)/J237,-1),"")</f>
        <v/>
      </c>
    </row>
    <row r="238">
      <c r="B238" s="7" t="inlineStr">
        <is>
          <t xml:space="preserve">  ↳ NaxiAlienPistol</t>
        </is>
      </c>
      <c r="C238" s="7" t="inlineStr">
        <is>
          <t>Armament@PRIMARY</t>
        </is>
      </c>
      <c r="L238" s="6" t="n">
        <v>24000</v>
      </c>
      <c r="M238" s="6" t="n">
        <v>54</v>
      </c>
      <c r="N238" s="6" t="n">
        <v>2</v>
      </c>
      <c r="O238" s="6" t="n">
        <v>3</v>
      </c>
      <c r="P238" s="6" t="n">
        <v>2777</v>
      </c>
      <c r="Q238" s="6" t="n">
        <v>1.125</v>
      </c>
      <c r="R238">
        <f>M238+IF(MAX(N238-1,0)&gt;0,IF(ISBLANK(O238),5*MAX(N238-1,0),IF(ISNUMBER(O238),O238*MAX(N238-1,0),SUM(IFERROR(VALUE(TEXTSPLIT(O238,",")),0)))),0)</f>
        <v/>
      </c>
      <c r="S238">
        <f>IFERROR(L238*MAX(N238,1)/R238*IF(ISBLANK(K237),1,K237),0)</f>
        <v/>
      </c>
      <c r="AB238" s="7" t="inlineStr">
        <is>
          <t>^Warhead_Tesla_Heavy, ^Warhead_CannonHE_Medium</t>
        </is>
      </c>
    </row>
    <row r="239">
      <c r="B239" s="7" t="inlineStr">
        <is>
          <t xml:space="preserve">  ↳ NaxiAlienPistol_elite</t>
        </is>
      </c>
      <c r="C239" s="7" t="inlineStr">
        <is>
          <t>Armament@ELITE</t>
        </is>
      </c>
      <c r="L239" s="6" t="n">
        <v>24000</v>
      </c>
      <c r="M239" s="6" t="n">
        <v>54</v>
      </c>
      <c r="N239" s="6" t="n">
        <v>4</v>
      </c>
      <c r="O239" s="6" t="n">
        <v>3</v>
      </c>
      <c r="P239" s="6" t="n">
        <v>3500</v>
      </c>
      <c r="Q239" s="6" t="n">
        <v>1.125</v>
      </c>
      <c r="R239">
        <f>M239+IF(MAX(N239-1,0)&gt;0,IF(ISBLANK(O239),5*MAX(N239-1,0),IF(ISNUMBER(O239),O239*MAX(N239-1,0),SUM(IFERROR(VALUE(TEXTSPLIT(O239,",")),0)))),0)</f>
        <v/>
      </c>
      <c r="S239">
        <f>IFERROR(L239*MAX(N239,1)/R239*IF(ISBLANK(K237),1,K237),0)</f>
        <v/>
      </c>
      <c r="AB239" s="7" t="inlineStr">
        <is>
          <t>^Warhead_Tesla_Heavy, ^Warhead_CannonHE_Medium</t>
        </is>
      </c>
    </row>
    <row r="240">
      <c r="B240" s="7" t="inlineStr">
        <is>
          <t xml:space="preserve">  ↳ NaxiAlienPistol</t>
        </is>
      </c>
      <c r="C240" s="7" t="inlineStr">
        <is>
          <t>Armament@GARRISONED</t>
        </is>
      </c>
      <c r="L240" s="6" t="n">
        <v>24000</v>
      </c>
      <c r="M240" s="6" t="n">
        <v>54</v>
      </c>
      <c r="N240" s="6" t="n">
        <v>2</v>
      </c>
      <c r="O240" s="6" t="n">
        <v>3</v>
      </c>
      <c r="P240" s="6" t="n">
        <v>2777</v>
      </c>
      <c r="Q240" s="6" t="n">
        <v>1.125</v>
      </c>
      <c r="R240">
        <f>M240+IF(MAX(N240-1,0)&gt;0,IF(ISBLANK(O240),5*MAX(N240-1,0),IF(ISNUMBER(O240),O240*MAX(N240-1,0),SUM(IFERROR(VALUE(TEXTSPLIT(O240,",")),0)))),0)</f>
        <v/>
      </c>
      <c r="S240">
        <f>IFERROR(L240*MAX(N240,1)/R240*IF(ISBLANK(K237),1,K237),0)</f>
        <v/>
      </c>
      <c r="AB240" s="7" t="inlineStr">
        <is>
          <t>^Warhead_Tesla_Heavy, ^Warhead_CannonHE_Medium</t>
        </is>
      </c>
    </row>
    <row r="241">
      <c r="B241" s="7" t="inlineStr">
        <is>
          <t xml:space="preserve">  ↳ NaxiAlienPistol_elite</t>
        </is>
      </c>
      <c r="C241" s="7" t="inlineStr">
        <is>
          <t>Armament@GARRISONEDELITE</t>
        </is>
      </c>
      <c r="L241" s="6" t="n">
        <v>24000</v>
      </c>
      <c r="M241" s="6" t="n">
        <v>54</v>
      </c>
      <c r="N241" s="6" t="n">
        <v>4</v>
      </c>
      <c r="O241" s="6" t="n">
        <v>3</v>
      </c>
      <c r="P241" s="6" t="n">
        <v>3500</v>
      </c>
      <c r="Q241" s="6" t="n">
        <v>1.125</v>
      </c>
      <c r="R241">
        <f>M241+IF(MAX(N241-1,0)&gt;0,IF(ISBLANK(O241),5*MAX(N241-1,0),IF(ISNUMBER(O241),O241*MAX(N241-1,0),SUM(IFERROR(VALUE(TEXTSPLIT(O241,",")),0)))),0)</f>
        <v/>
      </c>
      <c r="S241">
        <f>IFERROR(L241*MAX(N241,1)/R241*IF(ISBLANK(K237),1,K237),0)</f>
        <v/>
      </c>
      <c r="AB241" s="7" t="inlineStr">
        <is>
          <t>^Warhead_Tesla_Heavy, ^Warhead_CannonHE_Medium</t>
        </is>
      </c>
    </row>
    <row r="242">
      <c r="A242" t="inlineStr">
        <is>
          <t>redalert2mod</t>
        </is>
      </c>
      <c r="B242" t="inlineStr">
        <is>
          <t>naxis_sssoldier</t>
        </is>
      </c>
      <c r="C242" t="inlineStr">
        <is>
          <t>SS Soldier</t>
        </is>
      </c>
      <c r="D242" s="6" t="inlineStr">
        <is>
          <t>CloseCombatInfantry</t>
        </is>
      </c>
      <c r="E242" s="6" t="n">
        <v>63000</v>
      </c>
      <c r="F242" s="6" t="n">
        <v>55</v>
      </c>
      <c r="G242" t="inlineStr">
        <is>
          <t>Plate</t>
        </is>
      </c>
      <c r="H242" s="6" t="n">
        <v>0.75</v>
      </c>
      <c r="I242" s="6" t="n">
        <v>1</v>
      </c>
      <c r="J242" s="6" t="n">
        <v>1</v>
      </c>
      <c r="K242" t="n">
        <v>0.0095</v>
      </c>
      <c r="P242">
        <f>MAX(P243,P244)</f>
        <v/>
      </c>
      <c r="S242">
        <f>S243+S244</f>
        <v/>
      </c>
      <c r="T242">
        <f>(E242/100000+F242/100+(P242/1000)*J242/5+S242/200)*200*I242*H242</f>
        <v/>
      </c>
      <c r="U242">
        <f>((E242*F242/25000)+((P242/1000)*J242*S242/2.5))*I242*H242</f>
        <v/>
      </c>
      <c r="V242">
        <f>(E242*F242*(P242/1000)*J242*S242*I242*H242)/12500000</f>
        <v/>
      </c>
      <c r="W242">
        <f>IFERROR((((E242/50000)+(F242/75)+(S242/250)+((P242/3500)*J242))*200/4+(((E242/50000)*(F242/75))+(((P242/3500)*J242)*(S242/250)))*200/2+((E242/50000)*(F242/75)*((P242/3500)*J242)*(S242/250))*200)*(H242/1.0)/3,"")</f>
        <v/>
      </c>
      <c r="X242" s="6" t="n">
        <v>240</v>
      </c>
      <c r="Y242">
        <f>IFERROR(W242-X242,"")</f>
        <v/>
      </c>
      <c r="Z242">
        <f>IFERROR(ABS(Y242)/MAX(X242,1),"")</f>
        <v/>
      </c>
      <c r="AA242">
        <f>IFERROR(ROUND(((3*X242-(((E242/50000)+(F242/75)+(S242/250))*200/4+((E242/50000)*(F242/75))*200/2)*(H242/1.0))/(200/4+((S242/250))*200/2+((E242/50000)*(F242/75)*(S242/250))*200)*(H242/1.0)*3500)/J242,-1),"")</f>
        <v/>
      </c>
    </row>
    <row r="243">
      <c r="B243" s="7" t="inlineStr">
        <is>
          <t xml:space="preserve">  ↳ naxis_sssoldier_smg</t>
        </is>
      </c>
      <c r="C243" s="7" t="inlineStr">
        <is>
          <t>Armament@PRIMARY</t>
        </is>
      </c>
      <c r="L243" s="6" t="n">
        <v>4000</v>
      </c>
      <c r="M243" s="6" t="n">
        <v>75</v>
      </c>
      <c r="N243" s="6" t="n">
        <v>10</v>
      </c>
      <c r="O243" s="6" t="n">
        <v>5</v>
      </c>
      <c r="P243" s="6" t="n">
        <v>4500</v>
      </c>
      <c r="Q243" s="6" t="n">
        <v>0.875</v>
      </c>
      <c r="R243">
        <f>M243+IF(MAX(N243-1,0)&gt;0,IF(ISBLANK(O243),5*MAX(N243-1,0),IF(ISNUMBER(O243),O243*MAX(N243-1,0),SUM(IFERROR(VALUE(TEXTSPLIT(O243,",")),0)))),0)</f>
        <v/>
      </c>
      <c r="S243">
        <f>IFERROR(L243*MAX(N243,1)/R243*IF(ISBLANK(K242),1,K242),0)</f>
        <v/>
      </c>
      <c r="AB243" s="7" t="inlineStr">
        <is>
          <t>^Warhead_Bullet_Light, ^Warhead_Bullet_Medium</t>
        </is>
      </c>
    </row>
    <row r="244">
      <c r="B244" s="7" t="inlineStr">
        <is>
          <t xml:space="preserve">  ↳ naxis_sssoldier_smg_elite</t>
        </is>
      </c>
      <c r="C244" s="7" t="inlineStr">
        <is>
          <t>Armament@ELITE</t>
        </is>
      </c>
      <c r="L244" s="6" t="n">
        <v>4000</v>
      </c>
      <c r="M244" s="6" t="n">
        <v>75</v>
      </c>
      <c r="N244" s="6" t="n">
        <v>20</v>
      </c>
      <c r="O244" s="6" t="n">
        <v>4</v>
      </c>
      <c r="P244" s="6" t="n">
        <v>4500</v>
      </c>
      <c r="Q244" s="6" t="n">
        <v>0.875</v>
      </c>
      <c r="R244">
        <f>M244+IF(MAX(N244-1,0)&gt;0,IF(ISBLANK(O244),5*MAX(N244-1,0),IF(ISNUMBER(O244),O244*MAX(N244-1,0),SUM(IFERROR(VALUE(TEXTSPLIT(O244,",")),0)))),0)</f>
        <v/>
      </c>
      <c r="S244">
        <f>IFERROR(L244*MAX(N244,1)/R244*IF(ISBLANK(K242),1,K242),0)</f>
        <v/>
      </c>
      <c r="AB244" s="7" t="inlineStr">
        <is>
          <t>^Warhead_Bullet_Light, ^Warhead_Bullet_Medium</t>
        </is>
      </c>
    </row>
    <row r="245">
      <c r="B245" s="7" t="inlineStr">
        <is>
          <t xml:space="preserve">  ↳ naxis_sssoldier_smg</t>
        </is>
      </c>
      <c r="C245" s="7" t="inlineStr">
        <is>
          <t>Armament@GARRISONED</t>
        </is>
      </c>
      <c r="L245" s="6" t="n">
        <v>4000</v>
      </c>
      <c r="M245" s="6" t="n">
        <v>75</v>
      </c>
      <c r="N245" s="6" t="n">
        <v>10</v>
      </c>
      <c r="O245" s="6" t="n">
        <v>5</v>
      </c>
      <c r="P245" s="6" t="n">
        <v>4500</v>
      </c>
      <c r="Q245" s="6" t="n">
        <v>0.875</v>
      </c>
      <c r="R245">
        <f>M245+IF(MAX(N245-1,0)&gt;0,IF(ISBLANK(O245),5*MAX(N245-1,0),IF(ISNUMBER(O245),O245*MAX(N245-1,0),SUM(IFERROR(VALUE(TEXTSPLIT(O245,",")),0)))),0)</f>
        <v/>
      </c>
      <c r="S245">
        <f>IFERROR(L245*MAX(N245,1)/R245*IF(ISBLANK(K242),1,K242),0)</f>
        <v/>
      </c>
      <c r="AB245" s="7" t="inlineStr">
        <is>
          <t>^Warhead_Bullet_Light, ^Warhead_Bullet_Medium</t>
        </is>
      </c>
    </row>
    <row r="246">
      <c r="B246" s="7" t="inlineStr">
        <is>
          <t xml:space="preserve">  ↳ naxis_sssoldier_smg_elite</t>
        </is>
      </c>
      <c r="C246" s="7" t="inlineStr">
        <is>
          <t>Armament@GARRISONEDELITE</t>
        </is>
      </c>
      <c r="L246" s="6" t="n">
        <v>4000</v>
      </c>
      <c r="M246" s="6" t="n">
        <v>75</v>
      </c>
      <c r="N246" s="6" t="n">
        <v>20</v>
      </c>
      <c r="O246" s="6" t="n">
        <v>4</v>
      </c>
      <c r="P246" s="6" t="n">
        <v>4500</v>
      </c>
      <c r="Q246" s="6" t="n">
        <v>0.875</v>
      </c>
      <c r="R246">
        <f>M246+IF(MAX(N246-1,0)&gt;0,IF(ISBLANK(O246),5*MAX(N246-1,0),IF(ISNUMBER(O246),O246*MAX(N246-1,0),SUM(IFERROR(VALUE(TEXTSPLIT(O246,",")),0)))),0)</f>
        <v/>
      </c>
      <c r="S246">
        <f>IFERROR(L246*MAX(N246,1)/R246*IF(ISBLANK(K242),1,K242),0)</f>
        <v/>
      </c>
      <c r="AB246" s="7" t="inlineStr">
        <is>
          <t>^Warhead_Bullet_Light, ^Warhead_Bullet_Medium</t>
        </is>
      </c>
    </row>
    <row r="247">
      <c r="A247" s="4" t="inlineStr">
        <is>
          <t>GrenadierInfantry</t>
        </is>
      </c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</row>
    <row r="248">
      <c r="A248" t="inlineStr">
        <is>
          <t>tiberiandawn</t>
        </is>
      </c>
      <c r="B248" t="inlineStr">
        <is>
          <t>td_gdi_empgrenadier</t>
        </is>
      </c>
      <c r="C248" t="inlineStr">
        <is>
          <t>EMP Grenadier</t>
        </is>
      </c>
      <c r="D248" s="6" t="inlineStr">
        <is>
          <t>GrenadierInfantry</t>
        </is>
      </c>
      <c r="E248" s="6" t="n">
        <v>32000</v>
      </c>
      <c r="F248" s="6" t="n">
        <v>60</v>
      </c>
      <c r="G248" t="inlineStr">
        <is>
          <t>None</t>
        </is>
      </c>
      <c r="H248" s="6" t="n">
        <v>1</v>
      </c>
      <c r="I248" s="6" t="n">
        <v>0.4</v>
      </c>
      <c r="J248" s="6" t="n">
        <v>1.25</v>
      </c>
      <c r="K248" t="n">
        <v>0.012</v>
      </c>
      <c r="P248">
        <f>MAX(P249)</f>
        <v/>
      </c>
      <c r="S248">
        <f>S249</f>
        <v/>
      </c>
      <c r="T248">
        <f>(E248/100000+F248/100+(P248/1000)*J248/5+S248/200)*200*I248*H248</f>
        <v/>
      </c>
      <c r="U248">
        <f>((E248*F248/25000)+((P248/1000)*J248*S248/2.5))*I248*H248</f>
        <v/>
      </c>
      <c r="V248">
        <f>(E248*F248*(P248/1000)*J248*S248*I248*H248)/12500000</f>
        <v/>
      </c>
      <c r="W248">
        <f>(T248+U248+V248)/3</f>
        <v/>
      </c>
      <c r="X248" s="6" t="n">
        <v>500</v>
      </c>
      <c r="Y248">
        <f>IFERROR(W248-X248,"")</f>
        <v/>
      </c>
      <c r="Z248">
        <f>IFERROR(ABS(Y248)/MAX(X248,1),"")</f>
        <v/>
      </c>
      <c r="AA248">
        <f>IFERROR((X248-(((E248/100000+F248/100+S248/200)*200*I248*H248)+((E248*F248/25000)*I248*H248))/3)/(((J248/5)*200*I248*H248)+((J248*S248/2.5)*I248*H248)+((E248*F248*J248*S248*I248*H248)/12500000))/3*1000,"")</f>
        <v/>
      </c>
    </row>
    <row r="249">
      <c r="B249" s="7" t="inlineStr">
        <is>
          <t xml:space="preserve">  ↳ EMPGrenade</t>
        </is>
      </c>
      <c r="C249" s="7" t="inlineStr">
        <is>
          <t>Armament</t>
        </is>
      </c>
      <c r="L249" s="6" t="n">
        <v>64000</v>
      </c>
      <c r="M249" s="6" t="n">
        <v>111</v>
      </c>
      <c r="N249" s="6" t="n">
        <v>1</v>
      </c>
      <c r="O249" s="6" t="n"/>
      <c r="P249" s="6" t="n">
        <v>5694</v>
      </c>
      <c r="Q249" s="6" t="n">
        <v>1</v>
      </c>
      <c r="R249">
        <f>M249+IF(MAX(N249-1,0)&gt;0,IF(ISBLANK(O249),5*MAX(N249-1,0),IF(ISNUMBER(O249),O249*MAX(N249-1,0),SUM(IFERROR(VALUE(TEXTSPLIT(O249,",")),0)))),0)</f>
        <v/>
      </c>
      <c r="S249">
        <f>IFERROR(L249*MAX(N249,1)/R249*IF(ISBLANK(K248),1,K248),0)</f>
        <v/>
      </c>
      <c r="AB249" s="7" t="inlineStr">
        <is>
          <t>^TeslaChargedWeapon, ^TeslaWeapon, ^MediumFlameWeapon, ^ShrapnelWeapon, ^HeavyCannon, ^MediumCannon, ^MediumMissile, ^HeavyMissile</t>
        </is>
      </c>
    </row>
    <row r="250">
      <c r="B250" s="7" t="inlineStr">
        <is>
          <t xml:space="preserve">  ↳ EMPGrenade</t>
        </is>
      </c>
      <c r="C250" s="7" t="inlineStr">
        <is>
          <t>Armament@GARRISONED</t>
        </is>
      </c>
      <c r="L250" s="6" t="n">
        <v>64000</v>
      </c>
      <c r="M250" s="6" t="n">
        <v>111</v>
      </c>
      <c r="N250" s="6" t="n">
        <v>1</v>
      </c>
      <c r="O250" s="6" t="n"/>
      <c r="P250" s="6" t="n">
        <v>5694</v>
      </c>
      <c r="Q250" s="6" t="n">
        <v>1</v>
      </c>
      <c r="R250">
        <f>M250+IF(MAX(N250-1,0)&gt;0,IF(ISBLANK(O250),5*MAX(N250-1,0),IF(ISNUMBER(O250),O250*MAX(N250-1,0),SUM(IFERROR(VALUE(TEXTSPLIT(O250,",")),0)))),0)</f>
        <v/>
      </c>
      <c r="S250">
        <f>IFERROR(L250*MAX(N250,1)/R250*IF(ISBLANK(K248),1,K248),0)</f>
        <v/>
      </c>
      <c r="AB250" s="7" t="inlineStr">
        <is>
          <t>^TeslaChargedWeapon, ^TeslaWeapon, ^MediumFlameWeapon, ^ShrapnelWeapon, ^HeavyCannon, ^MediumCannon, ^MediumMissile, ^HeavyMissile</t>
        </is>
      </c>
    </row>
    <row r="251">
      <c r="A251" t="inlineStr">
        <is>
          <t>tiberiandawn</t>
        </is>
      </c>
      <c r="B251" t="inlineStr">
        <is>
          <t>td_gdi_grenadier</t>
        </is>
      </c>
      <c r="C251" t="inlineStr">
        <is>
          <t>GDI Grenadier</t>
        </is>
      </c>
      <c r="D251" s="6" t="inlineStr">
        <is>
          <t>GrenadierInfantry</t>
        </is>
      </c>
      <c r="E251" s="6" t="n">
        <v>8000</v>
      </c>
      <c r="F251" s="6" t="n">
        <v>75</v>
      </c>
      <c r="G251" t="inlineStr">
        <is>
          <t>None</t>
        </is>
      </c>
      <c r="H251" s="6" t="n">
        <v>1</v>
      </c>
      <c r="I251" s="6" t="n">
        <v>0.4</v>
      </c>
      <c r="J251" s="6" t="n">
        <v>1</v>
      </c>
      <c r="P251">
        <f>MAX(P252)</f>
        <v/>
      </c>
      <c r="S251">
        <f>S252</f>
        <v/>
      </c>
      <c r="T251">
        <f>(E251/100000+F251/100+(P251/1000)*J251/5+S251/200)*200*I251*H251</f>
        <v/>
      </c>
      <c r="U251">
        <f>((E251*F251/25000)+((P251/1000)*J251*S251/2.5))*I251*H251</f>
        <v/>
      </c>
      <c r="V251">
        <f>(E251*F251*(P251/1000)*J251*S251*I251*H251)/12500000</f>
        <v/>
      </c>
      <c r="W251">
        <f>(T251+U251+V251)/3</f>
        <v/>
      </c>
      <c r="X251" s="6" t="n">
        <v>200</v>
      </c>
      <c r="Y251">
        <f>IFERROR(W251-X251,"")</f>
        <v/>
      </c>
      <c r="Z251">
        <f>IFERROR(ABS(Y251)/MAX(X251,1),"")</f>
        <v/>
      </c>
      <c r="AA251">
        <f>IFERROR((X251-(((E251/100000+F251/100+S251/200)*200*I251*H251)+((E251*F251/25000)*I251*H251))/3)/(((J251/5)*200*I251*H251)+((J251*S251/2.5)*I251*H251)+((E251*F251*J251*S251*I251*H251)/12500000))/3*1000,"")</f>
        <v/>
      </c>
    </row>
    <row r="252">
      <c r="B252" s="7" t="inlineStr">
        <is>
          <t xml:space="preserve">  ↳ Grenade</t>
        </is>
      </c>
      <c r="C252" s="7" t="inlineStr">
        <is>
          <t>Armament</t>
        </is>
      </c>
      <c r="L252" s="6" t="n">
        <v>16000</v>
      </c>
      <c r="M252" s="6" t="n">
        <v>42</v>
      </c>
      <c r="N252" s="6" t="n">
        <v>1</v>
      </c>
      <c r="O252" s="6" t="n"/>
      <c r="P252" s="6" t="n">
        <v>6097</v>
      </c>
      <c r="Q252" s="6" t="n">
        <v>0.75</v>
      </c>
      <c r="R252">
        <f>M252+IF(MAX(N252-1,0)&gt;0,IF(ISBLANK(O252),5*MAX(N252-1,0),IF(ISNUMBER(O252),O252*MAX(N252-1,0),SUM(IFERROR(VALUE(TEXTSPLIT(O252,",")),0)))),0)</f>
        <v/>
      </c>
      <c r="S252">
        <f>IFERROR(L252*MAX(N252,1)/R252*IF(ISBLANK(K251),1,K251),0)</f>
        <v/>
      </c>
      <c r="AB252" s="7" t="inlineStr">
        <is>
          <t>^Warhead_Demolition_Light</t>
        </is>
      </c>
    </row>
    <row r="253">
      <c r="B253" s="7" t="inlineStr">
        <is>
          <t xml:space="preserve">  ↳ Grenade</t>
        </is>
      </c>
      <c r="C253" s="7" t="inlineStr">
        <is>
          <t>Armament@GARRISONED</t>
        </is>
      </c>
      <c r="L253" s="6" t="n">
        <v>16000</v>
      </c>
      <c r="M253" s="6" t="n">
        <v>42</v>
      </c>
      <c r="N253" s="6" t="n">
        <v>1</v>
      </c>
      <c r="O253" s="6" t="n"/>
      <c r="P253" s="6" t="n">
        <v>6097</v>
      </c>
      <c r="Q253" s="6" t="n">
        <v>0.75</v>
      </c>
      <c r="R253">
        <f>M253+IF(MAX(N253-1,0)&gt;0,IF(ISBLANK(O253),5*MAX(N253-1,0),IF(ISNUMBER(O253),O253*MAX(N253-1,0),SUM(IFERROR(VALUE(TEXTSPLIT(O253,",")),0)))),0)</f>
        <v/>
      </c>
      <c r="S253">
        <f>IFERROR(L253*MAX(N253,1)/R253*IF(ISBLANK(K251),1,K251),0)</f>
        <v/>
      </c>
      <c r="AB253" s="7" t="inlineStr">
        <is>
          <t>^Warhead_Demolition_Light</t>
        </is>
      </c>
    </row>
    <row r="254">
      <c r="A254" t="inlineStr">
        <is>
          <t>shared</t>
        </is>
      </c>
      <c r="B254" t="inlineStr">
        <is>
          <t>ra1_soviets_molotovconscript</t>
        </is>
      </c>
      <c r="C254" t="inlineStr">
        <is>
          <t>Molotov Conscript</t>
        </is>
      </c>
      <c r="D254" s="6" t="inlineStr">
        <is>
          <t>GrenadierInfantry</t>
        </is>
      </c>
      <c r="E254" s="6" t="n">
        <v>11000</v>
      </c>
      <c r="F254" s="6" t="n">
        <v>67</v>
      </c>
      <c r="G254" t="inlineStr">
        <is>
          <t>None</t>
        </is>
      </c>
      <c r="H254" s="6" t="n">
        <v>1</v>
      </c>
      <c r="I254" s="6" t="n">
        <v>0.4</v>
      </c>
      <c r="J254" s="6" t="n">
        <v>1.25</v>
      </c>
      <c r="P254">
        <f>MAX(P255)</f>
        <v/>
      </c>
      <c r="S254">
        <f>S255</f>
        <v/>
      </c>
      <c r="T254">
        <f>(E254/100000+F254/100+(P254/1000)*J254/5+S254/200)*200*I254*H254</f>
        <v/>
      </c>
      <c r="U254">
        <f>((E254*F254/25000)+((P254/1000)*J254*S254/2.5))*I254*H254</f>
        <v/>
      </c>
      <c r="V254">
        <f>(E254*F254*(P254/1000)*J254*S254*I254*H254)/12500000</f>
        <v/>
      </c>
      <c r="W254">
        <f>(T254+U254+V254)/3</f>
        <v/>
      </c>
      <c r="X254" s="6" t="n">
        <v>200</v>
      </c>
      <c r="Y254">
        <f>IFERROR(W254-X254,"")</f>
        <v/>
      </c>
      <c r="Z254">
        <f>IFERROR(ABS(Y254)/MAX(X254,1),"")</f>
        <v/>
      </c>
      <c r="AA254">
        <f>IFERROR((X254-(((E254/100000+F254/100+S254/200)*200*I254*H254)+((E254*F254/25000)*I254*H254))/3)/(((J254/5)*200*I254*H254)+((J254*S254/2.5)*I254*H254)+((E254*F254*J254*S254*I254*H254)/12500000))/3*1000,"")</f>
        <v/>
      </c>
    </row>
    <row r="255">
      <c r="B255" s="7" t="inlineStr">
        <is>
          <t xml:space="preserve">  ↳ ConscriptMolotov</t>
        </is>
      </c>
      <c r="C255" s="7" t="inlineStr">
        <is>
          <t>Armament</t>
        </is>
      </c>
      <c r="L255" s="6" t="n">
        <v>16000</v>
      </c>
      <c r="M255" s="6" t="n">
        <v>50</v>
      </c>
      <c r="N255" s="6" t="n">
        <v>1</v>
      </c>
      <c r="O255" s="6" t="n"/>
      <c r="P255" s="6" t="n">
        <v>5725</v>
      </c>
      <c r="Q255" s="6" t="n">
        <v>0.75</v>
      </c>
      <c r="R255">
        <f>M255+IF(MAX(N255-1,0)&gt;0,IF(ISBLANK(O255),5*MAX(N255-1,0),IF(ISNUMBER(O255),O255*MAX(N255-1,0),SUM(IFERROR(VALUE(TEXTSPLIT(O255,",")),0)))),0)</f>
        <v/>
      </c>
      <c r="S255">
        <f>IFERROR(L255*MAX(N255,1)/R255*IF(ISBLANK(K254),1,K254),0)</f>
        <v/>
      </c>
      <c r="AB255" s="7" t="inlineStr">
        <is>
          <t>^Warhead_Demolition_Light, ^Warhead_Flame_Light</t>
        </is>
      </c>
    </row>
    <row r="256">
      <c r="B256" s="7" t="inlineStr">
        <is>
          <t xml:space="preserve">  ↳ ConscriptMolotov</t>
        </is>
      </c>
      <c r="C256" s="7" t="inlineStr">
        <is>
          <t>Armament@GARRISONED</t>
        </is>
      </c>
      <c r="L256" s="6" t="n">
        <v>16000</v>
      </c>
      <c r="M256" s="6" t="n">
        <v>50</v>
      </c>
      <c r="N256" s="6" t="n">
        <v>1</v>
      </c>
      <c r="O256" s="6" t="n"/>
      <c r="P256" s="6" t="n">
        <v>5725</v>
      </c>
      <c r="Q256" s="6" t="n">
        <v>0.75</v>
      </c>
      <c r="R256">
        <f>M256+IF(MAX(N256-1,0)&gt;0,IF(ISBLANK(O256),5*MAX(N256-1,0),IF(ISNUMBER(O256),O256*MAX(N256-1,0),SUM(IFERROR(VALUE(TEXTSPLIT(O256,",")),0)))),0)</f>
        <v/>
      </c>
      <c r="S256">
        <f>IFERROR(L256*MAX(N256,1)/R256*IF(ISBLANK(K254),1,K254),0)</f>
        <v/>
      </c>
      <c r="AB256" s="7" t="inlineStr">
        <is>
          <t>^Warhead_Demolition_Light, ^Warhead_Flame_Light</t>
        </is>
      </c>
    </row>
    <row r="257">
      <c r="A257" t="inlineStr">
        <is>
          <t>redalert</t>
        </is>
      </c>
      <c r="B257" t="inlineStr">
        <is>
          <t>ra1_soviets_grenadier</t>
        </is>
      </c>
      <c r="C257" t="inlineStr">
        <is>
          <t>Soviet Grenadier</t>
        </is>
      </c>
      <c r="D257" s="6" t="inlineStr">
        <is>
          <t>GrenadierInfantry</t>
        </is>
      </c>
      <c r="E257" s="6" t="n">
        <v>8000</v>
      </c>
      <c r="F257" s="6" t="n">
        <v>75</v>
      </c>
      <c r="G257" t="inlineStr">
        <is>
          <t>None</t>
        </is>
      </c>
      <c r="H257" s="6" t="n">
        <v>1</v>
      </c>
      <c r="I257" s="6" t="n">
        <v>0.4</v>
      </c>
      <c r="J257" s="6" t="n">
        <v>1</v>
      </c>
      <c r="P257">
        <f>MAX(P258,P260)</f>
        <v/>
      </c>
      <c r="S257">
        <f>S258+S260</f>
        <v/>
      </c>
      <c r="T257">
        <f>(E257/100000+F257/100+(P257/1000)*J257/5+S257/200)*200*I257*H257</f>
        <v/>
      </c>
      <c r="U257">
        <f>((E257*F257/25000)+((P257/1000)*J257*S257/2.5))*I257*H257</f>
        <v/>
      </c>
      <c r="V257">
        <f>(E257*F257*(P257/1000)*J257*S257*I257*H257)/12500000</f>
        <v/>
      </c>
      <c r="W257">
        <f>(T257+U257+V257)/3</f>
        <v/>
      </c>
      <c r="X257" s="6" t="n">
        <v>200</v>
      </c>
      <c r="Y257">
        <f>IFERROR(W257-X257,"")</f>
        <v/>
      </c>
      <c r="Z257">
        <f>IFERROR(ABS(Y257)/MAX(X257,1),"")</f>
        <v/>
      </c>
      <c r="AA257">
        <f>IFERROR((X257-(((E257/100000+F257/100+S257/200)*200*I257*H257)+((E257*F257/25000)*I257*H257))/3)/(((J257/5)*200*I257*H257)+((J257*S257/2.5)*I257*H257)+((E257*F257*J257*S257*I257*H257)/12500000))/3*1000,"")</f>
        <v/>
      </c>
    </row>
    <row r="258">
      <c r="B258" s="7" t="inlineStr">
        <is>
          <t xml:space="preserve">  ↳ GrenadeRA</t>
        </is>
      </c>
      <c r="C258" s="7" t="inlineStr">
        <is>
          <t>Armament</t>
        </is>
      </c>
      <c r="L258" s="6" t="n">
        <v>16000</v>
      </c>
      <c r="M258" s="6" t="n">
        <v>40</v>
      </c>
      <c r="N258" s="6" t="n">
        <v>1</v>
      </c>
      <c r="O258" s="6" t="n"/>
      <c r="P258" s="6" t="n">
        <v>5791</v>
      </c>
      <c r="Q258" s="6" t="n">
        <v>0.75</v>
      </c>
      <c r="R258">
        <f>M258+IF(MAX(N258-1,0)&gt;0,IF(ISBLANK(O258),5*MAX(N258-1,0),IF(ISNUMBER(O258),O258*MAX(N258-1,0),SUM(IFERROR(VALUE(TEXTSPLIT(O258,",")),0)))),0)</f>
        <v/>
      </c>
      <c r="S258">
        <f>IFERROR(L258*MAX(N258,1)/R258*IF(ISBLANK(K257),1,K257),0)</f>
        <v/>
      </c>
      <c r="AB258" s="7" t="inlineStr">
        <is>
          <t>^Warhead_Demolition_Light, ^Warhead_Flame_Light</t>
        </is>
      </c>
    </row>
    <row r="259">
      <c r="B259" s="7" t="inlineStr">
        <is>
          <t xml:space="preserve">  ↳ GrenadeRA</t>
        </is>
      </c>
      <c r="C259" s="7" t="inlineStr">
        <is>
          <t>Armament@GARRISONED</t>
        </is>
      </c>
      <c r="L259" s="6" t="n">
        <v>16000</v>
      </c>
      <c r="M259" s="6" t="n">
        <v>40</v>
      </c>
      <c r="N259" s="6" t="n">
        <v>1</v>
      </c>
      <c r="O259" s="6" t="n"/>
      <c r="P259" s="6" t="n">
        <v>5791</v>
      </c>
      <c r="Q259" s="6" t="n">
        <v>0.75</v>
      </c>
      <c r="R259">
        <f>M259+IF(MAX(N259-1,0)&gt;0,IF(ISBLANK(O259),5*MAX(N259-1,0),IF(ISNUMBER(O259),O259*MAX(N259-1,0),SUM(IFERROR(VALUE(TEXTSPLIT(O259,",")),0)))),0)</f>
        <v/>
      </c>
      <c r="S259">
        <f>IFERROR(L259*MAX(N259,1)/R259*IF(ISBLANK(K257),1,K257),0)</f>
        <v/>
      </c>
      <c r="AB259" s="7" t="inlineStr">
        <is>
          <t>^Warhead_Demolition_Light, ^Warhead_Flame_Light</t>
        </is>
      </c>
    </row>
    <row r="260">
      <c r="B260" s="7" t="inlineStr">
        <is>
          <t xml:space="preserve">  ↳ GrenadeThermobaric</t>
        </is>
      </c>
      <c r="C260" s="7" t="inlineStr">
        <is>
          <t>Armament@Upgrade</t>
        </is>
      </c>
      <c r="L260" s="6" t="n">
        <v>16000</v>
      </c>
      <c r="M260" s="6" t="n">
        <v>40</v>
      </c>
      <c r="N260" s="6" t="n">
        <v>1</v>
      </c>
      <c r="O260" s="6" t="n"/>
      <c r="P260" s="6" t="n">
        <v>5791</v>
      </c>
      <c r="Q260" s="6" t="n">
        <v>0.75</v>
      </c>
      <c r="R260">
        <f>M260+IF(MAX(N260-1,0)&gt;0,IF(ISBLANK(O260),5*MAX(N260-1,0),IF(ISNUMBER(O260),O260*MAX(N260-1,0),SUM(IFERROR(VALUE(TEXTSPLIT(O260,",")),0)))),0)</f>
        <v/>
      </c>
      <c r="S260">
        <f>IFERROR(L260*MAX(N260,1)/R260*IF(ISBLANK(K257),1,K257),0)</f>
        <v/>
      </c>
      <c r="AB260" s="7" t="inlineStr">
        <is>
          <t>^Warhead_Demolition_Light, ^Warhead_Flame_Light</t>
        </is>
      </c>
    </row>
    <row r="261">
      <c r="B261" s="7" t="inlineStr">
        <is>
          <t xml:space="preserve">  ↳ GrenadeThermobaric</t>
        </is>
      </c>
      <c r="C261" s="7" t="inlineStr">
        <is>
          <t>Armament@UpgradeGARRISONED</t>
        </is>
      </c>
      <c r="L261" s="6" t="n">
        <v>16000</v>
      </c>
      <c r="M261" s="6" t="n">
        <v>40</v>
      </c>
      <c r="N261" s="6" t="n">
        <v>1</v>
      </c>
      <c r="O261" s="6" t="n"/>
      <c r="P261" s="6" t="n">
        <v>5791</v>
      </c>
      <c r="Q261" s="6" t="n">
        <v>0.75</v>
      </c>
      <c r="R261">
        <f>M261+IF(MAX(N261-1,0)&gt;0,IF(ISBLANK(O261),5*MAX(N261-1,0),IF(ISNUMBER(O261),O261*MAX(N261-1,0),SUM(IFERROR(VALUE(TEXTSPLIT(O261,",")),0)))),0)</f>
        <v/>
      </c>
      <c r="S261">
        <f>IFERROR(L261*MAX(N261,1)/R261*IF(ISBLANK(K257),1,K257),0)</f>
        <v/>
      </c>
      <c r="AB261" s="7" t="inlineStr">
        <is>
          <t>^Warhead_Demolition_Light, ^Warhead_Flame_Light</t>
        </is>
      </c>
    </row>
    <row r="262">
      <c r="A262" t="inlineStr">
        <is>
          <t>tiberiansun</t>
        </is>
      </c>
      <c r="B262" t="inlineStr">
        <is>
          <t>ts_gdi_discthrower</t>
        </is>
      </c>
      <c r="C262" t="inlineStr">
        <is>
          <t>Disc Thrower</t>
        </is>
      </c>
      <c r="D262" s="6" t="inlineStr">
        <is>
          <t>GrenadierInfantry</t>
        </is>
      </c>
      <c r="E262" s="6" t="n">
        <v>12000</v>
      </c>
      <c r="F262" s="6" t="n">
        <v>60</v>
      </c>
      <c r="G262" t="inlineStr">
        <is>
          <t>None</t>
        </is>
      </c>
      <c r="H262" s="6" t="n">
        <v>1</v>
      </c>
      <c r="I262" s="6" t="n">
        <v>1</v>
      </c>
      <c r="J262" s="6" t="n">
        <v>1</v>
      </c>
      <c r="P262">
        <f>MAX(P263,P264)</f>
        <v/>
      </c>
      <c r="S262">
        <f>S263+S264</f>
        <v/>
      </c>
      <c r="T262">
        <f>(E262/100000+F262/100+(P262/1000)*J262/5+S262/200)*200*I262*H262</f>
        <v/>
      </c>
      <c r="U262">
        <f>((E262*F262/25000)+((P262/1000)*J262*S262/2.5))*I262*H262</f>
        <v/>
      </c>
      <c r="V262">
        <f>(E262*F262*(P262/1000)*J262*S262*I262*H262)/12500000</f>
        <v/>
      </c>
      <c r="W262">
        <f>(T262+U262+V262)/3</f>
        <v/>
      </c>
      <c r="X262" s="6" t="n">
        <v>300</v>
      </c>
      <c r="Y262">
        <f>IFERROR(W262-X262,"")</f>
        <v/>
      </c>
      <c r="Z262">
        <f>IFERROR(ABS(Y262)/MAX(X262,1),"")</f>
        <v/>
      </c>
      <c r="AA262">
        <f>IFERROR((X262-(((E262/100000+F262/100+S262/200)*200*I262*H262)+((E262*F262/25000)*I262*H262))/3)/(((J262/5)*200*I262*H262)+((J262*S262/2.5)*I262*H262)+((E262*F262*J262*S262*I262*H262)/12500000))/3*1000,"")</f>
        <v/>
      </c>
    </row>
    <row r="263">
      <c r="B263" s="7" t="inlineStr">
        <is>
          <t xml:space="preserve">  ↳ TSGrenade</t>
        </is>
      </c>
      <c r="C263" s="7" t="inlineStr">
        <is>
          <t>Armament@PRIMARY</t>
        </is>
      </c>
      <c r="L263" s="6" t="n">
        <v>24000</v>
      </c>
      <c r="M263" s="6" t="n">
        <v>50</v>
      </c>
      <c r="N263" s="6" t="n">
        <v>1</v>
      </c>
      <c r="O263" s="6" t="n"/>
      <c r="P263" s="6" t="n">
        <v>6151</v>
      </c>
      <c r="Q263" s="6" t="n">
        <v>1</v>
      </c>
      <c r="R263">
        <f>M263+IF(MAX(N263-1,0)&gt;0,IF(ISBLANK(O263),5*MAX(N263-1,0),IF(ISNUMBER(O263),O263*MAX(N263-1,0),SUM(IFERROR(VALUE(TEXTSPLIT(O263,",")),0)))),0)</f>
        <v/>
      </c>
      <c r="S263">
        <f>IFERROR(L263*MAX(N263,1)/R263*IF(ISBLANK(K262),1,K262),0)</f>
        <v/>
      </c>
      <c r="AB263" s="7" t="inlineStr">
        <is>
          <t>^Warhead_CannonHE_Medium, ^Warhead_Concussion_Medium</t>
        </is>
      </c>
    </row>
    <row r="264">
      <c r="B264" s="7" t="inlineStr">
        <is>
          <t xml:space="preserve">  ↳ TSGrenadeSonic</t>
        </is>
      </c>
      <c r="C264" s="7" t="inlineStr">
        <is>
          <t>Armament@Upgrade</t>
        </is>
      </c>
      <c r="L264" s="6" t="n">
        <v>24000</v>
      </c>
      <c r="M264" s="6" t="n">
        <v>50</v>
      </c>
      <c r="N264" s="6" t="n">
        <v>1</v>
      </c>
      <c r="O264" s="6" t="n"/>
      <c r="P264" s="6" t="n">
        <v>6151</v>
      </c>
      <c r="Q264" s="6" t="n">
        <v>0.75</v>
      </c>
      <c r="R264">
        <f>M264+IF(MAX(N264-1,0)&gt;0,IF(ISBLANK(O264),5*MAX(N264-1,0),IF(ISNUMBER(O264),O264*MAX(N264-1,0),SUM(IFERROR(VALUE(TEXTSPLIT(O264,",")),0)))),0)</f>
        <v/>
      </c>
      <c r="S264">
        <f>IFERROR(L264*MAX(N264,1)/R264*IF(ISBLANK(K262),1,K262),0)</f>
        <v/>
      </c>
      <c r="AB264" s="7" t="inlineStr">
        <is>
          <t>^Warhead_Concussion_Light, ^Warhead_Sonic_Light</t>
        </is>
      </c>
    </row>
    <row r="265">
      <c r="B265" s="7" t="inlineStr">
        <is>
          <t xml:space="preserve">  ↳ TSGrenadeG</t>
        </is>
      </c>
      <c r="C265" s="7" t="inlineStr">
        <is>
          <t>Armament@GARRISONED</t>
        </is>
      </c>
      <c r="L265" s="6" t="n">
        <v>24000</v>
      </c>
      <c r="M265" s="6" t="n">
        <v>45</v>
      </c>
      <c r="N265" s="6" t="n">
        <v>1</v>
      </c>
      <c r="O265" s="6" t="n"/>
      <c r="P265" s="6" t="n">
        <v>6656</v>
      </c>
      <c r="Q265" s="6" t="n">
        <v>1</v>
      </c>
      <c r="R265">
        <f>M265+IF(MAX(N265-1,0)&gt;0,IF(ISBLANK(O265),5*MAX(N265-1,0),IF(ISNUMBER(O265),O265*MAX(N265-1,0),SUM(IFERROR(VALUE(TEXTSPLIT(O265,",")),0)))),0)</f>
        <v/>
      </c>
      <c r="S265">
        <f>IFERROR(L265*MAX(N265,1)/R265*IF(ISBLANK(K262),1,K262),0)</f>
        <v/>
      </c>
      <c r="AB265" s="7" t="inlineStr">
        <is>
          <t>^Warhead_CannonHE_Medium, ^Warhead_Concussion_Medium</t>
        </is>
      </c>
    </row>
    <row r="266">
      <c r="B266" s="7" t="inlineStr">
        <is>
          <t xml:space="preserve">  ↳ TSGrenadeSonic</t>
        </is>
      </c>
      <c r="C266" s="7" t="inlineStr">
        <is>
          <t>Armament@UpgradeGARRISONED</t>
        </is>
      </c>
      <c r="L266" s="6" t="n">
        <v>24000</v>
      </c>
      <c r="M266" s="6" t="n">
        <v>50</v>
      </c>
      <c r="N266" s="6" t="n">
        <v>1</v>
      </c>
      <c r="O266" s="6" t="n"/>
      <c r="P266" s="6" t="n">
        <v>6151</v>
      </c>
      <c r="Q266" s="6" t="n">
        <v>0.75</v>
      </c>
      <c r="R266">
        <f>M266+IF(MAX(N266-1,0)&gt;0,IF(ISBLANK(O266),5*MAX(N266-1,0),IF(ISNUMBER(O266),O266*MAX(N266-1,0),SUM(IFERROR(VALUE(TEXTSPLIT(O266,",")),0)))),0)</f>
        <v/>
      </c>
      <c r="S266">
        <f>IFERROR(L266*MAX(N266,1)/R266*IF(ISBLANK(K262),1,K262),0)</f>
        <v/>
      </c>
      <c r="AB266" s="7" t="inlineStr">
        <is>
          <t>^Warhead_Concussion_Light, ^Warhead_Sonic_Light</t>
        </is>
      </c>
    </row>
    <row r="267">
      <c r="A267" t="inlineStr">
        <is>
          <t>redalert2mod</t>
        </is>
      </c>
      <c r="B267" t="inlineStr">
        <is>
          <t>steelconsortium_hoverboardgrenadier</t>
        </is>
      </c>
      <c r="C267" t="inlineStr">
        <is>
          <t>Hover Board Grenadier</t>
        </is>
      </c>
      <c r="D267" s="6" t="inlineStr">
        <is>
          <t>GrenadierInfantry</t>
        </is>
      </c>
      <c r="E267" s="6" t="n">
        <v>22000</v>
      </c>
      <c r="F267" s="6" t="n">
        <v>130</v>
      </c>
      <c r="G267" t="inlineStr">
        <is>
          <t>None</t>
        </is>
      </c>
      <c r="H267" s="6" t="n">
        <v>1</v>
      </c>
      <c r="I267" s="6" t="n">
        <v>0.4</v>
      </c>
      <c r="J267" s="6" t="n">
        <v>1</v>
      </c>
      <c r="K267" t="n">
        <v>0.055</v>
      </c>
      <c r="P267">
        <f>MAX(P268,P269,P272,P273)</f>
        <v/>
      </c>
      <c r="S267">
        <f>S268+S269+S272+S273</f>
        <v/>
      </c>
      <c r="T267">
        <f>(E267/100000+F267/100+(P267/1000)*J267/5+S267/200)*200*I267*H267</f>
        <v/>
      </c>
      <c r="U267">
        <f>((E267*F267/25000)+((P267/1000)*J267*S267/2.5))*I267*H267</f>
        <v/>
      </c>
      <c r="V267">
        <f>(E267*F267*(P267/1000)*J267*S267*I267*H267)/12500000</f>
        <v/>
      </c>
      <c r="W267">
        <f>(T267+U267+V267)/3</f>
        <v/>
      </c>
      <c r="X267" s="6" t="n">
        <v>650</v>
      </c>
      <c r="Y267">
        <f>IFERROR(W267-X267,"")</f>
        <v/>
      </c>
      <c r="Z267">
        <f>IFERROR(ABS(Y267)/MAX(X267,1),"")</f>
        <v/>
      </c>
      <c r="AA267">
        <f>IFERROR((X267-(((E267/100000+F267/100+S267/200)*200*I267*H267)+((E267*F267/25000)*I267*H267))/3)/(((J267/5)*200*I267*H267)+((J267*S267/2.5)*I267*H267)+((E267*F267*J267*S267*I267*H267)/12500000))/3*1000,"")</f>
        <v/>
      </c>
    </row>
    <row r="268">
      <c r="B268" s="7" t="inlineStr">
        <is>
          <t xml:space="preserve">  ↳ SteelMakoGun</t>
        </is>
      </c>
      <c r="C268" s="7" t="inlineStr">
        <is>
          <t>Armament@PRIMARY</t>
        </is>
      </c>
      <c r="L268" s="6" t="n">
        <v>8000</v>
      </c>
      <c r="M268" s="6" t="n">
        <v>25</v>
      </c>
      <c r="N268" s="6" t="n">
        <v>1</v>
      </c>
      <c r="O268" s="6" t="n"/>
      <c r="P268" s="6" t="n">
        <v>6050</v>
      </c>
      <c r="Q268" s="6" t="n">
        <v>1</v>
      </c>
      <c r="R268">
        <f>M268+IF(MAX(N268-1,0)&gt;0,IF(ISBLANK(O268),5*MAX(N268-1,0),IF(ISNUMBER(O268),O268*MAX(N268-1,0),SUM(IFERROR(VALUE(TEXTSPLIT(O268,",")),0)))),0)</f>
        <v/>
      </c>
      <c r="S268">
        <f>IFERROR(L268*MAX(N268,1)/R268*IF(ISBLANK(K267),1,K267),0)</f>
        <v/>
      </c>
      <c r="AB268" s="7" t="inlineStr">
        <is>
          <t>^Warhead_Demolition_Light, ^Warhead_Railgun_Heavy, ^Warhead_CannonHE_Medium</t>
        </is>
      </c>
    </row>
    <row r="269">
      <c r="B269" s="7" t="inlineStr">
        <is>
          <t xml:space="preserve">  ↳ SteelMakoGun_elite</t>
        </is>
      </c>
      <c r="C269" s="7" t="inlineStr">
        <is>
          <t>Armament@ELITE</t>
        </is>
      </c>
      <c r="L269" s="6" t="n">
        <v>8000</v>
      </c>
      <c r="M269" s="6" t="n">
        <v>25</v>
      </c>
      <c r="N269" s="6" t="n">
        <v>2</v>
      </c>
      <c r="O269" s="6" t="n">
        <v>3</v>
      </c>
      <c r="P269" s="6" t="n">
        <v>7050</v>
      </c>
      <c r="Q269" s="6" t="n">
        <v>1</v>
      </c>
      <c r="R269">
        <f>M269+IF(MAX(N269-1,0)&gt;0,IF(ISBLANK(O269),5*MAX(N269-1,0),IF(ISNUMBER(O269),O269*MAX(N269-1,0),SUM(IFERROR(VALUE(TEXTSPLIT(O269,",")),0)))),0)</f>
        <v/>
      </c>
      <c r="S269">
        <f>IFERROR(L269*MAX(N269,1)/R269*IF(ISBLANK(K267),1,K267),0)</f>
        <v/>
      </c>
      <c r="AB269" s="7" t="inlineStr">
        <is>
          <t>^Warhead_Demolition_Light, ^Warhead_Railgun_Heavy, ^Warhead_CannonHE_Medium</t>
        </is>
      </c>
    </row>
    <row r="270">
      <c r="B270" s="7" t="inlineStr">
        <is>
          <t xml:space="preserve">  ↳ SteelMakoGun</t>
        </is>
      </c>
      <c r="C270" s="7" t="inlineStr">
        <is>
          <t>Armament@GARRISONED</t>
        </is>
      </c>
      <c r="L270" s="6" t="n">
        <v>8000</v>
      </c>
      <c r="M270" s="6" t="n">
        <v>25</v>
      </c>
      <c r="N270" s="6" t="n">
        <v>1</v>
      </c>
      <c r="O270" s="6" t="n"/>
      <c r="P270" s="6" t="n">
        <v>6050</v>
      </c>
      <c r="Q270" s="6" t="n">
        <v>1</v>
      </c>
      <c r="R270">
        <f>M270+IF(MAX(N270-1,0)&gt;0,IF(ISBLANK(O270),5*MAX(N270-1,0),IF(ISNUMBER(O270),O270*MAX(N270-1,0),SUM(IFERROR(VALUE(TEXTSPLIT(O270,",")),0)))),0)</f>
        <v/>
      </c>
      <c r="S270">
        <f>IFERROR(L270*MAX(N270,1)/R270*IF(ISBLANK(K267),1,K267),0)</f>
        <v/>
      </c>
      <c r="AB270" s="7" t="inlineStr">
        <is>
          <t>^Warhead_Demolition_Light, ^Warhead_Railgun_Heavy, ^Warhead_CannonHE_Medium</t>
        </is>
      </c>
    </row>
    <row r="271">
      <c r="B271" s="7" t="inlineStr">
        <is>
          <t xml:space="preserve">  ↳ SteelMakoGun_elite</t>
        </is>
      </c>
      <c r="C271" s="7" t="inlineStr">
        <is>
          <t>Armament@GARRISONEDELITE</t>
        </is>
      </c>
      <c r="L271" s="6" t="n">
        <v>8000</v>
      </c>
      <c r="M271" s="6" t="n">
        <v>25</v>
      </c>
      <c r="N271" s="6" t="n">
        <v>2</v>
      </c>
      <c r="O271" s="6" t="n">
        <v>3</v>
      </c>
      <c r="P271" s="6" t="n">
        <v>7050</v>
      </c>
      <c r="Q271" s="6" t="n">
        <v>1</v>
      </c>
      <c r="R271">
        <f>M271+IF(MAX(N271-1,0)&gt;0,IF(ISBLANK(O271),5*MAX(N271-1,0),IF(ISNUMBER(O271),O271*MAX(N271-1,0),SUM(IFERROR(VALUE(TEXTSPLIT(O271,",")),0)))),0)</f>
        <v/>
      </c>
      <c r="S271">
        <f>IFERROR(L271*MAX(N271,1)/R271*IF(ISBLANK(K267),1,K267),0)</f>
        <v/>
      </c>
      <c r="AB271" s="7" t="inlineStr">
        <is>
          <t>^Warhead_Demolition_Light, ^Warhead_Railgun_Heavy, ^Warhead_CannonHE_Medium</t>
        </is>
      </c>
    </row>
    <row r="272">
      <c r="B272" s="7" t="inlineStr">
        <is>
          <t xml:space="preserve">  ↳ SteelMakoGun_EMP</t>
        </is>
      </c>
      <c r="C272" s="7" t="inlineStr">
        <is>
          <t>Armament@UpgradePRIMARY</t>
        </is>
      </c>
      <c r="L272" s="6" t="n">
        <v>12000</v>
      </c>
      <c r="M272" s="6" t="n">
        <v>25</v>
      </c>
      <c r="N272" s="6" t="n">
        <v>1</v>
      </c>
      <c r="O272" s="6" t="n"/>
      <c r="P272" s="6" t="n">
        <v>6050</v>
      </c>
      <c r="Q272" s="6" t="n">
        <v>1</v>
      </c>
      <c r="R272">
        <f>M272+IF(MAX(N272-1,0)&gt;0,IF(ISBLANK(O272),5*MAX(N272-1,0),IF(ISNUMBER(O272),O272*MAX(N272-1,0),SUM(IFERROR(VALUE(TEXTSPLIT(O272,",")),0)))),0)</f>
        <v/>
      </c>
      <c r="S272">
        <f>IFERROR(L272*MAX(N272,1)/R272*IF(ISBLANK(K267),1,K267),0)</f>
        <v/>
      </c>
      <c r="AB272" s="7" t="inlineStr">
        <is>
          <t>^Warhead_Demolition_Light, ^Warhead_Railgun_Heavy, ^Warhead_CannonHE_Medium</t>
        </is>
      </c>
    </row>
    <row r="273">
      <c r="B273" s="7" t="inlineStr">
        <is>
          <t xml:space="preserve">  ↳ SteelMakoGun_EMP_elite</t>
        </is>
      </c>
      <c r="C273" s="7" t="inlineStr">
        <is>
          <t>Armament@UpgradeELITE</t>
        </is>
      </c>
      <c r="L273" s="6" t="n">
        <v>12000</v>
      </c>
      <c r="M273" s="6" t="n">
        <v>25</v>
      </c>
      <c r="N273" s="6" t="n">
        <v>2</v>
      </c>
      <c r="O273" s="6" t="n">
        <v>3</v>
      </c>
      <c r="P273" s="6" t="n">
        <v>7050</v>
      </c>
      <c r="Q273" s="6" t="n">
        <v>1</v>
      </c>
      <c r="R273">
        <f>M273+IF(MAX(N273-1,0)&gt;0,IF(ISBLANK(O273),5*MAX(N273-1,0),IF(ISNUMBER(O273),O273*MAX(N273-1,0),SUM(IFERROR(VALUE(TEXTSPLIT(O273,",")),0)))),0)</f>
        <v/>
      </c>
      <c r="S273">
        <f>IFERROR(L273*MAX(N273,1)/R273*IF(ISBLANK(K267),1,K267),0)</f>
        <v/>
      </c>
      <c r="AB273" s="7" t="inlineStr">
        <is>
          <t>^Warhead_Demolition_Light, ^Warhead_Railgun_Heavy, ^Warhead_CannonHE_Medium</t>
        </is>
      </c>
    </row>
    <row r="274">
      <c r="B274" s="7" t="inlineStr">
        <is>
          <t xml:space="preserve">  ↳ SteelMakoGun_EMP</t>
        </is>
      </c>
      <c r="C274" s="7" t="inlineStr">
        <is>
          <t>Armament@UpgradeGARRISONED</t>
        </is>
      </c>
      <c r="L274" s="6" t="n">
        <v>12000</v>
      </c>
      <c r="M274" s="6" t="n">
        <v>25</v>
      </c>
      <c r="N274" s="6" t="n">
        <v>1</v>
      </c>
      <c r="O274" s="6" t="n"/>
      <c r="P274" s="6" t="n">
        <v>6050</v>
      </c>
      <c r="Q274" s="6" t="n">
        <v>1</v>
      </c>
      <c r="R274">
        <f>M274+IF(MAX(N274-1,0)&gt;0,IF(ISBLANK(O274),5*MAX(N274-1,0),IF(ISNUMBER(O274),O274*MAX(N274-1,0),SUM(IFERROR(VALUE(TEXTSPLIT(O274,",")),0)))),0)</f>
        <v/>
      </c>
      <c r="S274">
        <f>IFERROR(L274*MAX(N274,1)/R274*IF(ISBLANK(K267),1,K267),0)</f>
        <v/>
      </c>
      <c r="AB274" s="7" t="inlineStr">
        <is>
          <t>^Warhead_Demolition_Light, ^Warhead_Railgun_Heavy, ^Warhead_CannonHE_Medium</t>
        </is>
      </c>
    </row>
    <row r="275">
      <c r="B275" s="7" t="inlineStr">
        <is>
          <t xml:space="preserve">  ↳ SteelMakoGun_EMP_elite</t>
        </is>
      </c>
      <c r="C275" s="7" t="inlineStr">
        <is>
          <t>Armament@UpgradeGARRISONEDELITE</t>
        </is>
      </c>
      <c r="L275" s="6" t="n">
        <v>12000</v>
      </c>
      <c r="M275" s="6" t="n">
        <v>25</v>
      </c>
      <c r="N275" s="6" t="n">
        <v>2</v>
      </c>
      <c r="O275" s="6" t="n">
        <v>3</v>
      </c>
      <c r="P275" s="6" t="n">
        <v>7050</v>
      </c>
      <c r="Q275" s="6" t="n">
        <v>1</v>
      </c>
      <c r="R275">
        <f>M275+IF(MAX(N275-1,0)&gt;0,IF(ISBLANK(O275),5*MAX(N275-1,0),IF(ISNUMBER(O275),O275*MAX(N275-1,0),SUM(IFERROR(VALUE(TEXTSPLIT(O275,",")),0)))),0)</f>
        <v/>
      </c>
      <c r="S275">
        <f>IFERROR(L275*MAX(N275,1)/R275*IF(ISBLANK(K267),1,K267),0)</f>
        <v/>
      </c>
      <c r="AB275" s="7" t="inlineStr">
        <is>
          <t>^Warhead_Demolition_Light, ^Warhead_Railgun_Heavy, ^Warhead_CannonHE_Medium</t>
        </is>
      </c>
    </row>
    <row r="276">
      <c r="A276" t="inlineStr">
        <is>
          <t>redalert2mod</t>
        </is>
      </c>
      <c r="B276" t="inlineStr">
        <is>
          <t>latinsyndicate_grenademonkey</t>
        </is>
      </c>
      <c r="C276" t="inlineStr">
        <is>
          <t>Grenade Monkey</t>
        </is>
      </c>
      <c r="D276" s="6" t="inlineStr">
        <is>
          <t>GrenadierInfantry</t>
        </is>
      </c>
      <c r="E276" s="6" t="n">
        <v>30000</v>
      </c>
      <c r="F276" s="6" t="n">
        <v>80</v>
      </c>
      <c r="G276" t="inlineStr">
        <is>
          <t>None</t>
        </is>
      </c>
      <c r="H276" s="6" t="n">
        <v>1</v>
      </c>
      <c r="I276" s="6" t="n">
        <v>0.4</v>
      </c>
      <c r="J276" s="6" t="n">
        <v>1</v>
      </c>
      <c r="P276">
        <f>MAX(P277,P278,P279)</f>
        <v/>
      </c>
      <c r="S276">
        <f>S277+S278+S279</f>
        <v/>
      </c>
      <c r="T276">
        <f>(E276/100000+F276/100+(P276/1000)*J276/5+S276/200)*200*I276*H276</f>
        <v/>
      </c>
      <c r="U276">
        <f>((E276*F276/25000)+((P276/1000)*J276*S276/2.5))*I276*H276</f>
        <v/>
      </c>
      <c r="V276">
        <f>(E276*F276*(P276/1000)*J276*S276*I276*H276)/12500000</f>
        <v/>
      </c>
      <c r="W276">
        <f>(T276+U276+V276)/3</f>
        <v/>
      </c>
      <c r="X276" s="6" t="n">
        <v>400</v>
      </c>
      <c r="Y276">
        <f>IFERROR(W276-X276,"")</f>
        <v/>
      </c>
      <c r="Z276">
        <f>IFERROR(ABS(Y276)/MAX(X276,1),"")</f>
        <v/>
      </c>
      <c r="AA276">
        <f>IFERROR((X276-(((E276/100000+F276/100+S276/200)*200*I276*H276)+((E276*F276/25000)*I276*H276))/3)/(((J276/5)*200*I276*H276)+((J276*S276/2.5)*I276*H276)+((E276*F276*J276*S276*I276*H276)/12500000))/3*1000,"")</f>
        <v/>
      </c>
    </row>
    <row r="277">
      <c r="B277" s="7" t="inlineStr">
        <is>
          <t xml:space="preserve">  ↳ LatinMonkeyGrenade1</t>
        </is>
      </c>
      <c r="C277" s="7" t="inlineStr">
        <is>
          <t>Armament@PRIMARY</t>
        </is>
      </c>
      <c r="L277" s="6" t="n">
        <v>30000</v>
      </c>
      <c r="M277" s="6" t="n">
        <v>60</v>
      </c>
      <c r="N277" s="6" t="n">
        <v>1</v>
      </c>
      <c r="O277" s="6" t="n"/>
      <c r="P277" s="6" t="n">
        <v>6500</v>
      </c>
      <c r="Q277" s="6" t="n">
        <v>1</v>
      </c>
      <c r="R277">
        <f>M277+IF(MAX(N277-1,0)&gt;0,IF(ISBLANK(O277),5*MAX(N277-1,0),IF(ISNUMBER(O277),O277*MAX(N277-1,0),SUM(IFERROR(VALUE(TEXTSPLIT(O277,",")),0)))),0)</f>
        <v/>
      </c>
      <c r="S277">
        <f>IFERROR(L277*MAX(N277,1)/R277*IF(ISBLANK(K276),1,K276),0)</f>
        <v/>
      </c>
      <c r="AB277" s="7" t="inlineStr">
        <is>
          <t>^Warhead_Demolition_Light, ^Warhead_Concussion_Medium, ^Warhead_CannonHE_Heavy</t>
        </is>
      </c>
    </row>
    <row r="278">
      <c r="B278" s="7" t="inlineStr">
        <is>
          <t xml:space="preserve">  ↳ LatinMonkeyGrenade2</t>
        </is>
      </c>
      <c r="C278" s="7" t="inlineStr">
        <is>
          <t>Armament@SECONDARY</t>
        </is>
      </c>
      <c r="L278" s="6" t="n">
        <v>30000</v>
      </c>
      <c r="M278" s="6" t="n">
        <v>60</v>
      </c>
      <c r="N278" s="6" t="n">
        <v>2</v>
      </c>
      <c r="O278" s="6" t="n">
        <v>3</v>
      </c>
      <c r="P278" s="6" t="n">
        <v>7000</v>
      </c>
      <c r="Q278" s="6" t="n">
        <v>1</v>
      </c>
      <c r="R278">
        <f>M278+IF(MAX(N278-1,0)&gt;0,IF(ISBLANK(O278),5*MAX(N278-1,0),IF(ISNUMBER(O278),O278*MAX(N278-1,0),SUM(IFERROR(VALUE(TEXTSPLIT(O278,",")),0)))),0)</f>
        <v/>
      </c>
      <c r="S278">
        <f>IFERROR(L278*MAX(N278,1)/R278*IF(ISBLANK(K276),1,K276),0)</f>
        <v/>
      </c>
      <c r="AB278" s="7" t="inlineStr">
        <is>
          <t>^Warhead_Demolition_Light, ^Warhead_Concussion_Medium, ^Warhead_CannonHE_Heavy</t>
        </is>
      </c>
    </row>
    <row r="279">
      <c r="B279" s="7" t="inlineStr">
        <is>
          <t xml:space="preserve">  ↳ LatinMonkeyGrenade3</t>
        </is>
      </c>
      <c r="C279" s="7" t="inlineStr">
        <is>
          <t>Armament@ELITE</t>
        </is>
      </c>
      <c r="L279" s="6" t="n">
        <v>30000</v>
      </c>
      <c r="M279" s="6" t="n">
        <v>60</v>
      </c>
      <c r="N279" s="6" t="n">
        <v>3</v>
      </c>
      <c r="O279" s="6" t="n">
        <v>3</v>
      </c>
      <c r="P279" s="6" t="n">
        <v>7500</v>
      </c>
      <c r="Q279" s="6" t="n">
        <v>1</v>
      </c>
      <c r="R279">
        <f>M279+IF(MAX(N279-1,0)&gt;0,IF(ISBLANK(O279),5*MAX(N279-1,0),IF(ISNUMBER(O279),O279*MAX(N279-1,0),SUM(IFERROR(VALUE(TEXTSPLIT(O279,",")),0)))),0)</f>
        <v/>
      </c>
      <c r="S279">
        <f>IFERROR(L279*MAX(N279,1)/R279*IF(ISBLANK(K276),1,K276),0)</f>
        <v/>
      </c>
      <c r="AB279" s="7" t="inlineStr">
        <is>
          <t>^Warhead_Demolition_Light, ^Warhead_Concussion_Medium, ^Warhead_CannonHE_Heavy</t>
        </is>
      </c>
    </row>
    <row r="280">
      <c r="B280" s="7" t="inlineStr">
        <is>
          <t xml:space="preserve">  ↳ LatinMonkeyGrenade1</t>
        </is>
      </c>
      <c r="C280" s="7" t="inlineStr">
        <is>
          <t>Armament@GARRISONED</t>
        </is>
      </c>
      <c r="L280" s="6" t="n">
        <v>30000</v>
      </c>
      <c r="M280" s="6" t="n">
        <v>60</v>
      </c>
      <c r="N280" s="6" t="n">
        <v>1</v>
      </c>
      <c r="O280" s="6" t="n"/>
      <c r="P280" s="6" t="n">
        <v>6500</v>
      </c>
      <c r="Q280" s="6" t="n">
        <v>1</v>
      </c>
      <c r="R280">
        <f>M280+IF(MAX(N280-1,0)&gt;0,IF(ISBLANK(O280),5*MAX(N280-1,0),IF(ISNUMBER(O280),O280*MAX(N280-1,0),SUM(IFERROR(VALUE(TEXTSPLIT(O280,",")),0)))),0)</f>
        <v/>
      </c>
      <c r="S280">
        <f>IFERROR(L280*MAX(N280,1)/R280*IF(ISBLANK(K276),1,K276),0)</f>
        <v/>
      </c>
      <c r="AB280" s="7" t="inlineStr">
        <is>
          <t>^Warhead_Demolition_Light, ^Warhead_Concussion_Medium, ^Warhead_CannonHE_Heavy</t>
        </is>
      </c>
    </row>
    <row r="281">
      <c r="B281" s="7" t="inlineStr">
        <is>
          <t xml:space="preserve">  ↳ LatinMonkeyGrenade2</t>
        </is>
      </c>
      <c r="C281" s="7" t="inlineStr">
        <is>
          <t>Armament@GARRISONEDSECONDARY</t>
        </is>
      </c>
      <c r="L281" s="6" t="n">
        <v>30000</v>
      </c>
      <c r="M281" s="6" t="n">
        <v>60</v>
      </c>
      <c r="N281" s="6" t="n">
        <v>2</v>
      </c>
      <c r="O281" s="6" t="n">
        <v>3</v>
      </c>
      <c r="P281" s="6" t="n">
        <v>7000</v>
      </c>
      <c r="Q281" s="6" t="n">
        <v>1</v>
      </c>
      <c r="R281">
        <f>M281+IF(MAX(N281-1,0)&gt;0,IF(ISBLANK(O281),5*MAX(N281-1,0),IF(ISNUMBER(O281),O281*MAX(N281-1,0),SUM(IFERROR(VALUE(TEXTSPLIT(O281,",")),0)))),0)</f>
        <v/>
      </c>
      <c r="S281">
        <f>IFERROR(L281*MAX(N281,1)/R281*IF(ISBLANK(K276),1,K276),0)</f>
        <v/>
      </c>
      <c r="AB281" s="7" t="inlineStr">
        <is>
          <t>^Warhead_Demolition_Light, ^Warhead_Concussion_Medium, ^Warhead_CannonHE_Heavy</t>
        </is>
      </c>
    </row>
    <row r="282">
      <c r="B282" s="7" t="inlineStr">
        <is>
          <t xml:space="preserve">  ↳ LatinMonkeyGrenade3</t>
        </is>
      </c>
      <c r="C282" s="7" t="inlineStr">
        <is>
          <t>Armament@GARRISONEDELITE</t>
        </is>
      </c>
      <c r="L282" s="6" t="n">
        <v>30000</v>
      </c>
      <c r="M282" s="6" t="n">
        <v>60</v>
      </c>
      <c r="N282" s="6" t="n">
        <v>3</v>
      </c>
      <c r="O282" s="6" t="n">
        <v>3</v>
      </c>
      <c r="P282" s="6" t="n">
        <v>7500</v>
      </c>
      <c r="Q282" s="6" t="n">
        <v>1</v>
      </c>
      <c r="R282">
        <f>M282+IF(MAX(N282-1,0)&gt;0,IF(ISBLANK(O282),5*MAX(N282-1,0),IF(ISNUMBER(O282),O282*MAX(N282-1,0),SUM(IFERROR(VALUE(TEXTSPLIT(O282,",")),0)))),0)</f>
        <v/>
      </c>
      <c r="S282">
        <f>IFERROR(L282*MAX(N282,1)/R282*IF(ISBLANK(K276),1,K276),0)</f>
        <v/>
      </c>
      <c r="AB282" s="7" t="inlineStr">
        <is>
          <t>^Warhead_Demolition_Light, ^Warhead_Concussion_Medium, ^Warhead_CannonHE_Heavy</t>
        </is>
      </c>
    </row>
    <row r="283">
      <c r="A283" s="4" t="inlineStr">
        <is>
          <t>MortarInfantry</t>
        </is>
      </c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  <c r="AB283" s="5" t="n"/>
    </row>
    <row r="284">
      <c r="A284" t="inlineStr">
        <is>
          <t>redalert</t>
        </is>
      </c>
      <c r="B284" t="inlineStr">
        <is>
          <t>ra1_soviets_mortarsoldier</t>
        </is>
      </c>
      <c r="C284" t="inlineStr">
        <is>
          <t>Soviet Mortar Soldier</t>
        </is>
      </c>
      <c r="D284" s="6" t="inlineStr">
        <is>
          <t>MortarInfantry</t>
        </is>
      </c>
      <c r="E284" s="6" t="n">
        <v>16000</v>
      </c>
      <c r="F284" s="6" t="n">
        <v>48</v>
      </c>
      <c r="G284" t="inlineStr">
        <is>
          <t>None</t>
        </is>
      </c>
      <c r="H284" s="6" t="n">
        <v>1</v>
      </c>
      <c r="I284" s="6" t="n">
        <v>0.6</v>
      </c>
      <c r="J284" s="6" t="n">
        <v>1</v>
      </c>
      <c r="K284" t="n">
        <v>0.0075</v>
      </c>
      <c r="P284">
        <f>MAX(P285,P287)</f>
        <v/>
      </c>
      <c r="S284">
        <f>S285+S287</f>
        <v/>
      </c>
      <c r="T284">
        <f>(E284/100000+F284/100+(P284/1000)*J284/5+S284/200)*200*I284*H284</f>
        <v/>
      </c>
      <c r="U284">
        <f>((E284*F284/25000)+((P284/1000)*J284*S284/2.5))*I284*H284</f>
        <v/>
      </c>
      <c r="V284">
        <f>(E284*F284*(P284/1000)*J284*S284*I284*H284)/12500000</f>
        <v/>
      </c>
      <c r="W284">
        <f>(T284+U284+V284)/3</f>
        <v/>
      </c>
      <c r="X284" s="6" t="n">
        <v>500</v>
      </c>
      <c r="Y284">
        <f>IFERROR(W284-X284,"")</f>
        <v/>
      </c>
      <c r="Z284">
        <f>IFERROR(ABS(Y284)/MAX(X284,1),"")</f>
        <v/>
      </c>
      <c r="AA284">
        <f>IFERROR((X284-(((E284/100000+F284/100+S284/200)*200*I284*H284)+((E284*F284/25000)*I284*H284))/3)/(((J284/5)*200*I284*H284)+((J284*S284/2.5)*I284*H284)+((E284*F284*J284*S284*I284*H284)/12500000))/3*1000,"")</f>
        <v/>
      </c>
    </row>
    <row r="285">
      <c r="B285" s="7" t="inlineStr">
        <is>
          <t xml:space="preserve">  ↳ SiegeMortar</t>
        </is>
      </c>
      <c r="C285" s="7" t="inlineStr">
        <is>
          <t>Armament@PRIMARY</t>
        </is>
      </c>
      <c r="L285" s="6" t="n">
        <v>32000</v>
      </c>
      <c r="M285" s="6" t="n">
        <v>88</v>
      </c>
      <c r="N285" s="6" t="n">
        <v>1</v>
      </c>
      <c r="O285" s="6" t="n"/>
      <c r="P285" s="6" t="n">
        <v>10830</v>
      </c>
      <c r="Q285" s="6" t="n">
        <v>1</v>
      </c>
      <c r="R285">
        <f>M285+IF(MAX(N285-1,0)&gt;0,IF(ISBLANK(O285),5*MAX(N285-1,0),IF(ISNUMBER(O285),O285*MAX(N285-1,0),SUM(IFERROR(VALUE(TEXTSPLIT(O285,",")),0)))),0)</f>
        <v/>
      </c>
      <c r="S285">
        <f>IFERROR(L285*MAX(N285,1)/R285*IF(ISBLANK(K284),1,K284),0)</f>
        <v/>
      </c>
      <c r="AB285" s="7" t="inlineStr">
        <is>
          <t>^Warhead_Thermobaric_Medium</t>
        </is>
      </c>
    </row>
    <row r="286">
      <c r="B286" s="7" t="inlineStr">
        <is>
          <t xml:space="preserve">  ↳ SiegeMortar</t>
        </is>
      </c>
      <c r="C286" s="7" t="inlineStr">
        <is>
          <t>Armament@GARRISONED</t>
        </is>
      </c>
      <c r="L286" s="6" t="n">
        <v>32000</v>
      </c>
      <c r="M286" s="6" t="n">
        <v>88</v>
      </c>
      <c r="N286" s="6" t="n">
        <v>1</v>
      </c>
      <c r="O286" s="6" t="n"/>
      <c r="P286" s="6" t="n">
        <v>10830</v>
      </c>
      <c r="Q286" s="6" t="n">
        <v>1</v>
      </c>
      <c r="R286">
        <f>M286+IF(MAX(N286-1,0)&gt;0,IF(ISBLANK(O286),5*MAX(N286-1,0),IF(ISNUMBER(O286),O286*MAX(N286-1,0),SUM(IFERROR(VALUE(TEXTSPLIT(O286,",")),0)))),0)</f>
        <v/>
      </c>
      <c r="S286">
        <f>IFERROR(L286*MAX(N286,1)/R286*IF(ISBLANK(K284),1,K284),0)</f>
        <v/>
      </c>
      <c r="AB286" s="7" t="inlineStr">
        <is>
          <t>^Warhead_Thermobaric_Medium</t>
        </is>
      </c>
    </row>
    <row r="287">
      <c r="B287" s="7" t="inlineStr">
        <is>
          <t xml:space="preserve">  ↳ SiegeMortarThermobaric</t>
        </is>
      </c>
      <c r="C287" s="7" t="inlineStr">
        <is>
          <t>Armament@Upgrade</t>
        </is>
      </c>
      <c r="L287" s="6" t="n">
        <v>24000</v>
      </c>
      <c r="M287" s="6" t="n">
        <v>88</v>
      </c>
      <c r="N287" s="6" t="n">
        <v>1</v>
      </c>
      <c r="O287" s="6" t="n"/>
      <c r="P287" s="6" t="n">
        <v>10830</v>
      </c>
      <c r="Q287" s="6" t="n">
        <v>1.25</v>
      </c>
      <c r="R287">
        <f>M287+IF(MAX(N287-1,0)&gt;0,IF(ISBLANK(O287),5*MAX(N287-1,0),IF(ISNUMBER(O287),O287*MAX(N287-1,0),SUM(IFERROR(VALUE(TEXTSPLIT(O287,",")),0)))),0)</f>
        <v/>
      </c>
      <c r="S287">
        <f>IFERROR(L287*MAX(N287,1)/R287*IF(ISBLANK(K284),1,K284),0)</f>
        <v/>
      </c>
      <c r="AB287" s="7" t="inlineStr">
        <is>
          <t>^Warhead_Thermobaric_Heavy</t>
        </is>
      </c>
    </row>
    <row r="288">
      <c r="B288" s="7" t="inlineStr">
        <is>
          <t xml:space="preserve">  ↳ SiegeMortarThermobaric</t>
        </is>
      </c>
      <c r="C288" s="7" t="inlineStr">
        <is>
          <t>Armament@UpgradeGARRISONED</t>
        </is>
      </c>
      <c r="L288" s="6" t="n">
        <v>24000</v>
      </c>
      <c r="M288" s="6" t="n">
        <v>88</v>
      </c>
      <c r="N288" s="6" t="n">
        <v>1</v>
      </c>
      <c r="O288" s="6" t="n"/>
      <c r="P288" s="6" t="n">
        <v>10830</v>
      </c>
      <c r="Q288" s="6" t="n">
        <v>1.25</v>
      </c>
      <c r="R288">
        <f>M288+IF(MAX(N288-1,0)&gt;0,IF(ISBLANK(O288),5*MAX(N288-1,0),IF(ISNUMBER(O288),O288*MAX(N288-1,0),SUM(IFERROR(VALUE(TEXTSPLIT(O288,",")),0)))),0)</f>
        <v/>
      </c>
      <c r="S288">
        <f>IFERROR(L288*MAX(N288,1)/R288*IF(ISBLANK(K284),1,K284),0)</f>
        <v/>
      </c>
      <c r="AB288" s="7" t="inlineStr">
        <is>
          <t>^Warhead_Thermobaric_Heavy</t>
        </is>
      </c>
    </row>
    <row r="289">
      <c r="A289" t="inlineStr">
        <is>
          <t>tiberiansun</t>
        </is>
      </c>
      <c r="B289" t="inlineStr">
        <is>
          <t>forgotten_mutantmortarman</t>
        </is>
      </c>
      <c r="C289" t="inlineStr">
        <is>
          <t>actor_forgotten_mutantmortarman.name</t>
        </is>
      </c>
      <c r="D289" s="6" t="inlineStr">
        <is>
          <t>MortarInfantry</t>
        </is>
      </c>
      <c r="E289" s="6" t="n">
        <v>30000</v>
      </c>
      <c r="F289" s="6" t="n">
        <v>50</v>
      </c>
      <c r="G289" t="inlineStr">
        <is>
          <t>None</t>
        </is>
      </c>
      <c r="H289" s="6" t="n">
        <v>1</v>
      </c>
      <c r="I289" s="6" t="n">
        <v>1</v>
      </c>
      <c r="J289" s="6" t="n">
        <v>1</v>
      </c>
      <c r="P289">
        <f>MAX(P290,P291)</f>
        <v/>
      </c>
      <c r="S289">
        <f>S290+S291</f>
        <v/>
      </c>
      <c r="T289">
        <f>(E289/100000+F289/100+(P289/1000)*J289/5+S289/200)*200*I289*H289</f>
        <v/>
      </c>
      <c r="U289">
        <f>((E289*F289/25000)+((P289/1000)*J289*S289/2.5))*I289*H289</f>
        <v/>
      </c>
      <c r="V289">
        <f>(E289*F289*(P289/1000)*J289*S289*I289*H289)/12500000</f>
        <v/>
      </c>
      <c r="W289">
        <f>(T289+U289+V289)/3</f>
        <v/>
      </c>
      <c r="X289" s="6" t="n">
        <v>500</v>
      </c>
      <c r="Y289">
        <f>IFERROR(W289-X289,"")</f>
        <v/>
      </c>
      <c r="Z289">
        <f>IFERROR(ABS(Y289)/MAX(X289,1),"")</f>
        <v/>
      </c>
      <c r="AA289">
        <f>IFERROR((X289-(((E289/100000+F289/100+S289/200)*200*I289*H289)+((E289*F289/25000)*I289*H289))/3)/(((J289/5)*200*I289*H289)+((J289*S289/2.5)*I289*H289)+((E289*F289*J289*S289*I289*H289)/12500000))/3*1000,"")</f>
        <v/>
      </c>
    </row>
    <row r="290">
      <c r="B290" s="7" t="inlineStr">
        <is>
          <t xml:space="preserve">  ↳ TSInfantryMortar</t>
        </is>
      </c>
      <c r="C290" s="7" t="inlineStr">
        <is>
          <t>Armament@PRIMARY</t>
        </is>
      </c>
      <c r="L290" s="6" t="n">
        <v>32000</v>
      </c>
      <c r="M290" s="6" t="n">
        <v>88</v>
      </c>
      <c r="N290" s="6" t="n">
        <v>1</v>
      </c>
      <c r="O290" s="6" t="n"/>
      <c r="P290" s="6" t="n">
        <v>10830</v>
      </c>
      <c r="Q290" s="6" t="n">
        <v>1.125</v>
      </c>
      <c r="R290">
        <f>M290+IF(MAX(N290-1,0)&gt;0,IF(ISBLANK(O290),5*MAX(N290-1,0),IF(ISNUMBER(O290),O290*MAX(N290-1,0),SUM(IFERROR(VALUE(TEXTSPLIT(O290,",")),0)))),0)</f>
        <v/>
      </c>
      <c r="S290">
        <f>IFERROR(L290*MAX(N290,1)/R290*IF(ISBLANK(K289),1,K289),0)</f>
        <v/>
      </c>
      <c r="AB290" s="7" t="inlineStr">
        <is>
          <t>^Warhead_Demolition_Heavy, ^Warhead_Concussion_Medium</t>
        </is>
      </c>
    </row>
    <row r="291">
      <c r="B291" s="7" t="inlineStr">
        <is>
          <t xml:space="preserve">  ↳ TSInfantryMortarChem</t>
        </is>
      </c>
      <c r="C291" s="7" t="inlineStr">
        <is>
          <t>Armament@UPGRADE</t>
        </is>
      </c>
      <c r="L291" s="6" t="n">
        <v>48000</v>
      </c>
      <c r="M291" s="6" t="n">
        <v>88</v>
      </c>
      <c r="N291" s="6" t="n">
        <v>1</v>
      </c>
      <c r="O291" s="6" t="n"/>
      <c r="P291" s="6" t="n">
        <v>10830</v>
      </c>
      <c r="Q291" s="6" t="n">
        <v>1</v>
      </c>
      <c r="R291">
        <f>M291+IF(MAX(N291-1,0)&gt;0,IF(ISBLANK(O291),5*MAX(N291-1,0),IF(ISNUMBER(O291),O291*MAX(N291-1,0),SUM(IFERROR(VALUE(TEXTSPLIT(O291,",")),0)))),0)</f>
        <v/>
      </c>
      <c r="S291">
        <f>IFERROR(L291*MAX(N291,1)/R291*IF(ISBLANK(K289),1,K289),0)</f>
        <v/>
      </c>
      <c r="AB291" s="7" t="inlineStr">
        <is>
          <t>^Warhead_Demolition_Heavy, ^Warhead_Concussion_Medium, ^Warhead_Chemical_Medium</t>
        </is>
      </c>
    </row>
    <row r="292">
      <c r="B292" s="7" t="inlineStr">
        <is>
          <t xml:space="preserve">  ↳ TSInfantryMortar</t>
        </is>
      </c>
      <c r="C292" s="7" t="inlineStr">
        <is>
          <t>Armament@GARRISONED</t>
        </is>
      </c>
      <c r="L292" s="6" t="n">
        <v>32000</v>
      </c>
      <c r="M292" s="6" t="n">
        <v>88</v>
      </c>
      <c r="N292" s="6" t="n">
        <v>1</v>
      </c>
      <c r="O292" s="6" t="n"/>
      <c r="P292" s="6" t="n">
        <v>10830</v>
      </c>
      <c r="Q292" s="6" t="n">
        <v>1.125</v>
      </c>
      <c r="R292">
        <f>M292+IF(MAX(N292-1,0)&gt;0,IF(ISBLANK(O292),5*MAX(N292-1,0),IF(ISNUMBER(O292),O292*MAX(N292-1,0),SUM(IFERROR(VALUE(TEXTSPLIT(O292,",")),0)))),0)</f>
        <v/>
      </c>
      <c r="S292">
        <f>IFERROR(L292*MAX(N292,1)/R292*IF(ISBLANK(K289),1,K289),0)</f>
        <v/>
      </c>
      <c r="AB292" s="7" t="inlineStr">
        <is>
          <t>^Warhead_Demolition_Heavy, ^Warhead_Concussion_Medium</t>
        </is>
      </c>
    </row>
    <row r="293">
      <c r="B293" s="7" t="inlineStr">
        <is>
          <t xml:space="preserve">  ↳ TSInfantryMortarChem</t>
        </is>
      </c>
      <c r="C293" s="7" t="inlineStr">
        <is>
          <t>Armament@GARRISONEDUPGRADE</t>
        </is>
      </c>
      <c r="L293" s="6" t="n">
        <v>48000</v>
      </c>
      <c r="M293" s="6" t="n">
        <v>88</v>
      </c>
      <c r="N293" s="6" t="n">
        <v>1</v>
      </c>
      <c r="O293" s="6" t="n"/>
      <c r="P293" s="6" t="n">
        <v>10830</v>
      </c>
      <c r="Q293" s="6" t="n">
        <v>1</v>
      </c>
      <c r="R293">
        <f>M293+IF(MAX(N293-1,0)&gt;0,IF(ISBLANK(O293),5*MAX(N293-1,0),IF(ISNUMBER(O293),O293*MAX(N293-1,0),SUM(IFERROR(VALUE(TEXTSPLIT(O293,",")),0)))),0)</f>
        <v/>
      </c>
      <c r="S293">
        <f>IFERROR(L293*MAX(N293,1)/R293*IF(ISBLANK(K289),1,K289),0)</f>
        <v/>
      </c>
      <c r="AB293" s="7" t="inlineStr">
        <is>
          <t>^Warhead_Demolition_Heavy, ^Warhead_Concussion_Medium, ^Warhead_Chemical_Medium</t>
        </is>
      </c>
    </row>
    <row r="294">
      <c r="A294" t="inlineStr">
        <is>
          <t>redalert2mod</t>
        </is>
      </c>
      <c r="B294" t="inlineStr">
        <is>
          <t>latinsyndicate_mortarbike</t>
        </is>
      </c>
      <c r="C294" t="inlineStr">
        <is>
          <t>Mortar Bike</t>
        </is>
      </c>
      <c r="D294" s="6" t="inlineStr">
        <is>
          <t>MortarInfantry</t>
        </is>
      </c>
      <c r="E294" s="6" t="n">
        <v>28000</v>
      </c>
      <c r="F294" s="6" t="n">
        <v>140</v>
      </c>
      <c r="G294" t="inlineStr">
        <is>
          <t>None</t>
        </is>
      </c>
      <c r="H294" s="6" t="n">
        <v>1</v>
      </c>
      <c r="I294" s="6" t="n">
        <v>0.6</v>
      </c>
      <c r="J294" s="6" t="n">
        <v>1</v>
      </c>
      <c r="K294" t="n">
        <v>0.005</v>
      </c>
      <c r="P294">
        <f>MAX(P295,P296)</f>
        <v/>
      </c>
      <c r="S294">
        <f>S295+S296</f>
        <v/>
      </c>
      <c r="T294">
        <f>(E294/100000+F294/100+(P294/1000)*J294/5+S294/200)*200*I294*H294</f>
        <v/>
      </c>
      <c r="U294">
        <f>((E294*F294/25000)+((P294/1000)*J294*S294/2.5))*I294*H294</f>
        <v/>
      </c>
      <c r="V294">
        <f>(E294*F294*(P294/1000)*J294*S294*I294*H294)/12500000</f>
        <v/>
      </c>
      <c r="W294">
        <f>(T294+U294+V294)/3</f>
        <v/>
      </c>
      <c r="X294" s="6" t="n">
        <v>500</v>
      </c>
      <c r="Y294">
        <f>IFERROR(W294-X294,"")</f>
        <v/>
      </c>
      <c r="Z294">
        <f>IFERROR(ABS(Y294)/MAX(X294,1),"")</f>
        <v/>
      </c>
      <c r="AA294">
        <f>IFERROR((X294-(((E294/100000+F294/100+S294/200)*200*I294*H294)+((E294*F294/25000)*I294*H294))/3)/(((J294/5)*200*I294*H294)+((J294*S294/2.5)*I294*H294)+((E294*F294*J294*S294*I294*H294)/12500000))/3*1000,"")</f>
        <v/>
      </c>
    </row>
    <row r="295">
      <c r="B295" s="7" t="inlineStr">
        <is>
          <t xml:space="preserve">  ↳ RA2MortarBike</t>
        </is>
      </c>
      <c r="C295" s="7" t="inlineStr">
        <is>
          <t>Armament</t>
        </is>
      </c>
      <c r="L295" s="6" t="n">
        <v>36000</v>
      </c>
      <c r="M295" s="6" t="n">
        <v>67</v>
      </c>
      <c r="N295" s="6" t="n">
        <v>1</v>
      </c>
      <c r="O295" s="6" t="n"/>
      <c r="P295" s="6" t="n">
        <v>7500</v>
      </c>
      <c r="Q295" s="6" t="n">
        <v>1.25</v>
      </c>
      <c r="R295">
        <f>M295+IF(MAX(N295-1,0)&gt;0,IF(ISBLANK(O295),5*MAX(N295-1,0),IF(ISNUMBER(O295),O295*MAX(N295-1,0),SUM(IFERROR(VALUE(TEXTSPLIT(O295,",")),0)))),0)</f>
        <v/>
      </c>
      <c r="S295">
        <f>IFERROR(L295*MAX(N295,1)/R295*IF(ISBLANK(K294),1,K294),0)</f>
        <v/>
      </c>
      <c r="AB295" s="7" t="inlineStr">
        <is>
          <t>^Warhead_CannonHE_Heavy</t>
        </is>
      </c>
    </row>
    <row r="296">
      <c r="B296" s="7" t="inlineStr">
        <is>
          <t xml:space="preserve">  ↳ RA2MortarBike_elite</t>
        </is>
      </c>
      <c r="C296" s="7" t="inlineStr">
        <is>
          <t>Armament@ELITE</t>
        </is>
      </c>
      <c r="L296" s="6" t="n">
        <v>36000</v>
      </c>
      <c r="M296" s="6" t="n">
        <v>67</v>
      </c>
      <c r="N296" s="6" t="n">
        <v>2</v>
      </c>
      <c r="O296" s="6" t="n">
        <v>3</v>
      </c>
      <c r="P296" s="6" t="n">
        <v>8500</v>
      </c>
      <c r="Q296" s="6" t="n">
        <v>1.25</v>
      </c>
      <c r="R296">
        <f>M296+IF(MAX(N296-1,0)&gt;0,IF(ISBLANK(O296),5*MAX(N296-1,0),IF(ISNUMBER(O296),O296*MAX(N296-1,0),SUM(IFERROR(VALUE(TEXTSPLIT(O296,",")),0)))),0)</f>
        <v/>
      </c>
      <c r="S296">
        <f>IFERROR(L296*MAX(N296,1)/R296*IF(ISBLANK(K294),1,K294),0)</f>
        <v/>
      </c>
      <c r="AB296" s="7" t="inlineStr">
        <is>
          <t>^Warhead_CannonHE_Heavy</t>
        </is>
      </c>
    </row>
    <row r="297">
      <c r="A297" t="inlineStr">
        <is>
          <t>d2k</t>
        </is>
      </c>
      <c r="B297" t="inlineStr">
        <is>
          <t>ordos_mortartrooper</t>
        </is>
      </c>
      <c r="C297" t="inlineStr">
        <is>
          <t>Ordos Mortar Trooper</t>
        </is>
      </c>
      <c r="D297" s="6" t="inlineStr">
        <is>
          <t>MortarInfantry</t>
        </is>
      </c>
      <c r="E297" s="6" t="n">
        <v>20000</v>
      </c>
      <c r="F297" s="6" t="n">
        <v>40</v>
      </c>
      <c r="G297" t="inlineStr">
        <is>
          <t>None</t>
        </is>
      </c>
      <c r="H297" s="6" t="n">
        <v>1</v>
      </c>
      <c r="I297" s="6" t="n">
        <v>0.6</v>
      </c>
      <c r="J297" s="6" t="n">
        <v>1</v>
      </c>
      <c r="P297">
        <f>MAX(P298)</f>
        <v/>
      </c>
      <c r="S297">
        <f>S298</f>
        <v/>
      </c>
      <c r="T297">
        <f>(E297/100000+F297/100+(P297/1000)*J297/5+S297/200)*200*I297*H297</f>
        <v/>
      </c>
      <c r="U297">
        <f>((E297*F297/25000)+((P297/1000)*J297*S297/2.5))*I297*H297</f>
        <v/>
      </c>
      <c r="V297">
        <f>(E297*F297*(P297/1000)*J297*S297*I297*H297)/12500000</f>
        <v/>
      </c>
      <c r="W297">
        <f>(T297+U297+V297)/3</f>
        <v/>
      </c>
      <c r="X297" s="6" t="n">
        <v>600</v>
      </c>
      <c r="Y297">
        <f>IFERROR(W297-X297,"")</f>
        <v/>
      </c>
      <c r="Z297">
        <f>IFERROR(ABS(Y297)/MAX(X297,1),"")</f>
        <v/>
      </c>
      <c r="AA297">
        <f>IFERROR((X297-(((E297/100000+F297/100+S297/200)*200*I297*H297)+((E297*F297/25000)*I297*H297))/3)/(((J297/5)*200*I297*H297)+((J297*S297/2.5)*I297*H297)+((E297*F297*J297*S297*I297*H297)/12500000))/3*1000,"")</f>
        <v/>
      </c>
    </row>
    <row r="298">
      <c r="B298" s="7" t="inlineStr">
        <is>
          <t xml:space="preserve">  ↳ Dune_SiegeMortar</t>
        </is>
      </c>
      <c r="C298" s="7" t="inlineStr">
        <is>
          <t>Armament</t>
        </is>
      </c>
      <c r="L298" s="6" t="n">
        <v>40000</v>
      </c>
      <c r="M298" s="6" t="n">
        <v>80</v>
      </c>
      <c r="N298" s="6" t="n">
        <v>1</v>
      </c>
      <c r="O298" s="6" t="n"/>
      <c r="P298" s="6" t="n">
        <v>9920</v>
      </c>
      <c r="Q298" s="6" t="n">
        <v>1</v>
      </c>
      <c r="R298">
        <f>M298+IF(MAX(N298-1,0)&gt;0,IF(ISBLANK(O298),5*MAX(N298-1,0),IF(ISNUMBER(O298),O298*MAX(N298-1,0),SUM(IFERROR(VALUE(TEXTSPLIT(O298,",")),0)))),0)</f>
        <v/>
      </c>
      <c r="S298">
        <f>IFERROR(L298*MAX(N298,1)/R298*IF(ISBLANK(K297),1,K297),0)</f>
        <v/>
      </c>
      <c r="AB298" s="7" t="inlineStr">
        <is>
          <t>^Warhead_Demolition_Light, ^Warhead_Concussion_Medium, ^Warhead_CannonAP_Light, ^Warhead_CannonHE_Medium</t>
        </is>
      </c>
    </row>
    <row r="299">
      <c r="B299" s="7" t="inlineStr">
        <is>
          <t xml:space="preserve">  ↳ Dune_SiegeMortar</t>
        </is>
      </c>
      <c r="C299" s="7" t="inlineStr">
        <is>
          <t>Armament@garrisoned</t>
        </is>
      </c>
      <c r="L299" s="6" t="n">
        <v>40000</v>
      </c>
      <c r="M299" s="6" t="n">
        <v>80</v>
      </c>
      <c r="N299" s="6" t="n">
        <v>1</v>
      </c>
      <c r="O299" s="6" t="n"/>
      <c r="P299" s="6" t="n">
        <v>9920</v>
      </c>
      <c r="Q299" s="6" t="n">
        <v>1</v>
      </c>
      <c r="R299">
        <f>M299+IF(MAX(N299-1,0)&gt;0,IF(ISBLANK(O299),5*MAX(N299-1,0),IF(ISNUMBER(O299),O299*MAX(N299-1,0),SUM(IFERROR(VALUE(TEXTSPLIT(O299,",")),0)))),0)</f>
        <v/>
      </c>
      <c r="S299">
        <f>IFERROR(L299*MAX(N299,1)/R299*IF(ISBLANK(K297),1,K297),0)</f>
        <v/>
      </c>
      <c r="AB299" s="7" t="inlineStr">
        <is>
          <t>^Warhead_Demolition_Light, ^Warhead_Concussion_Medium, ^Warhead_CannonAP_Light, ^Warhead_CannonHE_Medium</t>
        </is>
      </c>
    </row>
    <row r="300">
      <c r="A300" t="inlineStr">
        <is>
          <t>warcraft2</t>
        </is>
      </c>
      <c r="B300" t="inlineStr">
        <is>
          <t>wc2_humans_mortarteam</t>
        </is>
      </c>
      <c r="C300" t="inlineStr">
        <is>
          <t>Mortar Team</t>
        </is>
      </c>
      <c r="D300" s="6" t="inlineStr">
        <is>
          <t>MortarInfantry</t>
        </is>
      </c>
      <c r="E300" s="6" t="n">
        <v>40000</v>
      </c>
      <c r="F300" s="6" t="n">
        <v>80</v>
      </c>
      <c r="G300" t="inlineStr">
        <is>
          <t>None</t>
        </is>
      </c>
      <c r="H300" s="6" t="n">
        <v>1</v>
      </c>
      <c r="I300" s="6" t="n">
        <v>0.6</v>
      </c>
      <c r="J300" s="6" t="n">
        <v>1</v>
      </c>
      <c r="P300">
        <f>MAX(P301)</f>
        <v/>
      </c>
      <c r="S300">
        <f>S301</f>
        <v/>
      </c>
      <c r="T300">
        <f>(E300/100000+F300/100+(P300/1000)*J300/5+S300/200)*200*I300*H300</f>
        <v/>
      </c>
      <c r="U300">
        <f>((E300*F300/25000)+((P300/1000)*J300*S300/2.5))*I300*H300</f>
        <v/>
      </c>
      <c r="V300">
        <f>(E300*F300*(P300/1000)*J300*S300*I300*H300)/12500000</f>
        <v/>
      </c>
      <c r="W300">
        <f>(T300+U300+V300)/3</f>
        <v/>
      </c>
      <c r="X300" s="6" t="n">
        <v>800</v>
      </c>
      <c r="Y300">
        <f>IFERROR(W300-X300,"")</f>
        <v/>
      </c>
      <c r="Z300">
        <f>IFERROR(ABS(Y300)/MAX(X300,1),"")</f>
        <v/>
      </c>
      <c r="AA300">
        <f>IFERROR((X300-(((E300/100000+F300/100+S300/200)*200*I300*H300)+((E300*F300/25000)*I300*H300))/3)/(((J300/5)*200*I300*H300)+((J300*S300/2.5)*I300*H300)+((E300*F300*J300*S300*I300*H300)/12500000))/3*1000,"")</f>
        <v/>
      </c>
    </row>
    <row r="301">
      <c r="B301" s="7" t="inlineStr">
        <is>
          <t xml:space="preserve">  ↳ MortarTeamArtilleryShell</t>
        </is>
      </c>
      <c r="C301" s="7" t="inlineStr">
        <is>
          <t>Armament</t>
        </is>
      </c>
      <c r="L301" s="6" t="n">
        <v>80000</v>
      </c>
      <c r="M301" s="6" t="n">
        <v>200</v>
      </c>
      <c r="N301" s="6" t="n">
        <v>1</v>
      </c>
      <c r="O301" s="6" t="n"/>
      <c r="P301" s="6" t="n">
        <v>12000</v>
      </c>
      <c r="Q301" s="6" t="n">
        <v>1</v>
      </c>
      <c r="R301">
        <f>M301+IF(MAX(N301-1,0)&gt;0,IF(ISBLANK(O301),5*MAX(N301-1,0),IF(ISNUMBER(O301),O301*MAX(N301-1,0),SUM(IFERROR(VALUE(TEXTSPLIT(O301,",")),0)))),0)</f>
        <v/>
      </c>
      <c r="S301">
        <f>IFERROR(L301*MAX(N301,1)/R301*IF(ISBLANK(K300),1,K300),0)</f>
        <v/>
      </c>
      <c r="AB301" s="7" t="inlineStr">
        <is>
          <t>^Warhead_CannonHE_Medium</t>
        </is>
      </c>
    </row>
    <row r="302">
      <c r="B302" s="7" t="inlineStr">
        <is>
          <t xml:space="preserve">  ↳ MortarTeamArtilleryShell</t>
        </is>
      </c>
      <c r="C302" s="7" t="inlineStr">
        <is>
          <t>Armament@GARRISONED</t>
        </is>
      </c>
      <c r="L302" s="6" t="n">
        <v>80000</v>
      </c>
      <c r="M302" s="6" t="n">
        <v>200</v>
      </c>
      <c r="N302" s="6" t="n">
        <v>1</v>
      </c>
      <c r="O302" s="6" t="n"/>
      <c r="P302" s="6" t="n">
        <v>12000</v>
      </c>
      <c r="Q302" s="6" t="n">
        <v>1</v>
      </c>
      <c r="R302">
        <f>M302+IF(MAX(N302-1,0)&gt;0,IF(ISBLANK(O302),5*MAX(N302-1,0),IF(ISNUMBER(O302),O302*MAX(N302-1,0),SUM(IFERROR(VALUE(TEXTSPLIT(O302,",")),0)))),0)</f>
        <v/>
      </c>
      <c r="S302">
        <f>IFERROR(L302*MAX(N302,1)/R302*IF(ISBLANK(K300),1,K300),0)</f>
        <v/>
      </c>
      <c r="AB302" s="7" t="inlineStr">
        <is>
          <t>^Warhead_CannonHE_Medium</t>
        </is>
      </c>
    </row>
    <row r="303">
      <c r="A303" s="4" t="inlineStr">
        <is>
          <t>AntiTankAntiAirInfantry</t>
        </is>
      </c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  <c r="AB303" s="5" t="n"/>
    </row>
    <row r="304">
      <c r="A304" t="inlineStr">
        <is>
          <t>tiberiandawn</t>
        </is>
      </c>
      <c r="B304" t="inlineStr">
        <is>
          <t>E3</t>
        </is>
      </c>
      <c r="C304" t="inlineStr">
        <is>
          <t>GDI Rocket Soldier</t>
        </is>
      </c>
      <c r="D304" s="6" t="inlineStr">
        <is>
          <t>AntiTankAntiAirInfantry</t>
        </is>
      </c>
      <c r="E304" s="6" t="n">
        <v>9000</v>
      </c>
      <c r="F304" s="6" t="n">
        <v>50</v>
      </c>
      <c r="G304" t="inlineStr">
        <is>
          <t>Flak</t>
        </is>
      </c>
      <c r="H304" s="6" t="n">
        <v>1</v>
      </c>
      <c r="I304" s="6" t="n">
        <v>1</v>
      </c>
      <c r="J304" s="6" t="n">
        <v>1</v>
      </c>
      <c r="P304">
        <f>MAX(P305,P307)</f>
        <v/>
      </c>
      <c r="S304">
        <f>S305+S307</f>
        <v/>
      </c>
      <c r="T304">
        <f>(E304/100000+F304/100+(P304/1000)*J304/5+S304/200)*200*I304*H304</f>
        <v/>
      </c>
      <c r="U304">
        <f>((E304*F304/25000)+((P304/1000)*J304*S304/2.5))*I304*H304</f>
        <v/>
      </c>
      <c r="V304">
        <f>(E304*F304*(P304/1000)*J304*S304*I304*H304)/12500000</f>
        <v/>
      </c>
      <c r="W304">
        <f>(T304+U304+V304)/3</f>
        <v/>
      </c>
      <c r="X304" s="6" t="n">
        <v>300</v>
      </c>
      <c r="Y304">
        <f>IFERROR(W304-X304,"")</f>
        <v/>
      </c>
      <c r="Z304">
        <f>IFERROR(ABS(Y304)/MAX(X304,1),"")</f>
        <v/>
      </c>
      <c r="AA304">
        <f>IFERROR((X304-(((E304/100000+F304/100+S304/200)*200*I304*H304)+((E304*F304/25000)*I304*H304))/3)/(((J304/5)*200*I304*H304)+((J304*S304/2.5)*I304*H304)+((E304*F304*J304*S304*I304*H304)/12500000))/3*1000,"")</f>
        <v/>
      </c>
    </row>
    <row r="305">
      <c r="B305" s="7" t="inlineStr">
        <is>
          <t xml:space="preserve">  ↳ Rockets</t>
        </is>
      </c>
      <c r="C305" s="7" t="inlineStr">
        <is>
          <t>Armament@PRIMARY</t>
        </is>
      </c>
      <c r="L305" s="6" t="n">
        <v>18000</v>
      </c>
      <c r="M305" s="6" t="n">
        <v>63</v>
      </c>
      <c r="N305" s="6" t="n">
        <v>1</v>
      </c>
      <c r="O305" s="6" t="n"/>
      <c r="P305" s="6" t="n">
        <v>6368</v>
      </c>
      <c r="Q305" s="6" t="n">
        <v>0.75</v>
      </c>
      <c r="R305">
        <f>M305+IF(MAX(N305-1,0)&gt;0,IF(ISBLANK(O305),5*MAX(N305-1,0),IF(ISNUMBER(O305),O305*MAX(N305-1,0),SUM(IFERROR(VALUE(TEXTSPLIT(O305,",")),0)))),0)</f>
        <v/>
      </c>
      <c r="S305">
        <f>IFERROR(L305*MAX(N305,1)/R305*IF(ISBLANK(K304),1,K304),0)</f>
        <v/>
      </c>
      <c r="AB305" s="7" t="inlineStr">
        <is>
          <t>^Warhead_MissileAP_Light</t>
        </is>
      </c>
    </row>
    <row r="306">
      <c r="B306" s="7" t="inlineStr">
        <is>
          <t xml:space="preserve">  ↳ Rockets</t>
        </is>
      </c>
      <c r="C306" s="7" t="inlineStr">
        <is>
          <t>Armament@GARRISONED</t>
        </is>
      </c>
      <c r="L306" s="6" t="n">
        <v>18000</v>
      </c>
      <c r="M306" s="6" t="n">
        <v>63</v>
      </c>
      <c r="N306" s="6" t="n">
        <v>1</v>
      </c>
      <c r="O306" s="6" t="n"/>
      <c r="P306" s="6" t="n">
        <v>6368</v>
      </c>
      <c r="Q306" s="6" t="n">
        <v>0.75</v>
      </c>
      <c r="R306">
        <f>M306+IF(MAX(N306-1,0)&gt;0,IF(ISBLANK(O306),5*MAX(N306-1,0),IF(ISNUMBER(O306),O306*MAX(N306-1,0),SUM(IFERROR(VALUE(TEXTSPLIT(O306,",")),0)))),0)</f>
        <v/>
      </c>
      <c r="S306">
        <f>IFERROR(L306*MAX(N306,1)/R306*IF(ISBLANK(K304),1,K304),0)</f>
        <v/>
      </c>
      <c r="AB306" s="7" t="inlineStr">
        <is>
          <t>^Warhead_MissileAP_Light</t>
        </is>
      </c>
    </row>
    <row r="307">
      <c r="B307" s="7" t="inlineStr">
        <is>
          <t xml:space="preserve">  ↳ RocketsAMT</t>
        </is>
      </c>
      <c r="C307" s="7" t="inlineStr">
        <is>
          <t>Armament@AdvancedMissileTargeting</t>
        </is>
      </c>
      <c r="L307" s="6" t="n">
        <v>18000</v>
      </c>
      <c r="M307" s="6" t="n">
        <v>63</v>
      </c>
      <c r="N307" s="6" t="n">
        <v>1</v>
      </c>
      <c r="O307" s="6" t="n"/>
      <c r="P307" s="6" t="n">
        <v>6368</v>
      </c>
      <c r="Q307" s="6" t="n">
        <v>0.75</v>
      </c>
      <c r="R307">
        <f>M307+IF(MAX(N307-1,0)&gt;0,IF(ISBLANK(O307),5*MAX(N307-1,0),IF(ISNUMBER(O307),O307*MAX(N307-1,0),SUM(IFERROR(VALUE(TEXTSPLIT(O307,",")),0)))),0)</f>
        <v/>
      </c>
      <c r="S307">
        <f>IFERROR(L307*MAX(N307,1)/R307*IF(ISBLANK(K304),1,K304),0)</f>
        <v/>
      </c>
      <c r="AB307" s="7" t="inlineStr">
        <is>
          <t>^Warhead_MissileAP_Light</t>
        </is>
      </c>
    </row>
    <row r="308">
      <c r="B308" s="7" t="inlineStr">
        <is>
          <t xml:space="preserve">  ↳ RocketsAMT</t>
        </is>
      </c>
      <c r="C308" s="7" t="inlineStr">
        <is>
          <t>Armament@AdvancedMissileTargetingGARRISONED</t>
        </is>
      </c>
      <c r="L308" s="6" t="n">
        <v>18000</v>
      </c>
      <c r="M308" s="6" t="n">
        <v>63</v>
      </c>
      <c r="N308" s="6" t="n">
        <v>1</v>
      </c>
      <c r="O308" s="6" t="n"/>
      <c r="P308" s="6" t="n">
        <v>6368</v>
      </c>
      <c r="Q308" s="6" t="n">
        <v>0.75</v>
      </c>
      <c r="R308">
        <f>M308+IF(MAX(N308-1,0)&gt;0,IF(ISBLANK(O308),5*MAX(N308-1,0),IF(ISNUMBER(O308),O308*MAX(N308-1,0),SUM(IFERROR(VALUE(TEXTSPLIT(O308,",")),0)))),0)</f>
        <v/>
      </c>
      <c r="S308">
        <f>IFERROR(L308*MAX(N308,1)/R308*IF(ISBLANK(K304),1,K304),0)</f>
        <v/>
      </c>
      <c r="AB308" s="7" t="inlineStr">
        <is>
          <t>^Warhead_MissileAP_Light</t>
        </is>
      </c>
    </row>
    <row r="309">
      <c r="A309" t="inlineStr">
        <is>
          <t>tiberiandawn</t>
        </is>
      </c>
      <c r="B309" t="inlineStr">
        <is>
          <t>td_gdi_rocketsoldier</t>
        </is>
      </c>
      <c r="C309" t="inlineStr">
        <is>
          <t>GDI Rocket Soldier</t>
        </is>
      </c>
      <c r="D309" s="6" t="inlineStr">
        <is>
          <t>AntiTankAntiAirInfantry</t>
        </is>
      </c>
      <c r="E309" s="6" t="n">
        <v>9000</v>
      </c>
      <c r="F309" s="6" t="n">
        <v>50</v>
      </c>
      <c r="G309" t="inlineStr">
        <is>
          <t>Flak</t>
        </is>
      </c>
      <c r="H309" s="6" t="n">
        <v>1</v>
      </c>
      <c r="I309" s="6" t="n">
        <v>1</v>
      </c>
      <c r="J309" s="6" t="n">
        <v>1</v>
      </c>
      <c r="P309">
        <f>MAX(P310,P312)</f>
        <v/>
      </c>
      <c r="S309">
        <f>S310+S312</f>
        <v/>
      </c>
      <c r="T309">
        <f>(E309/100000+F309/100+(P309/1000)*J309/5+S309/200)*200*I309*H309</f>
        <v/>
      </c>
      <c r="U309">
        <f>((E309*F309/25000)+((P309/1000)*J309*S309/2.5))*I309*H309</f>
        <v/>
      </c>
      <c r="V309">
        <f>(E309*F309*(P309/1000)*J309*S309*I309*H309)/12500000</f>
        <v/>
      </c>
      <c r="W309">
        <f>(T309+U309+V309)/3</f>
        <v/>
      </c>
      <c r="X309" s="6" t="n">
        <v>300</v>
      </c>
      <c r="Y309">
        <f>IFERROR(W309-X309,"")</f>
        <v/>
      </c>
      <c r="Z309">
        <f>IFERROR(ABS(Y309)/MAX(X309,1),"")</f>
        <v/>
      </c>
      <c r="AA309">
        <f>IFERROR((X309-(((E309/100000+F309/100+S309/200)*200*I309*H309)+((E309*F309/25000)*I309*H309))/3)/(((J309/5)*200*I309*H309)+((J309*S309/2.5)*I309*H309)+((E309*F309*J309*S309*I309*H309)/12500000))/3*1000,"")</f>
        <v/>
      </c>
    </row>
    <row r="310">
      <c r="B310" s="7" t="inlineStr">
        <is>
          <t xml:space="preserve">  ↳ Rockets</t>
        </is>
      </c>
      <c r="C310" s="7" t="inlineStr">
        <is>
          <t>Armament@PRIMARY</t>
        </is>
      </c>
      <c r="L310" s="6" t="n">
        <v>18000</v>
      </c>
      <c r="M310" s="6" t="n">
        <v>63</v>
      </c>
      <c r="N310" s="6" t="n">
        <v>1</v>
      </c>
      <c r="O310" s="6" t="n"/>
      <c r="P310" s="6" t="n">
        <v>6368</v>
      </c>
      <c r="Q310" s="6" t="n">
        <v>0.75</v>
      </c>
      <c r="R310">
        <f>M310+IF(MAX(N310-1,0)&gt;0,IF(ISBLANK(O310),5*MAX(N310-1,0),IF(ISNUMBER(O310),O310*MAX(N310-1,0),SUM(IFERROR(VALUE(TEXTSPLIT(O310,",")),0)))),0)</f>
        <v/>
      </c>
      <c r="S310">
        <f>IFERROR(L310*MAX(N310,1)/R310*IF(ISBLANK(K309),1,K309),0)</f>
        <v/>
      </c>
      <c r="AB310" s="7" t="inlineStr">
        <is>
          <t>^Warhead_MissileAP_Light</t>
        </is>
      </c>
    </row>
    <row r="311">
      <c r="B311" s="7" t="inlineStr">
        <is>
          <t xml:space="preserve">  ↳ Rockets</t>
        </is>
      </c>
      <c r="C311" s="7" t="inlineStr">
        <is>
          <t>Armament@GARRISONED</t>
        </is>
      </c>
      <c r="L311" s="6" t="n">
        <v>18000</v>
      </c>
      <c r="M311" s="6" t="n">
        <v>63</v>
      </c>
      <c r="N311" s="6" t="n">
        <v>1</v>
      </c>
      <c r="O311" s="6" t="n"/>
      <c r="P311" s="6" t="n">
        <v>6368</v>
      </c>
      <c r="Q311" s="6" t="n">
        <v>0.75</v>
      </c>
      <c r="R311">
        <f>M311+IF(MAX(N311-1,0)&gt;0,IF(ISBLANK(O311),5*MAX(N311-1,0),IF(ISNUMBER(O311),O311*MAX(N311-1,0),SUM(IFERROR(VALUE(TEXTSPLIT(O311,",")),0)))),0)</f>
        <v/>
      </c>
      <c r="S311">
        <f>IFERROR(L311*MAX(N311,1)/R311*IF(ISBLANK(K309),1,K309),0)</f>
        <v/>
      </c>
      <c r="AB311" s="7" t="inlineStr">
        <is>
          <t>^Warhead_MissileAP_Light</t>
        </is>
      </c>
    </row>
    <row r="312">
      <c r="B312" s="7" t="inlineStr">
        <is>
          <t xml:space="preserve">  ↳ RocketsAMT</t>
        </is>
      </c>
      <c r="C312" s="7" t="inlineStr">
        <is>
          <t>Armament@AdvancedMissileTargeting</t>
        </is>
      </c>
      <c r="L312" s="6" t="n">
        <v>18000</v>
      </c>
      <c r="M312" s="6" t="n">
        <v>63</v>
      </c>
      <c r="N312" s="6" t="n">
        <v>1</v>
      </c>
      <c r="O312" s="6" t="n"/>
      <c r="P312" s="6" t="n">
        <v>6368</v>
      </c>
      <c r="Q312" s="6" t="n">
        <v>0.75</v>
      </c>
      <c r="R312">
        <f>M312+IF(MAX(N312-1,0)&gt;0,IF(ISBLANK(O312),5*MAX(N312-1,0),IF(ISNUMBER(O312),O312*MAX(N312-1,0),SUM(IFERROR(VALUE(TEXTSPLIT(O312,",")),0)))),0)</f>
        <v/>
      </c>
      <c r="S312">
        <f>IFERROR(L312*MAX(N312,1)/R312*IF(ISBLANK(K309),1,K309),0)</f>
        <v/>
      </c>
      <c r="AB312" s="7" t="inlineStr">
        <is>
          <t>^Warhead_MissileAP_Light</t>
        </is>
      </c>
    </row>
    <row r="313">
      <c r="B313" s="7" t="inlineStr">
        <is>
          <t xml:space="preserve">  ↳ RocketsAMT</t>
        </is>
      </c>
      <c r="C313" s="7" t="inlineStr">
        <is>
          <t>Armament@AdvancedMissileTargetingGARRISONED</t>
        </is>
      </c>
      <c r="L313" s="6" t="n">
        <v>18000</v>
      </c>
      <c r="M313" s="6" t="n">
        <v>63</v>
      </c>
      <c r="N313" s="6" t="n">
        <v>1</v>
      </c>
      <c r="O313" s="6" t="n"/>
      <c r="P313" s="6" t="n">
        <v>6368</v>
      </c>
      <c r="Q313" s="6" t="n">
        <v>0.75</v>
      </c>
      <c r="R313">
        <f>M313+IF(MAX(N313-1,0)&gt;0,IF(ISBLANK(O313),5*MAX(N313-1,0),IF(ISNUMBER(O313),O313*MAX(N313-1,0),SUM(IFERROR(VALUE(TEXTSPLIT(O313,",")),0)))),0)</f>
        <v/>
      </c>
      <c r="S313">
        <f>IFERROR(L313*MAX(N313,1)/R313*IF(ISBLANK(K309),1,K309),0)</f>
        <v/>
      </c>
      <c r="AB313" s="7" t="inlineStr">
        <is>
          <t>^Warhead_MissileAP_Light</t>
        </is>
      </c>
    </row>
    <row r="314">
      <c r="A314" t="inlineStr">
        <is>
          <t>tiberiandawn</t>
        </is>
      </c>
      <c r="B314" t="inlineStr">
        <is>
          <t>td_nod_chemicalrocketsoldier</t>
        </is>
      </c>
      <c r="C314" t="inlineStr">
        <is>
          <t>Chemical Rocket Soldier</t>
        </is>
      </c>
      <c r="D314" s="6" t="inlineStr">
        <is>
          <t>AntiTankAntiAirInfantry</t>
        </is>
      </c>
      <c r="E314" s="6" t="n">
        <v>18000</v>
      </c>
      <c r="F314" s="6" t="n">
        <v>60</v>
      </c>
      <c r="G314" t="inlineStr">
        <is>
          <t>Flak</t>
        </is>
      </c>
      <c r="H314" s="6" t="n">
        <v>1</v>
      </c>
      <c r="I314" s="6" t="n">
        <v>0.5</v>
      </c>
      <c r="J314" s="6" t="n">
        <v>1</v>
      </c>
      <c r="P314">
        <f>MAX(P315)</f>
        <v/>
      </c>
      <c r="S314">
        <f>S315</f>
        <v/>
      </c>
      <c r="T314">
        <f>(E314/100000+F314/100+(P314/1000)*J314/5+S314/200)*200*I314*H314</f>
        <v/>
      </c>
      <c r="U314">
        <f>((E314*F314/25000)+((P314/1000)*J314*S314/2.5))*I314*H314</f>
        <v/>
      </c>
      <c r="V314">
        <f>(E314*F314*(P314/1000)*J314*S314*I314*H314)/12500000</f>
        <v/>
      </c>
      <c r="W314">
        <f>(T314+U314+V314)/3</f>
        <v/>
      </c>
      <c r="X314" s="6" t="n">
        <v>400</v>
      </c>
      <c r="Y314">
        <f>IFERROR(W314-X314,"")</f>
        <v/>
      </c>
      <c r="Z314">
        <f>IFERROR(ABS(Y314)/MAX(X314,1),"")</f>
        <v/>
      </c>
      <c r="AA314">
        <f>IFERROR((X314-(((E314/100000+F314/100+S314/200)*200*I314*H314)+((E314*F314/25000)*I314*H314))/3)/(((J314/5)*200*I314*H314)+((J314*S314/2.5)*I314*H314)+((E314*F314*J314*S314*I314*H314)/12500000))/3*1000,"")</f>
        <v/>
      </c>
    </row>
    <row r="315">
      <c r="B315" s="7" t="inlineStr">
        <is>
          <t xml:space="preserve">  ↳ ChemRockets</t>
        </is>
      </c>
      <c r="C315" s="7" t="inlineStr">
        <is>
          <t>Armament@PRIMARY</t>
        </is>
      </c>
      <c r="L315" s="6" t="n">
        <v>36000</v>
      </c>
      <c r="M315" s="6" t="n">
        <v>54</v>
      </c>
      <c r="N315" s="6" t="n">
        <v>1</v>
      </c>
      <c r="O315" s="6" t="n"/>
      <c r="P315" s="6" t="n">
        <v>6006</v>
      </c>
      <c r="Q315" s="6" t="n">
        <v>1</v>
      </c>
      <c r="R315">
        <f>M315+IF(MAX(N315-1,0)&gt;0,IF(ISBLANK(O315),5*MAX(N315-1,0),IF(ISNUMBER(O315),O315*MAX(N315-1,0),SUM(IFERROR(VALUE(TEXTSPLIT(O315,",")),0)))),0)</f>
        <v/>
      </c>
      <c r="S315">
        <f>IFERROR(L315*MAX(N315,1)/R315*IF(ISBLANK(K314),1,K314),0)</f>
        <v/>
      </c>
      <c r="AB315" s="7" t="inlineStr">
        <is>
          <t>^Grenade, ^LightChemicalWeapon, ^LightMissile</t>
        </is>
      </c>
    </row>
    <row r="316">
      <c r="B316" s="7" t="inlineStr">
        <is>
          <t xml:space="preserve">  ↳ ChemRockets</t>
        </is>
      </c>
      <c r="C316" s="7" t="inlineStr">
        <is>
          <t>Armament@GARRISONED</t>
        </is>
      </c>
      <c r="L316" s="6" t="n">
        <v>36000</v>
      </c>
      <c r="M316" s="6" t="n">
        <v>54</v>
      </c>
      <c r="N316" s="6" t="n">
        <v>1</v>
      </c>
      <c r="O316" s="6" t="n"/>
      <c r="P316" s="6" t="n">
        <v>6006</v>
      </c>
      <c r="Q316" s="6" t="n">
        <v>1</v>
      </c>
      <c r="R316">
        <f>M316+IF(MAX(N316-1,0)&gt;0,IF(ISBLANK(O316),5*MAX(N316-1,0),IF(ISNUMBER(O316),O316*MAX(N316-1,0),SUM(IFERROR(VALUE(TEXTSPLIT(O316,",")),0)))),0)</f>
        <v/>
      </c>
      <c r="S316">
        <f>IFERROR(L316*MAX(N316,1)/R316*IF(ISBLANK(K314),1,K314),0)</f>
        <v/>
      </c>
      <c r="AB316" s="7" t="inlineStr">
        <is>
          <t>^Grenade, ^LightChemicalWeapon, ^LightMissile</t>
        </is>
      </c>
    </row>
    <row r="317">
      <c r="A317" t="inlineStr">
        <is>
          <t>tiberiandawn</t>
        </is>
      </c>
      <c r="B317" t="inlineStr">
        <is>
          <t>td_nod_rocketsoldier</t>
        </is>
      </c>
      <c r="C317" t="inlineStr">
        <is>
          <t>Nod Rocket Soldier</t>
        </is>
      </c>
      <c r="D317" s="6" t="inlineStr">
        <is>
          <t>AntiTankAntiAirInfantry</t>
        </is>
      </c>
      <c r="E317" s="6" t="n">
        <v>9000</v>
      </c>
      <c r="F317" s="6" t="n">
        <v>50</v>
      </c>
      <c r="G317" t="inlineStr">
        <is>
          <t>Flak</t>
        </is>
      </c>
      <c r="H317" s="6" t="n">
        <v>1</v>
      </c>
      <c r="I317" s="6" t="n">
        <v>1</v>
      </c>
      <c r="J317" s="6" t="n">
        <v>1</v>
      </c>
      <c r="P317">
        <f>MAX(P318)</f>
        <v/>
      </c>
      <c r="S317">
        <f>S318</f>
        <v/>
      </c>
      <c r="T317">
        <f>(E317/100000+F317/100+(P317/1000)*J317/5+S317/200)*200*I317*H317</f>
        <v/>
      </c>
      <c r="U317">
        <f>((E317*F317/25000)+((P317/1000)*J317*S317/2.5))*I317*H317</f>
        <v/>
      </c>
      <c r="V317">
        <f>(E317*F317*(P317/1000)*J317*S317*I317*H317)/12500000</f>
        <v/>
      </c>
      <c r="W317">
        <f>(T317+U317+V317)/3</f>
        <v/>
      </c>
      <c r="X317" s="6" t="n">
        <v>300</v>
      </c>
      <c r="Y317">
        <f>IFERROR(W317-X317,"")</f>
        <v/>
      </c>
      <c r="Z317">
        <f>IFERROR(ABS(Y317)/MAX(X317,1),"")</f>
        <v/>
      </c>
      <c r="AA317">
        <f>IFERROR((X317-(((E317/100000+F317/100+S317/200)*200*I317*H317)+((E317*F317/25000)*I317*H317))/3)/(((J317/5)*200*I317*H317)+((J317*S317/2.5)*I317*H317)+((E317*F317*J317*S317*I317*H317)/12500000))/3*1000,"")</f>
        <v/>
      </c>
    </row>
    <row r="318">
      <c r="B318" s="7" t="inlineStr">
        <is>
          <t xml:space="preserve">  ↳ Rockets</t>
        </is>
      </c>
      <c r="C318" s="7" t="inlineStr">
        <is>
          <t>Armament@PRIMARY</t>
        </is>
      </c>
      <c r="L318" s="6" t="n">
        <v>18000</v>
      </c>
      <c r="M318" s="6" t="n">
        <v>63</v>
      </c>
      <c r="N318" s="6" t="n">
        <v>1</v>
      </c>
      <c r="O318" s="6" t="n"/>
      <c r="P318" s="6" t="n">
        <v>6368</v>
      </c>
      <c r="Q318" s="6" t="n">
        <v>0.75</v>
      </c>
      <c r="R318">
        <f>M318+IF(MAX(N318-1,0)&gt;0,IF(ISBLANK(O318),5*MAX(N318-1,0),IF(ISNUMBER(O318),O318*MAX(N318-1,0),SUM(IFERROR(VALUE(TEXTSPLIT(O318,",")),0)))),0)</f>
        <v/>
      </c>
      <c r="S318">
        <f>IFERROR(L318*MAX(N318,1)/R318*IF(ISBLANK(K317),1,K317),0)</f>
        <v/>
      </c>
      <c r="AB318" s="7" t="inlineStr">
        <is>
          <t>^Warhead_MissileAP_Light</t>
        </is>
      </c>
    </row>
    <row r="319">
      <c r="B319" s="7" t="inlineStr">
        <is>
          <t xml:space="preserve">  ↳ Rockets</t>
        </is>
      </c>
      <c r="C319" s="7" t="inlineStr">
        <is>
          <t>Armament@GARRISONED</t>
        </is>
      </c>
      <c r="L319" s="6" t="n">
        <v>18000</v>
      </c>
      <c r="M319" s="6" t="n">
        <v>63</v>
      </c>
      <c r="N319" s="6" t="n">
        <v>1</v>
      </c>
      <c r="O319" s="6" t="n"/>
      <c r="P319" s="6" t="n">
        <v>6368</v>
      </c>
      <c r="Q319" s="6" t="n">
        <v>0.75</v>
      </c>
      <c r="R319">
        <f>M319+IF(MAX(N319-1,0)&gt;0,IF(ISBLANK(O319),5*MAX(N319-1,0),IF(ISNUMBER(O319),O319*MAX(N319-1,0),SUM(IFERROR(VALUE(TEXTSPLIT(O319,",")),0)))),0)</f>
        <v/>
      </c>
      <c r="S319">
        <f>IFERROR(L319*MAX(N319,1)/R319*IF(ISBLANK(K317),1,K317),0)</f>
        <v/>
      </c>
      <c r="AB319" s="7" t="inlineStr">
        <is>
          <t>^Warhead_MissileAP_Light</t>
        </is>
      </c>
    </row>
    <row r="320">
      <c r="A320" t="inlineStr">
        <is>
          <t>shared</t>
        </is>
      </c>
      <c r="B320" t="inlineStr">
        <is>
          <t>ra1_allies_alliedrocketsoldier</t>
        </is>
      </c>
      <c r="C320" t="inlineStr">
        <is>
          <t>Allied Rocket Soldier</t>
        </is>
      </c>
      <c r="D320" s="6" t="inlineStr">
        <is>
          <t>AntiTankAntiAirInfantry</t>
        </is>
      </c>
      <c r="E320" s="6" t="n">
        <v>10000</v>
      </c>
      <c r="F320" s="6" t="n">
        <v>55</v>
      </c>
      <c r="G320" t="inlineStr">
        <is>
          <t>Flak</t>
        </is>
      </c>
      <c r="H320" s="6" t="n">
        <v>1</v>
      </c>
      <c r="I320" s="6" t="n">
        <v>1</v>
      </c>
      <c r="J320" s="6" t="n">
        <v>1</v>
      </c>
      <c r="P320">
        <f>MAX(P321,P323)</f>
        <v/>
      </c>
      <c r="S320">
        <f>S321+S323</f>
        <v/>
      </c>
      <c r="T320">
        <f>(E320/100000+F320/100+(P320/1000)*J320/5+S320/200)*200*I320*H320</f>
        <v/>
      </c>
      <c r="U320">
        <f>((E320*F320/25000)+((P320/1000)*J320*S320/2.5))*I320*H320</f>
        <v/>
      </c>
      <c r="V320">
        <f>(E320*F320*(P320/1000)*J320*S320*I320*H320)/12500000</f>
        <v/>
      </c>
      <c r="W320">
        <f>(T320+U320+V320)/3</f>
        <v/>
      </c>
      <c r="X320" s="6" t="n">
        <v>300</v>
      </c>
      <c r="Y320">
        <f>IFERROR(W320-X320,"")</f>
        <v/>
      </c>
      <c r="Z320">
        <f>IFERROR(ABS(Y320)/MAX(X320,1),"")</f>
        <v/>
      </c>
      <c r="AA320">
        <f>IFERROR((X320-(((E320/100000+F320/100+S320/200)*200*I320*H320)+((E320*F320/25000)*I320*H320))/3)/(((J320/5)*200*I320*H320)+((J320*S320/2.5)*I320*H320)+((E320*F320*J320*S320*I320*H320)/12500000))/3*1000,"")</f>
        <v/>
      </c>
    </row>
    <row r="321">
      <c r="B321" s="7" t="inlineStr">
        <is>
          <t xml:space="preserve">  ↳ RocketsRA</t>
        </is>
      </c>
      <c r="C321" s="7" t="inlineStr">
        <is>
          <t>Armament@PRIMARY</t>
        </is>
      </c>
      <c r="L321" s="6" t="n">
        <v>20000</v>
      </c>
      <c r="M321" s="6" t="n">
        <v>50</v>
      </c>
      <c r="N321" s="6" t="n">
        <v>1</v>
      </c>
      <c r="O321" s="6" t="n"/>
      <c r="P321" s="6" t="n">
        <v>6643</v>
      </c>
      <c r="Q321" s="6" t="n">
        <v>0.875</v>
      </c>
      <c r="R321">
        <f>M321+IF(MAX(N321-1,0)&gt;0,IF(ISBLANK(O321),5*MAX(N321-1,0),IF(ISNUMBER(O321),O321*MAX(N321-1,0),SUM(IFERROR(VALUE(TEXTSPLIT(O321,",")),0)))),0)</f>
        <v/>
      </c>
      <c r="S321">
        <f>IFERROR(L321*MAX(N321,1)/R321*IF(ISBLANK(K320),1,K320),0)</f>
        <v/>
      </c>
      <c r="AB321" s="7" t="inlineStr">
        <is>
          <t>^Warhead_MissileHE_Medium, ^Warhead_MissileHE_Light</t>
        </is>
      </c>
    </row>
    <row r="322">
      <c r="B322" s="7" t="inlineStr">
        <is>
          <t xml:space="preserve">  ↳ RocketsRA</t>
        </is>
      </c>
      <c r="C322" s="7" t="inlineStr">
        <is>
          <t>Armament@GARRISONED</t>
        </is>
      </c>
      <c r="L322" s="6" t="n">
        <v>20000</v>
      </c>
      <c r="M322" s="6" t="n">
        <v>50</v>
      </c>
      <c r="N322" s="6" t="n">
        <v>1</v>
      </c>
      <c r="O322" s="6" t="n"/>
      <c r="P322" s="6" t="n">
        <v>6643</v>
      </c>
      <c r="Q322" s="6" t="n">
        <v>0.875</v>
      </c>
      <c r="R322">
        <f>M322+IF(MAX(N322-1,0)&gt;0,IF(ISBLANK(O322),5*MAX(N322-1,0),IF(ISNUMBER(O322),O322*MAX(N322-1,0),SUM(IFERROR(VALUE(TEXTSPLIT(O322,",")),0)))),0)</f>
        <v/>
      </c>
      <c r="S322">
        <f>IFERROR(L322*MAX(N322,1)/R322*IF(ISBLANK(K320),1,K320),0)</f>
        <v/>
      </c>
      <c r="AB322" s="7" t="inlineStr">
        <is>
          <t>^Warhead_MissileHE_Medium, ^Warhead_MissileHE_Light</t>
        </is>
      </c>
    </row>
    <row r="323">
      <c r="B323" s="7" t="inlineStr">
        <is>
          <t xml:space="preserve">  ↳ RocketsRACryo</t>
        </is>
      </c>
      <c r="C323" s="7" t="inlineStr">
        <is>
          <t>Armament@Upgrade</t>
        </is>
      </c>
      <c r="L323" s="6" t="n">
        <v>20000</v>
      </c>
      <c r="M323" s="6" t="n">
        <v>50</v>
      </c>
      <c r="N323" s="6" t="n">
        <v>1</v>
      </c>
      <c r="O323" s="6" t="n"/>
      <c r="P323" s="6" t="n">
        <v>6643</v>
      </c>
      <c r="Q323" s="6" t="n">
        <v>1</v>
      </c>
      <c r="R323">
        <f>M323+IF(MAX(N323-1,0)&gt;0,IF(ISBLANK(O323),5*MAX(N323-1,0),IF(ISNUMBER(O323),O323*MAX(N323-1,0),SUM(IFERROR(VALUE(TEXTSPLIT(O323,",")),0)))),0)</f>
        <v/>
      </c>
      <c r="S323">
        <f>IFERROR(L323*MAX(N323,1)/R323*IF(ISBLANK(K320),1,K320),0)</f>
        <v/>
      </c>
      <c r="AB323" s="7" t="inlineStr">
        <is>
          <t>^Warhead_MissileCryo_Medium</t>
        </is>
      </c>
    </row>
    <row r="324">
      <c r="B324" s="7" t="inlineStr">
        <is>
          <t xml:space="preserve">  ↳ RocketsRACryo</t>
        </is>
      </c>
      <c r="C324" s="7" t="inlineStr">
        <is>
          <t>Armament@UpgradeGARRISONED</t>
        </is>
      </c>
      <c r="L324" s="6" t="n">
        <v>20000</v>
      </c>
      <c r="M324" s="6" t="n">
        <v>50</v>
      </c>
      <c r="N324" s="6" t="n">
        <v>1</v>
      </c>
      <c r="O324" s="6" t="n"/>
      <c r="P324" s="6" t="n">
        <v>6643</v>
      </c>
      <c r="Q324" s="6" t="n">
        <v>1</v>
      </c>
      <c r="R324">
        <f>M324+IF(MAX(N324-1,0)&gt;0,IF(ISBLANK(O324),5*MAX(N324-1,0),IF(ISNUMBER(O324),O324*MAX(N324-1,0),SUM(IFERROR(VALUE(TEXTSPLIT(O324,",")),0)))),0)</f>
        <v/>
      </c>
      <c r="S324">
        <f>IFERROR(L324*MAX(N324,1)/R324*IF(ISBLANK(K320),1,K320),0)</f>
        <v/>
      </c>
      <c r="AB324" s="7" t="inlineStr">
        <is>
          <t>^Warhead_MissileCryo_Medium</t>
        </is>
      </c>
    </row>
    <row r="325">
      <c r="A325" t="inlineStr">
        <is>
          <t>redalert</t>
        </is>
      </c>
      <c r="B325" t="inlineStr">
        <is>
          <t>ra1_soviets_dragunovantimaterialsniper</t>
        </is>
      </c>
      <c r="C325" t="inlineStr">
        <is>
          <t>Dragunov Anti Material Sniper</t>
        </is>
      </c>
      <c r="D325" s="6" t="inlineStr">
        <is>
          <t>AntiTankAntiAirInfantry</t>
        </is>
      </c>
      <c r="E325" s="6" t="n">
        <v>20000</v>
      </c>
      <c r="F325" s="6" t="n">
        <v>40</v>
      </c>
      <c r="G325" t="inlineStr">
        <is>
          <t>Flak</t>
        </is>
      </c>
      <c r="H325" s="6" t="n">
        <v>0.75</v>
      </c>
      <c r="I325" s="6" t="n">
        <v>1</v>
      </c>
      <c r="J325" s="6" t="n">
        <v>1</v>
      </c>
      <c r="K325" t="n">
        <v>0.0103</v>
      </c>
      <c r="P325">
        <f>MAX(P326)</f>
        <v/>
      </c>
      <c r="S325">
        <f>S326</f>
        <v/>
      </c>
      <c r="T325">
        <f>(E325/100000+F325/100+(P325/1000)*J325/5+S325/200)*200*I325*H325</f>
        <v/>
      </c>
      <c r="U325">
        <f>((E325*F325/25000)+((P325/1000)*J325*S325/2.5))*I325*H325</f>
        <v/>
      </c>
      <c r="V325">
        <f>(E325*F325*(P325/1000)*J325*S325*I325*H325)/12500000</f>
        <v/>
      </c>
      <c r="W325">
        <f>IFERROR((((E325/25000)+(F325/80)+(S325/400)+((P325/8000)*J325))*700/4+(((E325/25000)*(F325/80))+(((P325/8000)*J325)*(S325/400)))*700/2+((E325/25000)*(F325/80)*((P325/8000)*J325)*(S325/400))*700)*(H325/0.7674)/3,"")</f>
        <v/>
      </c>
      <c r="X325" s="6" t="n">
        <v>422</v>
      </c>
      <c r="Y325">
        <f>IFERROR(W325-X325,"")</f>
        <v/>
      </c>
      <c r="Z325">
        <f>IFERROR(ABS(Y325)/MAX(X325,1),"")</f>
        <v/>
      </c>
      <c r="AA325">
        <f>IFERROR(ROUND(((3*X325-(((E325/25000)+(F325/80)+(S325/400))*700/4+((E325/25000)*(F325/80))*700/2)*(H325/0.7674))/(700/4+((S325/400))*700/2+((E325/25000)*(F325/80)*(S325/400))*700)*(H325/0.7674)*8000)/J325,-1),"")</f>
        <v/>
      </c>
    </row>
    <row r="326">
      <c r="B326" s="7" t="inlineStr">
        <is>
          <t xml:space="preserve">  ↳ DragunovSniper</t>
        </is>
      </c>
      <c r="C326" s="7" t="inlineStr">
        <is>
          <t>Armament</t>
        </is>
      </c>
      <c r="L326" s="6" t="n">
        <v>400000</v>
      </c>
      <c r="M326" s="6" t="n">
        <v>85</v>
      </c>
      <c r="N326" s="6" t="n">
        <v>1</v>
      </c>
      <c r="O326" s="6" t="n"/>
      <c r="P326" s="6" t="n">
        <v>5804</v>
      </c>
      <c r="Q326" s="6" t="n">
        <v>1</v>
      </c>
      <c r="R326">
        <f>M326+IF(MAX(N326-1,0)&gt;0,IF(ISBLANK(O326),5*MAX(N326-1,0),IF(ISNUMBER(O326),O326*MAX(N326-1,0),SUM(IFERROR(VALUE(TEXTSPLIT(O326,",")),0)))),0)</f>
        <v/>
      </c>
      <c r="S326">
        <f>IFERROR(L326*MAX(N326,1)/R326*IF(ISBLANK(K325),1,K325),0)</f>
        <v/>
      </c>
      <c r="AB326" s="7" t="inlineStr">
        <is>
          <t>^TankDestroyerCannon, ^RailgunWeapon, ^LightMissile, ^HeavyCannon, ^FlakWeapon</t>
        </is>
      </c>
    </row>
    <row r="327">
      <c r="B327" s="7" t="inlineStr">
        <is>
          <t xml:space="preserve">  ↳ DragunovSniper</t>
        </is>
      </c>
      <c r="C327" s="7" t="inlineStr">
        <is>
          <t>Armament@GARRISONED</t>
        </is>
      </c>
      <c r="L327" s="6" t="n">
        <v>400000</v>
      </c>
      <c r="M327" s="6" t="n">
        <v>85</v>
      </c>
      <c r="N327" s="6" t="n">
        <v>1</v>
      </c>
      <c r="O327" s="6" t="n"/>
      <c r="P327" s="6" t="n">
        <v>5804</v>
      </c>
      <c r="Q327" s="6" t="n">
        <v>1</v>
      </c>
      <c r="R327">
        <f>M327+IF(MAX(N327-1,0)&gt;0,IF(ISBLANK(O327),5*MAX(N327-1,0),IF(ISNUMBER(O327),O327*MAX(N327-1,0),SUM(IFERROR(VALUE(TEXTSPLIT(O327,",")),0)))),0)</f>
        <v/>
      </c>
      <c r="S327">
        <f>IFERROR(L327*MAX(N327,1)/R327*IF(ISBLANK(K325),1,K325),0)</f>
        <v/>
      </c>
      <c r="AB327" s="7" t="inlineStr">
        <is>
          <t>^TankDestroyerCannon, ^RailgunWeapon, ^LightMissile, ^HeavyCannon, ^FlakWeapon</t>
        </is>
      </c>
    </row>
    <row r="328">
      <c r="A328" t="inlineStr">
        <is>
          <t>redalert</t>
        </is>
      </c>
      <c r="B328" t="inlineStr">
        <is>
          <t>ra1_soviets_firerocketsoldier</t>
        </is>
      </c>
      <c r="C328" t="inlineStr">
        <is>
          <t>Fire Rocket Soldier</t>
        </is>
      </c>
      <c r="D328" s="6" t="inlineStr">
        <is>
          <t>AntiTankAntiAirInfantry</t>
        </is>
      </c>
      <c r="E328" s="6" t="n">
        <v>16000</v>
      </c>
      <c r="F328" s="6" t="n">
        <v>48</v>
      </c>
      <c r="G328" t="inlineStr">
        <is>
          <t>Flak</t>
        </is>
      </c>
      <c r="H328" s="6" t="n">
        <v>1</v>
      </c>
      <c r="I328" s="6" t="n">
        <v>0.5</v>
      </c>
      <c r="J328" s="6" t="n">
        <v>1</v>
      </c>
      <c r="P328">
        <f>MAX(P329,P331)</f>
        <v/>
      </c>
      <c r="S328">
        <f>S329+S331</f>
        <v/>
      </c>
      <c r="T328">
        <f>(E328/100000+F328/100+(P328/1000)*J328/5+S328/200)*200*I328*H328</f>
        <v/>
      </c>
      <c r="U328">
        <f>((E328*F328/25000)+((P328/1000)*J328*S328/2.5))*I328*H328</f>
        <v/>
      </c>
      <c r="V328">
        <f>(E328*F328*(P328/1000)*J328*S328*I328*H328)/12500000</f>
        <v/>
      </c>
      <c r="W328">
        <f>(T328+U328+V328)/3</f>
        <v/>
      </c>
      <c r="X328" s="6" t="n">
        <v>400</v>
      </c>
      <c r="Y328">
        <f>IFERROR(W328-X328,"")</f>
        <v/>
      </c>
      <c r="Z328">
        <f>IFERROR(ABS(Y328)/MAX(X328,1),"")</f>
        <v/>
      </c>
      <c r="AA328">
        <f>IFERROR((X328-(((E328/100000+F328/100+S328/200)*200*I328*H328)+((E328*F328/25000)*I328*H328))/3)/(((J328/5)*200*I328*H328)+((J328*S328/2.5)*I328*H328)+((E328*F328*J328*S328*I328*H328)/12500000))/3*1000,"")</f>
        <v/>
      </c>
    </row>
    <row r="329">
      <c r="B329" s="7" t="inlineStr">
        <is>
          <t xml:space="preserve">  ↳ FireRockets</t>
        </is>
      </c>
      <c r="C329" s="7" t="inlineStr">
        <is>
          <t>Armament@PRIMARY</t>
        </is>
      </c>
      <c r="L329" s="6" t="n">
        <v>32000</v>
      </c>
      <c r="M329" s="6" t="n">
        <v>53</v>
      </c>
      <c r="N329" s="6" t="n">
        <v>1</v>
      </c>
      <c r="O329" s="6" t="n"/>
      <c r="P329" s="6" t="n">
        <v>6036</v>
      </c>
      <c r="Q329" s="6" t="n">
        <v>0.75</v>
      </c>
      <c r="R329">
        <f>M329+IF(MAX(N329-1,0)&gt;0,IF(ISBLANK(O329),5*MAX(N329-1,0),IF(ISNUMBER(O329),O329*MAX(N329-1,0),SUM(IFERROR(VALUE(TEXTSPLIT(O329,",")),0)))),0)</f>
        <v/>
      </c>
      <c r="S329">
        <f>IFERROR(L329*MAX(N329,1)/R329*IF(ISBLANK(K328),1,K328),0)</f>
        <v/>
      </c>
      <c r="AB329" s="7" t="inlineStr">
        <is>
          <t>^Warhead_MissileFire_Light</t>
        </is>
      </c>
    </row>
    <row r="330">
      <c r="B330" s="7" t="inlineStr">
        <is>
          <t xml:space="preserve">  ↳ FireRockets</t>
        </is>
      </c>
      <c r="C330" s="7" t="inlineStr">
        <is>
          <t>Armament@GARRISONED</t>
        </is>
      </c>
      <c r="L330" s="6" t="n">
        <v>32000</v>
      </c>
      <c r="M330" s="6" t="n">
        <v>53</v>
      </c>
      <c r="N330" s="6" t="n">
        <v>1</v>
      </c>
      <c r="O330" s="6" t="n"/>
      <c r="P330" s="6" t="n">
        <v>6036</v>
      </c>
      <c r="Q330" s="6" t="n">
        <v>0.75</v>
      </c>
      <c r="R330">
        <f>M330+IF(MAX(N330-1,0)&gt;0,IF(ISBLANK(O330),5*MAX(N330-1,0),IF(ISNUMBER(O330),O330*MAX(N330-1,0),SUM(IFERROR(VALUE(TEXTSPLIT(O330,",")),0)))),0)</f>
        <v/>
      </c>
      <c r="S330">
        <f>IFERROR(L330*MAX(N330,1)/R330*IF(ISBLANK(K328),1,K328),0)</f>
        <v/>
      </c>
      <c r="AB330" s="7" t="inlineStr">
        <is>
          <t>^Warhead_MissileFire_Light</t>
        </is>
      </c>
    </row>
    <row r="331">
      <c r="B331" s="7" t="inlineStr">
        <is>
          <t xml:space="preserve">  ↳ FireRocketsThermobaric</t>
        </is>
      </c>
      <c r="C331" s="7" t="inlineStr">
        <is>
          <t>Armament@Upgrade</t>
        </is>
      </c>
      <c r="L331" s="6" t="n">
        <v>32000</v>
      </c>
      <c r="M331" s="6" t="n">
        <v>58</v>
      </c>
      <c r="N331" s="6" t="n">
        <v>1</v>
      </c>
      <c r="O331" s="6" t="n"/>
      <c r="P331" s="6" t="n">
        <v>6692</v>
      </c>
      <c r="Q331" s="6" t="n">
        <v>1</v>
      </c>
      <c r="R331">
        <f>M331+IF(MAX(N331-1,0)&gt;0,IF(ISBLANK(O331),5*MAX(N331-1,0),IF(ISNUMBER(O331),O331*MAX(N331-1,0),SUM(IFERROR(VALUE(TEXTSPLIT(O331,",")),0)))),0)</f>
        <v/>
      </c>
      <c r="S331">
        <f>IFERROR(L331*MAX(N331,1)/R331*IF(ISBLANK(K328),1,K328),0)</f>
        <v/>
      </c>
      <c r="AB331" s="7" t="inlineStr">
        <is>
          <t>^Warhead_MissileFire_Medium</t>
        </is>
      </c>
    </row>
    <row r="332">
      <c r="B332" s="7" t="inlineStr">
        <is>
          <t xml:space="preserve">  ↳ FireRocketsThermobaric</t>
        </is>
      </c>
      <c r="C332" s="7" t="inlineStr">
        <is>
          <t>Armament@UpgradeGARRISONED</t>
        </is>
      </c>
      <c r="L332" s="6" t="n">
        <v>32000</v>
      </c>
      <c r="M332" s="6" t="n">
        <v>58</v>
      </c>
      <c r="N332" s="6" t="n">
        <v>1</v>
      </c>
      <c r="O332" s="6" t="n"/>
      <c r="P332" s="6" t="n">
        <v>6692</v>
      </c>
      <c r="Q332" s="6" t="n">
        <v>1</v>
      </c>
      <c r="R332">
        <f>M332+IF(MAX(N332-1,0)&gt;0,IF(ISBLANK(O332),5*MAX(N332-1,0),IF(ISNUMBER(O332),O332*MAX(N332-1,0),SUM(IFERROR(VALUE(TEXTSPLIT(O332,",")),0)))),0)</f>
        <v/>
      </c>
      <c r="S332">
        <f>IFERROR(L332*MAX(N332,1)/R332*IF(ISBLANK(K328),1,K328),0)</f>
        <v/>
      </c>
      <c r="AB332" s="7" t="inlineStr">
        <is>
          <t>^Warhead_MissileFire_Medium</t>
        </is>
      </c>
    </row>
    <row r="333">
      <c r="A333" t="inlineStr">
        <is>
          <t>redalert</t>
        </is>
      </c>
      <c r="B333" t="inlineStr">
        <is>
          <t>ra1_soviets_rocketsoldier</t>
        </is>
      </c>
      <c r="C333" t="inlineStr">
        <is>
          <t>Soviet Rocket Soldier</t>
        </is>
      </c>
      <c r="D333" s="6" t="inlineStr">
        <is>
          <t>AntiTankAntiAirInfantry</t>
        </is>
      </c>
      <c r="E333" s="6" t="n">
        <v>10000</v>
      </c>
      <c r="F333" s="6" t="n">
        <v>55</v>
      </c>
      <c r="G333" t="inlineStr">
        <is>
          <t>Flak</t>
        </is>
      </c>
      <c r="H333" s="6" t="n">
        <v>1</v>
      </c>
      <c r="I333" s="6" t="n">
        <v>1</v>
      </c>
      <c r="J333" s="6" t="n">
        <v>1</v>
      </c>
      <c r="P333">
        <f>MAX(P334)</f>
        <v/>
      </c>
      <c r="S333">
        <f>S334</f>
        <v/>
      </c>
      <c r="T333">
        <f>(E333/100000+F333/100+(P333/1000)*J333/5+S333/200)*200*I333*H333</f>
        <v/>
      </c>
      <c r="U333">
        <f>((E333*F333/25000)+((P333/1000)*J333*S333/2.5))*I333*H333</f>
        <v/>
      </c>
      <c r="V333">
        <f>(E333*F333*(P333/1000)*J333*S333*I333*H333)/12500000</f>
        <v/>
      </c>
      <c r="W333">
        <f>(T333+U333+V333)/3</f>
        <v/>
      </c>
      <c r="X333" s="6" t="n">
        <v>300</v>
      </c>
      <c r="Y333">
        <f>IFERROR(W333-X333,"")</f>
        <v/>
      </c>
      <c r="Z333">
        <f>IFERROR(ABS(Y333)/MAX(X333,1),"")</f>
        <v/>
      </c>
      <c r="AA333">
        <f>IFERROR((X333-(((E333/100000+F333/100+S333/200)*200*I333*H333)+((E333*F333/25000)*I333*H333))/3)/(((J333/5)*200*I333*H333)+((J333*S333/2.5)*I333*H333)+((E333*F333*J333*S333*I333*H333)/12500000))/3*1000,"")</f>
        <v/>
      </c>
    </row>
    <row r="334">
      <c r="B334" s="7" t="inlineStr">
        <is>
          <t xml:space="preserve">  ↳ RocketsRA</t>
        </is>
      </c>
      <c r="C334" s="7" t="inlineStr">
        <is>
          <t>Armament@PRIMARY</t>
        </is>
      </c>
      <c r="L334" s="6" t="n">
        <v>20000</v>
      </c>
      <c r="M334" s="6" t="n">
        <v>50</v>
      </c>
      <c r="N334" s="6" t="n">
        <v>1</v>
      </c>
      <c r="O334" s="6" t="n"/>
      <c r="P334" s="6" t="n">
        <v>6643</v>
      </c>
      <c r="Q334" s="6" t="n">
        <v>0.875</v>
      </c>
      <c r="R334">
        <f>M334+IF(MAX(N334-1,0)&gt;0,IF(ISBLANK(O334),5*MAX(N334-1,0),IF(ISNUMBER(O334),O334*MAX(N334-1,0),SUM(IFERROR(VALUE(TEXTSPLIT(O334,",")),0)))),0)</f>
        <v/>
      </c>
      <c r="S334">
        <f>IFERROR(L334*MAX(N334,1)/R334*IF(ISBLANK(K333),1,K333),0)</f>
        <v/>
      </c>
      <c r="AB334" s="7" t="inlineStr">
        <is>
          <t>^Warhead_MissileHE_Medium, ^Warhead_MissileHE_Light</t>
        </is>
      </c>
    </row>
    <row r="335">
      <c r="B335" s="7" t="inlineStr">
        <is>
          <t xml:space="preserve">  ↳ RocketsRA</t>
        </is>
      </c>
      <c r="C335" s="7" t="inlineStr">
        <is>
          <t>Armament@GARRISONED</t>
        </is>
      </c>
      <c r="L335" s="6" t="n">
        <v>20000</v>
      </c>
      <c r="M335" s="6" t="n">
        <v>50</v>
      </c>
      <c r="N335" s="6" t="n">
        <v>1</v>
      </c>
      <c r="O335" s="6" t="n"/>
      <c r="P335" s="6" t="n">
        <v>6643</v>
      </c>
      <c r="Q335" s="6" t="n">
        <v>0.875</v>
      </c>
      <c r="R335">
        <f>M335+IF(MAX(N335-1,0)&gt;0,IF(ISBLANK(O335),5*MAX(N335-1,0),IF(ISNUMBER(O335),O335*MAX(N335-1,0),SUM(IFERROR(VALUE(TEXTSPLIT(O335,",")),0)))),0)</f>
        <v/>
      </c>
      <c r="S335">
        <f>IFERROR(L335*MAX(N335,1)/R335*IF(ISBLANK(K333),1,K333),0)</f>
        <v/>
      </c>
      <c r="AB335" s="7" t="inlineStr">
        <is>
          <t>^Warhead_MissileHE_Medium, ^Warhead_MissileHE_Light</t>
        </is>
      </c>
    </row>
    <row r="336">
      <c r="A336" t="inlineStr">
        <is>
          <t>tiberiansun</t>
        </is>
      </c>
      <c r="B336" t="inlineStr">
        <is>
          <t>cabal_ascended</t>
        </is>
      </c>
      <c r="C336" t="inlineStr">
        <is>
          <t>Ascended</t>
        </is>
      </c>
      <c r="D336" s="6" t="inlineStr">
        <is>
          <t>AntiTankAntiAirInfantry</t>
        </is>
      </c>
      <c r="E336" s="6" t="n">
        <v>70000</v>
      </c>
      <c r="F336" s="6" t="n">
        <v>40</v>
      </c>
      <c r="G336" t="inlineStr">
        <is>
          <t>Flak</t>
        </is>
      </c>
      <c r="H336" s="6" t="n">
        <v>1</v>
      </c>
      <c r="I336" s="6" t="n">
        <v>0.5</v>
      </c>
      <c r="J336" s="6" t="n">
        <v>1.25</v>
      </c>
      <c r="P336">
        <f>MAX(P337)</f>
        <v/>
      </c>
      <c r="S336">
        <f>S337</f>
        <v/>
      </c>
      <c r="T336">
        <f>(E336/100000+F336/100+(P336/1000)*J336/5+S336/200)*200*I336*H336</f>
        <v/>
      </c>
      <c r="U336">
        <f>((E336*F336/25000)+((P336/1000)*J336*S336/2.5))*I336*H336</f>
        <v/>
      </c>
      <c r="V336">
        <f>(E336*F336*(P336/1000)*J336*S336*I336*H336)/12500000</f>
        <v/>
      </c>
      <c r="W336">
        <f>(T336+U336+V336)/3</f>
        <v/>
      </c>
      <c r="X336" s="6" t="n">
        <v>900</v>
      </c>
      <c r="Y336">
        <f>IFERROR(W336-X336,"")</f>
        <v/>
      </c>
      <c r="Z336">
        <f>IFERROR(ABS(Y336)/MAX(X336,1),"")</f>
        <v/>
      </c>
      <c r="AA336">
        <f>IFERROR((X336-(((E336/100000+F336/100+S336/200)*200*I336*H336)+((E336*F336/25000)*I336*H336))/3)/(((J336/5)*200*I336*H336)+((J336*S336/2.5)*I336*H336)+((E336*F336*J336*S336*I336*H336)/12500000))/3*1000,"")</f>
        <v/>
      </c>
    </row>
    <row r="337">
      <c r="B337" s="7" t="inlineStr">
        <is>
          <t xml:space="preserve">  ↳ CabalAscendedRockets</t>
        </is>
      </c>
      <c r="C337" s="7" t="inlineStr">
        <is>
          <t>Armament@PRIMARY</t>
        </is>
      </c>
      <c r="L337" s="6" t="n">
        <v>36000</v>
      </c>
      <c r="M337" s="6" t="n">
        <v>60</v>
      </c>
      <c r="N337" s="6" t="n">
        <v>2</v>
      </c>
      <c r="O337" s="6" t="n">
        <v>8</v>
      </c>
      <c r="P337" s="6" t="n">
        <v>9000</v>
      </c>
      <c r="Q337" s="6" t="n">
        <v>1</v>
      </c>
      <c r="R337">
        <f>M337+IF(MAX(N337-1,0)&gt;0,IF(ISBLANK(O337),5*MAX(N337-1,0),IF(ISNUMBER(O337),O337*MAX(N337-1,0),SUM(IFERROR(VALUE(TEXTSPLIT(O337,",")),0)))),0)</f>
        <v/>
      </c>
      <c r="S337">
        <f>IFERROR(L337*MAX(N337,1)/R337*IF(ISBLANK(K336),1,K336),0)</f>
        <v/>
      </c>
      <c r="AB337" s="7" t="inlineStr">
        <is>
          <t>^LightMissile, ^MediumMissile, ^HeavyMissile, ^TankDestroyerCannon, ^FlakWeapon, ^HeavyAAWeapon, ^CabalMissileMedium, ^CabalMissileEffect</t>
        </is>
      </c>
    </row>
    <row r="338">
      <c r="B338" s="7" t="inlineStr">
        <is>
          <t xml:space="preserve">  ↳ CabalAscendedRockets</t>
        </is>
      </c>
      <c r="C338" s="7" t="inlineStr">
        <is>
          <t>Armament@GARRISONED</t>
        </is>
      </c>
      <c r="L338" s="6" t="n">
        <v>36000</v>
      </c>
      <c r="M338" s="6" t="n">
        <v>60</v>
      </c>
      <c r="N338" s="6" t="n">
        <v>2</v>
      </c>
      <c r="O338" s="6" t="n">
        <v>8</v>
      </c>
      <c r="P338" s="6" t="n">
        <v>9000</v>
      </c>
      <c r="Q338" s="6" t="n">
        <v>1</v>
      </c>
      <c r="R338">
        <f>M338+IF(MAX(N338-1,0)&gt;0,IF(ISBLANK(O338),5*MAX(N338-1,0),IF(ISNUMBER(O338),O338*MAX(N338-1,0),SUM(IFERROR(VALUE(TEXTSPLIT(O338,",")),0)))),0)</f>
        <v/>
      </c>
      <c r="S338">
        <f>IFERROR(L338*MAX(N338,1)/R338*IF(ISBLANK(K336),1,K336),0)</f>
        <v/>
      </c>
      <c r="AB338" s="7" t="inlineStr">
        <is>
          <t>^LightMissile, ^MediumMissile, ^HeavyMissile, ^TankDestroyerCannon, ^FlakWeapon, ^HeavyAAWeapon, ^CabalMissileMedium, ^CabalMissileEffect</t>
        </is>
      </c>
    </row>
    <row r="339">
      <c r="A339" t="inlineStr">
        <is>
          <t>tiberiansun</t>
        </is>
      </c>
      <c r="B339" t="inlineStr">
        <is>
          <t>cabal_rocketcyborg</t>
        </is>
      </c>
      <c r="C339" t="inlineStr">
        <is>
          <t>Rocket Cyborg</t>
        </is>
      </c>
      <c r="D339" s="6" t="inlineStr">
        <is>
          <t>AntiTankAntiAirInfantry</t>
        </is>
      </c>
      <c r="E339" s="6" t="n">
        <v>45000</v>
      </c>
      <c r="F339" s="6" t="n">
        <v>40</v>
      </c>
      <c r="G339" t="inlineStr">
        <is>
          <t>Flak</t>
        </is>
      </c>
      <c r="H339" s="6" t="n">
        <v>1</v>
      </c>
      <c r="I339" s="6" t="n">
        <v>0.5</v>
      </c>
      <c r="J339" s="6" t="n">
        <v>1.25</v>
      </c>
      <c r="P339">
        <f>MAX(P340,P341)</f>
        <v/>
      </c>
      <c r="S339">
        <f>S340+S341</f>
        <v/>
      </c>
      <c r="T339">
        <f>(E339/100000+F339/100+(P339/1000)*J339/5+S339/200)*200*I339*H339</f>
        <v/>
      </c>
      <c r="U339">
        <f>((E339*F339/25000)+((P339/1000)*J339*S339/2.5))*I339*H339</f>
        <v/>
      </c>
      <c r="V339">
        <f>(E339*F339*(P339/1000)*J339*S339*I339*H339)/12500000</f>
        <v/>
      </c>
      <c r="W339">
        <f>(T339+U339+V339)/3</f>
        <v/>
      </c>
      <c r="X339" s="6" t="n">
        <v>650</v>
      </c>
      <c r="Y339">
        <f>IFERROR(W339-X339,"")</f>
        <v/>
      </c>
      <c r="Z339">
        <f>IFERROR(ABS(Y339)/MAX(X339,1),"")</f>
        <v/>
      </c>
      <c r="AA339">
        <f>IFERROR((X339-(((E339/100000+F339/100+S339/200)*200*I339*H339)+((E339*F339/25000)*I339*H339))/3)/(((J339/5)*200*I339*H339)+((J339*S339/2.5)*I339*H339)+((E339*F339*J339*S339*I339*H339)/12500000))/3*1000,"")</f>
        <v/>
      </c>
    </row>
    <row r="340">
      <c r="B340" s="7" t="inlineStr">
        <is>
          <t xml:space="preserve">  ↳ CabalRocketCyborgRockets</t>
        </is>
      </c>
      <c r="C340" s="7" t="inlineStr">
        <is>
          <t>Armament@PRIMARY</t>
        </is>
      </c>
      <c r="L340" s="6" t="n">
        <v>12000</v>
      </c>
      <c r="M340" s="6" t="n">
        <v>52</v>
      </c>
      <c r="N340" s="6" t="n">
        <v>3</v>
      </c>
      <c r="O340" s="6" t="n">
        <v>8</v>
      </c>
      <c r="P340" s="6" t="n">
        <v>8753</v>
      </c>
      <c r="Q340" s="6" t="n">
        <v>0.875</v>
      </c>
      <c r="R340">
        <f>M340+IF(MAX(N340-1,0)&gt;0,IF(ISBLANK(O340),5*MAX(N340-1,0),IF(ISNUMBER(O340),O340*MAX(N340-1,0),SUM(IFERROR(VALUE(TEXTSPLIT(O340,",")),0)))),0)</f>
        <v/>
      </c>
      <c r="S340">
        <f>IFERROR(L340*MAX(N340,1)/R340*IF(ISBLANK(K339),1,K339),0)</f>
        <v/>
      </c>
      <c r="AB340" s="7" t="inlineStr">
        <is>
          <t>^Warhead_MissileHE_Light, ^Warhead_MissileHE_Medium</t>
        </is>
      </c>
    </row>
    <row r="341">
      <c r="B341" s="7" t="inlineStr">
        <is>
          <t xml:space="preserve">  ↳ CabalRocketCyborgRocketsUpgraded</t>
        </is>
      </c>
      <c r="C341" s="7" t="inlineStr">
        <is>
          <t>Armament@Upgraded</t>
        </is>
      </c>
      <c r="L341" s="6" t="n">
        <v>12000</v>
      </c>
      <c r="M341" s="6" t="n">
        <v>52</v>
      </c>
      <c r="N341" s="6" t="n">
        <v>4</v>
      </c>
      <c r="O341" s="6" t="n">
        <v>8</v>
      </c>
      <c r="P341" s="6" t="n">
        <v>8753</v>
      </c>
      <c r="Q341" s="6" t="n">
        <v>0.875</v>
      </c>
      <c r="R341">
        <f>M341+IF(MAX(N341-1,0)&gt;0,IF(ISBLANK(O341),5*MAX(N341-1,0),IF(ISNUMBER(O341),O341*MAX(N341-1,0),SUM(IFERROR(VALUE(TEXTSPLIT(O341,",")),0)))),0)</f>
        <v/>
      </c>
      <c r="S341">
        <f>IFERROR(L341*MAX(N341,1)/R341*IF(ISBLANK(K339),1,K339),0)</f>
        <v/>
      </c>
      <c r="AB341" s="7" t="inlineStr">
        <is>
          <t>^Warhead_MissileHE_Light, ^Warhead_MissileHE_Medium</t>
        </is>
      </c>
    </row>
    <row r="342">
      <c r="B342" s="7" t="inlineStr">
        <is>
          <t xml:space="preserve">  ↳ CabalRocketCyborgRockets</t>
        </is>
      </c>
      <c r="C342" s="7" t="inlineStr">
        <is>
          <t>Armament@GARRISONED</t>
        </is>
      </c>
      <c r="L342" s="6" t="n">
        <v>12000</v>
      </c>
      <c r="M342" s="6" t="n">
        <v>52</v>
      </c>
      <c r="N342" s="6" t="n">
        <v>3</v>
      </c>
      <c r="O342" s="6" t="n">
        <v>8</v>
      </c>
      <c r="P342" s="6" t="n">
        <v>8753</v>
      </c>
      <c r="Q342" s="6" t="n">
        <v>0.875</v>
      </c>
      <c r="R342">
        <f>M342+IF(MAX(N342-1,0)&gt;0,IF(ISBLANK(O342),5*MAX(N342-1,0),IF(ISNUMBER(O342),O342*MAX(N342-1,0),SUM(IFERROR(VALUE(TEXTSPLIT(O342,",")),0)))),0)</f>
        <v/>
      </c>
      <c r="S342">
        <f>IFERROR(L342*MAX(N342,1)/R342*IF(ISBLANK(K339),1,K339),0)</f>
        <v/>
      </c>
      <c r="AB342" s="7" t="inlineStr">
        <is>
          <t>^Warhead_MissileHE_Light, ^Warhead_MissileHE_Medium</t>
        </is>
      </c>
    </row>
    <row r="343">
      <c r="A343" t="inlineStr">
        <is>
          <t>tiberiansun</t>
        </is>
      </c>
      <c r="B343" t="inlineStr">
        <is>
          <t>ts_nod_elitecadre</t>
        </is>
      </c>
      <c r="C343" t="inlineStr">
        <is>
          <t>Elite Cadre</t>
        </is>
      </c>
      <c r="D343" s="6" t="inlineStr">
        <is>
          <t>AntiTankAntiAirInfantry</t>
        </is>
      </c>
      <c r="E343" s="6" t="n">
        <v>21000</v>
      </c>
      <c r="F343" s="6" t="n">
        <v>55</v>
      </c>
      <c r="G343" t="inlineStr">
        <is>
          <t>Flak</t>
        </is>
      </c>
      <c r="H343" s="6" t="n">
        <v>0.75</v>
      </c>
      <c r="I343" s="6" t="n">
        <v>1</v>
      </c>
      <c r="J343" s="6" t="n">
        <v>1</v>
      </c>
      <c r="K343" t="n">
        <v>0.009300000000000001</v>
      </c>
      <c r="P343">
        <f>MAX(P344,P345,P348)</f>
        <v/>
      </c>
      <c r="S343">
        <f>S344+S345+S348</f>
        <v/>
      </c>
      <c r="T343">
        <f>(E343/100000+F343/100+(P343/1000)*J343/5+S343/200)*200*I343*H343</f>
        <v/>
      </c>
      <c r="U343">
        <f>((E343*F343/25000)+((P343/1000)*J343*S343/2.5))*I343*H343</f>
        <v/>
      </c>
      <c r="V343">
        <f>(E343*F343*(P343/1000)*J343*S343*I343*H343)/12500000</f>
        <v/>
      </c>
      <c r="W343">
        <f>IFERROR((((E343/15000)+(F343/50)+(S343/240)+((P343/6000)*J343))*200/4+(((E343/15000)*(F343/50))+(((P343/6000)*J343)*(S343/240)))*200/2+((E343/15000)*(F343/50)*((P343/6000)*J343)*(S343/240))*200)*(H343/1.0)/3,"")</f>
        <v/>
      </c>
      <c r="X343" s="6" t="n">
        <v>435</v>
      </c>
      <c r="Y343">
        <f>IFERROR(W343-X343,"")</f>
        <v/>
      </c>
      <c r="Z343">
        <f>IFERROR(ABS(Y343)/MAX(X343,1),"")</f>
        <v/>
      </c>
      <c r="AA343">
        <f>IFERROR(ROUND(((3*X343-(((E343/15000)+(F343/50)+(S343/240))*200/4+((E343/15000)*(F343/50))*200/2)*(H343/1.0))/(200/4+((S343/240))*200/2+((E343/15000)*(F343/50)*(S343/240))*200)*(H343/1.0)*6000)/J343,-1),"")</f>
        <v/>
      </c>
    </row>
    <row r="344">
      <c r="B344" s="7" t="inlineStr">
        <is>
          <t xml:space="preserve">  ↳ elitecadregun</t>
        </is>
      </c>
      <c r="C344" s="7" t="inlineStr">
        <is>
          <t>Armament@PRIMARY</t>
        </is>
      </c>
      <c r="L344" s="6" t="n">
        <v>16000</v>
      </c>
      <c r="M344" s="6" t="n">
        <v>52</v>
      </c>
      <c r="N344" s="6" t="n">
        <v>5</v>
      </c>
      <c r="O344" s="6" t="n">
        <v>2</v>
      </c>
      <c r="P344" s="6" t="n">
        <v>6217</v>
      </c>
      <c r="Q344" s="6" t="n">
        <v>0.875</v>
      </c>
      <c r="R344">
        <f>M344+IF(MAX(N344-1,0)&gt;0,IF(ISBLANK(O344),5*MAX(N344-1,0),IF(ISNUMBER(O344),O344*MAX(N344-1,0),SUM(IFERROR(VALUE(TEXTSPLIT(O344,",")),0)))),0)</f>
        <v/>
      </c>
      <c r="S344">
        <f>IFERROR(L344*MAX(N344,1)/R344*IF(ISBLANK(K343),1,K343),0)</f>
        <v/>
      </c>
      <c r="AB344" s="7" t="inlineStr">
        <is>
          <t>^Warhead_Bullet_Light, ^Warhead_Bullet_Medium</t>
        </is>
      </c>
    </row>
    <row r="345">
      <c r="B345" s="7" t="inlineStr">
        <is>
          <t xml:space="preserve">  ↳ laserelitecadregun</t>
        </is>
      </c>
      <c r="C345" s="7" t="inlineStr">
        <is>
          <t>Armament@UPGRADE</t>
        </is>
      </c>
      <c r="L345" s="6" t="n">
        <v>6000</v>
      </c>
      <c r="M345" s="6" t="n">
        <v>50</v>
      </c>
      <c r="N345" s="6" t="n">
        <v>5</v>
      </c>
      <c r="O345" s="6" t="n">
        <v>2</v>
      </c>
      <c r="P345" s="6" t="n">
        <v>6677</v>
      </c>
      <c r="Q345" s="6" t="n">
        <v>1</v>
      </c>
      <c r="R345">
        <f>M345+IF(MAX(N345-1,0)&gt;0,IF(ISBLANK(O345),5*MAX(N345-1,0),IF(ISNUMBER(O345),O345*MAX(N345-1,0),SUM(IFERROR(VALUE(TEXTSPLIT(O345,",")),0)))),0)</f>
        <v/>
      </c>
      <c r="S345">
        <f>IFERROR(L345*MAX(N345,1)/R345*IF(ISBLANK(K343),1,K343),0)</f>
        <v/>
      </c>
      <c r="AB345" s="7" t="inlineStr">
        <is>
          <t>^SmallArms, ^Chaingun, ^LaserWeapon, ^TSLaserEffect</t>
        </is>
      </c>
    </row>
    <row r="346">
      <c r="B346" s="7" t="inlineStr">
        <is>
          <t xml:space="preserve">  ↳ elitecadregun</t>
        </is>
      </c>
      <c r="C346" s="7" t="inlineStr">
        <is>
          <t>Armament@GARRISONED</t>
        </is>
      </c>
      <c r="L346" s="6" t="n">
        <v>16000</v>
      </c>
      <c r="M346" s="6" t="n">
        <v>52</v>
      </c>
      <c r="N346" s="6" t="n">
        <v>5</v>
      </c>
      <c r="O346" s="6" t="n">
        <v>2</v>
      </c>
      <c r="P346" s="6" t="n">
        <v>6217</v>
      </c>
      <c r="Q346" s="6" t="n">
        <v>0.875</v>
      </c>
      <c r="R346">
        <f>M346+IF(MAX(N346-1,0)&gt;0,IF(ISBLANK(O346),5*MAX(N346-1,0),IF(ISNUMBER(O346),O346*MAX(N346-1,0),SUM(IFERROR(VALUE(TEXTSPLIT(O346,",")),0)))),0)</f>
        <v/>
      </c>
      <c r="S346">
        <f>IFERROR(L346*MAX(N346,1)/R346*IF(ISBLANK(K343),1,K343),0)</f>
        <v/>
      </c>
      <c r="AB346" s="7" t="inlineStr">
        <is>
          <t>^Warhead_Bullet_Light, ^Warhead_Bullet_Medium</t>
        </is>
      </c>
    </row>
    <row r="347">
      <c r="B347" s="7" t="inlineStr">
        <is>
          <t xml:space="preserve">  ↳ laserelitecadregun</t>
        </is>
      </c>
      <c r="C347" s="7" t="inlineStr">
        <is>
          <t>Armament@GARRISONEDUPGRADE</t>
        </is>
      </c>
      <c r="L347" s="6" t="n">
        <v>6000</v>
      </c>
      <c r="M347" s="6" t="n">
        <v>50</v>
      </c>
      <c r="N347" s="6" t="n">
        <v>5</v>
      </c>
      <c r="O347" s="6" t="n">
        <v>2</v>
      </c>
      <c r="P347" s="6" t="n">
        <v>6677</v>
      </c>
      <c r="Q347" s="6" t="n">
        <v>1</v>
      </c>
      <c r="R347">
        <f>M347+IF(MAX(N347-1,0)&gt;0,IF(ISBLANK(O347),5*MAX(N347-1,0),IF(ISNUMBER(O347),O347*MAX(N347-1,0),SUM(IFERROR(VALUE(TEXTSPLIT(O347,",")),0)))),0)</f>
        <v/>
      </c>
      <c r="S347">
        <f>IFERROR(L347*MAX(N347,1)/R347*IF(ISBLANK(K343),1,K343),0)</f>
        <v/>
      </c>
      <c r="AB347" s="7" t="inlineStr">
        <is>
          <t>^SmallArms, ^Chaingun, ^LaserWeapon, ^TSLaserEffect</t>
        </is>
      </c>
    </row>
    <row r="348">
      <c r="B348" s="7" t="inlineStr">
        <is>
          <t xml:space="preserve">  ↳ TSCadreGrenade</t>
        </is>
      </c>
      <c r="C348" s="7" t="inlineStr">
        <is>
          <t>Armament@SECONDARY</t>
        </is>
      </c>
      <c r="L348" s="6" t="n">
        <v>36000</v>
      </c>
      <c r="M348" s="6" t="n">
        <v>124</v>
      </c>
      <c r="N348" s="6" t="n">
        <v>1</v>
      </c>
      <c r="O348" s="6" t="n"/>
      <c r="P348" s="6" t="n">
        <v>6623</v>
      </c>
      <c r="Q348" s="6" t="n">
        <v>0.75</v>
      </c>
      <c r="R348">
        <f>M348+IF(MAX(N348-1,0)&gt;0,IF(ISBLANK(O348),5*MAX(N348-1,0),IF(ISNUMBER(O348),O348*MAX(N348-1,0),SUM(IFERROR(VALUE(TEXTSPLIT(O348,",")),0)))),0)</f>
        <v/>
      </c>
      <c r="S348">
        <f>IFERROR(L348*MAX(N348,1)/R348*IF(ISBLANK(K343),1,K343),0)</f>
        <v/>
      </c>
      <c r="AB348" s="7" t="inlineStr">
        <is>
          <t>^Warhead_Demolition_Light</t>
        </is>
      </c>
    </row>
    <row r="349">
      <c r="B349" s="7" t="inlineStr">
        <is>
          <t xml:space="preserve">  ↳ TSCadreGrenade</t>
        </is>
      </c>
      <c r="C349" s="7" t="inlineStr">
        <is>
          <t>Armament@GARRISONEDSECONDARY</t>
        </is>
      </c>
      <c r="L349" s="6" t="n">
        <v>36000</v>
      </c>
      <c r="M349" s="6" t="n">
        <v>124</v>
      </c>
      <c r="N349" s="6" t="n">
        <v>1</v>
      </c>
      <c r="O349" s="6" t="n"/>
      <c r="P349" s="6" t="n">
        <v>6623</v>
      </c>
      <c r="Q349" s="6" t="n">
        <v>0.75</v>
      </c>
      <c r="R349">
        <f>M349+IF(MAX(N349-1,0)&gt;0,IF(ISBLANK(O349),5*MAX(N349-1,0),IF(ISNUMBER(O349),O349*MAX(N349-1,0),SUM(IFERROR(VALUE(TEXTSPLIT(O349,",")),0)))),0)</f>
        <v/>
      </c>
      <c r="S349">
        <f>IFERROR(L349*MAX(N349,1)/R349*IF(ISBLANK(K343),1,K343),0)</f>
        <v/>
      </c>
      <c r="AB349" s="7" t="inlineStr">
        <is>
          <t>^Warhead_Demolition_Light</t>
        </is>
      </c>
    </row>
    <row r="350">
      <c r="A350" t="inlineStr">
        <is>
          <t>tiberiansun</t>
        </is>
      </c>
      <c r="B350" t="inlineStr">
        <is>
          <t>ts_nod_rocketinfantry</t>
        </is>
      </c>
      <c r="C350" t="inlineStr">
        <is>
          <t>Rocket Infantry</t>
        </is>
      </c>
      <c r="D350" s="6" t="inlineStr">
        <is>
          <t>AntiTankAntiAirInfantry</t>
        </is>
      </c>
      <c r="E350" s="6" t="n">
        <v>12000</v>
      </c>
      <c r="F350" s="6" t="n">
        <v>50</v>
      </c>
      <c r="G350" t="inlineStr">
        <is>
          <t>Flak</t>
        </is>
      </c>
      <c r="H350" s="6" t="n">
        <v>1</v>
      </c>
      <c r="I350" s="6" t="n">
        <v>1</v>
      </c>
      <c r="J350" s="6" t="n">
        <v>1</v>
      </c>
      <c r="P350">
        <f>MAX(P351,P353)</f>
        <v/>
      </c>
      <c r="S350">
        <f>S351+S353</f>
        <v/>
      </c>
      <c r="T350">
        <f>(E350/100000+F350/100+(P350/1000)*J350/5+S350/200)*200*I350*H350</f>
        <v/>
      </c>
      <c r="U350">
        <f>((E350*F350/25000)+((P350/1000)*J350*S350/2.5))*I350*H350</f>
        <v/>
      </c>
      <c r="V350">
        <f>(E350*F350*(P350/1000)*J350*S350*I350*H350)/12500000</f>
        <v/>
      </c>
      <c r="W350">
        <f>(T350+U350+V350)/3</f>
        <v/>
      </c>
      <c r="X350" s="6" t="n">
        <v>300</v>
      </c>
      <c r="Y350">
        <f>IFERROR(W350-X350,"")</f>
        <v/>
      </c>
      <c r="Z350">
        <f>IFERROR(ABS(Y350)/MAX(X350,1),"")</f>
        <v/>
      </c>
      <c r="AA350">
        <f>IFERROR((X350-(((E350/100000+F350/100+S350/200)*200*I350*H350)+((E350*F350/25000)*I350*H350))/3)/(((J350/5)*200*I350*H350)+((J350*S350/2.5)*I350*H350)+((E350*F350*J350*S350*I350*H350)/12500000))/3*1000,"")</f>
        <v/>
      </c>
    </row>
    <row r="351">
      <c r="B351" s="7" t="inlineStr">
        <is>
          <t xml:space="preserve">  ↳ TSBazooka</t>
        </is>
      </c>
      <c r="C351" s="7" t="inlineStr">
        <is>
          <t>Armament@PRIMARY</t>
        </is>
      </c>
      <c r="L351" s="6" t="n">
        <v>24000</v>
      </c>
      <c r="M351" s="6" t="n">
        <v>52</v>
      </c>
      <c r="N351" s="6" t="n">
        <v>1</v>
      </c>
      <c r="O351" s="6" t="n"/>
      <c r="P351" s="6" t="n">
        <v>6694</v>
      </c>
      <c r="Q351" s="6" t="n">
        <v>0.75</v>
      </c>
      <c r="R351">
        <f>M351+IF(MAX(N351-1,0)&gt;0,IF(ISBLANK(O351),5*MAX(N351-1,0),IF(ISNUMBER(O351),O351*MAX(N351-1,0),SUM(IFERROR(VALUE(TEXTSPLIT(O351,",")),0)))),0)</f>
        <v/>
      </c>
      <c r="S351">
        <f>IFERROR(L351*MAX(N351,1)/R351*IF(ISBLANK(K350),1,K350),0)</f>
        <v/>
      </c>
      <c r="AB351" s="7" t="inlineStr">
        <is>
          <t>^Warhead_MissileAP_Light</t>
        </is>
      </c>
    </row>
    <row r="352">
      <c r="B352" s="7" t="inlineStr">
        <is>
          <t xml:space="preserve">  ↳ TSBazooka</t>
        </is>
      </c>
      <c r="C352" s="7" t="inlineStr">
        <is>
          <t>Armament@GARRISONED</t>
        </is>
      </c>
      <c r="L352" s="6" t="n">
        <v>24000</v>
      </c>
      <c r="M352" s="6" t="n">
        <v>52</v>
      </c>
      <c r="N352" s="6" t="n">
        <v>1</v>
      </c>
      <c r="O352" s="6" t="n"/>
      <c r="P352" s="6" t="n">
        <v>6694</v>
      </c>
      <c r="Q352" s="6" t="n">
        <v>0.75</v>
      </c>
      <c r="R352">
        <f>M352+IF(MAX(N352-1,0)&gt;0,IF(ISBLANK(O352),5*MAX(N352-1,0),IF(ISNUMBER(O352),O352*MAX(N352-1,0),SUM(IFERROR(VALUE(TEXTSPLIT(O352,",")),0)))),0)</f>
        <v/>
      </c>
      <c r="S352">
        <f>IFERROR(L352*MAX(N352,1)/R352*IF(ISBLANK(K350),1,K350),0)</f>
        <v/>
      </c>
      <c r="AB352" s="7" t="inlineStr">
        <is>
          <t>^Warhead_MissileAP_Light</t>
        </is>
      </c>
    </row>
    <row r="353">
      <c r="B353" s="7" t="inlineStr">
        <is>
          <t xml:space="preserve">  ↳ TSTibBazooka</t>
        </is>
      </c>
      <c r="C353" s="7" t="inlineStr">
        <is>
          <t>Armament@UPGRADE</t>
        </is>
      </c>
      <c r="L353" s="6" t="n">
        <v>30000</v>
      </c>
      <c r="M353" s="6" t="n">
        <v>52</v>
      </c>
      <c r="N353" s="6" t="n">
        <v>1</v>
      </c>
      <c r="O353" s="6" t="n"/>
      <c r="P353" s="6" t="n">
        <v>6694</v>
      </c>
      <c r="Q353" s="6" t="n">
        <v>0.75</v>
      </c>
      <c r="R353">
        <f>M353+IF(MAX(N353-1,0)&gt;0,IF(ISBLANK(O353),5*MAX(N353-1,0),IF(ISNUMBER(O353),O353*MAX(N353-1,0),SUM(IFERROR(VALUE(TEXTSPLIT(O353,",")),0)))),0)</f>
        <v/>
      </c>
      <c r="S353">
        <f>IFERROR(L353*MAX(N353,1)/R353*IF(ISBLANK(K350),1,K350),0)</f>
        <v/>
      </c>
      <c r="AB353" s="7" t="inlineStr">
        <is>
          <t>^Warhead_MissileChem_Light</t>
        </is>
      </c>
    </row>
    <row r="354">
      <c r="B354" s="7" t="inlineStr">
        <is>
          <t xml:space="preserve">  ↳ TSTibBazooka</t>
        </is>
      </c>
      <c r="C354" s="7" t="inlineStr">
        <is>
          <t>Armament@GARRISONEDUPGRADE</t>
        </is>
      </c>
      <c r="L354" s="6" t="n">
        <v>30000</v>
      </c>
      <c r="M354" s="6" t="n">
        <v>52</v>
      </c>
      <c r="N354" s="6" t="n">
        <v>1</v>
      </c>
      <c r="O354" s="6" t="n"/>
      <c r="P354" s="6" t="n">
        <v>6694</v>
      </c>
      <c r="Q354" s="6" t="n">
        <v>0.75</v>
      </c>
      <c r="R354">
        <f>M354+IF(MAX(N354-1,0)&gt;0,IF(ISBLANK(O354),5*MAX(N354-1,0),IF(ISNUMBER(O354),O354*MAX(N354-1,0),SUM(IFERROR(VALUE(TEXTSPLIT(O354,",")),0)))),0)</f>
        <v/>
      </c>
      <c r="S354">
        <f>IFERROR(L354*MAX(N354,1)/R354*IF(ISBLANK(K350),1,K350),0)</f>
        <v/>
      </c>
      <c r="AB354" s="7" t="inlineStr">
        <is>
          <t>^Warhead_MissileChem_Light</t>
        </is>
      </c>
    </row>
    <row r="355">
      <c r="A355" t="inlineStr">
        <is>
          <t>tiberiansun</t>
        </is>
      </c>
      <c r="B355" t="inlineStr">
        <is>
          <t>ts_gdi_falconenforcer</t>
        </is>
      </c>
      <c r="C355" t="inlineStr">
        <is>
          <t>Falcon Enforcer</t>
        </is>
      </c>
      <c r="D355" s="6" t="inlineStr">
        <is>
          <t>AntiTankAntiAirInfantry</t>
        </is>
      </c>
      <c r="E355" s="6" t="n">
        <v>45000</v>
      </c>
      <c r="F355" s="6" t="n">
        <v>62</v>
      </c>
      <c r="G355" t="inlineStr">
        <is>
          <t>Flak</t>
        </is>
      </c>
      <c r="H355" s="6" t="n">
        <v>1</v>
      </c>
      <c r="I355" s="6" t="n">
        <v>1</v>
      </c>
      <c r="J355" s="6" t="n">
        <v>1</v>
      </c>
      <c r="K355" t="n">
        <v>0.0095</v>
      </c>
      <c r="P355">
        <f>MAX(P356,P358)</f>
        <v/>
      </c>
      <c r="S355">
        <f>S356+S358</f>
        <v/>
      </c>
      <c r="T355">
        <f>(E355/100000+F355/100+(P355/1000)*J355/5+S355/200)*200*I355*H355</f>
        <v/>
      </c>
      <c r="U355">
        <f>((E355*F355/25000)+((P355/1000)*J355*S355/2.5))*I355*H355</f>
        <v/>
      </c>
      <c r="V355">
        <f>(E355*F355*(P355/1000)*J355*S355*I355*H355)/12500000</f>
        <v/>
      </c>
      <c r="W355">
        <f>IFERROR((((E355/15000)+(F355/50)+(S355/240)+((P355/6000)*J355))*200/4+(((E355/15000)*(F355/50))+(((P355/6000)*J355)*(S355/240)))*200/2+((E355/15000)*(F355/50)*((P355/6000)*J355)*(S355/240))*200)*(H355/1.0)/3,"")</f>
        <v/>
      </c>
      <c r="X355" s="6" t="n">
        <v>1322</v>
      </c>
      <c r="Y355">
        <f>IFERROR(W355-X355,"")</f>
        <v/>
      </c>
      <c r="Z355">
        <f>IFERROR(ABS(Y355)/MAX(X355,1),"")</f>
        <v/>
      </c>
      <c r="AA355">
        <f>IFERROR(ROUND(((3*X355-(((E355/15000)+(F355/50)+(S355/240))*200/4+((E355/15000)*(F355/50))*200/2)*(H355/1.0))/(200/4+((S355/240))*200/2+((E355/15000)*(F355/50)*(S355/240))*200)*(H355/1.0)*6000)/J355,-1),"")</f>
        <v/>
      </c>
    </row>
    <row r="356">
      <c r="B356" s="7" t="inlineStr">
        <is>
          <t xml:space="preserve">  ↳ TS30mm</t>
        </is>
      </c>
      <c r="C356" s="7" t="inlineStr">
        <is>
          <t>Armament@PRIMARY</t>
        </is>
      </c>
      <c r="L356" s="6" t="n">
        <v>16000</v>
      </c>
      <c r="M356" s="6" t="n">
        <v>26</v>
      </c>
      <c r="N356" s="6" t="n">
        <v>3</v>
      </c>
      <c r="O356" s="6" t="n">
        <v>2</v>
      </c>
      <c r="P356" s="6" t="n">
        <v>6125</v>
      </c>
      <c r="Q356" s="6" t="n">
        <v>1</v>
      </c>
      <c r="R356">
        <f>M356+IF(MAX(N356-1,0)&gt;0,IF(ISBLANK(O356),5*MAX(N356-1,0),IF(ISNUMBER(O356),O356*MAX(N356-1,0),SUM(IFERROR(VALUE(TEXTSPLIT(O356,",")),0)))),0)</f>
        <v/>
      </c>
      <c r="S356">
        <f>IFERROR(L356*MAX(N356,1)/R356*IF(ISBLANK(K355),1,K355),0)</f>
        <v/>
      </c>
      <c r="AB356" s="7" t="inlineStr">
        <is>
          <t>^Warhead_MissileHE_Medium, ^Warhead_Flak_Medium</t>
        </is>
      </c>
    </row>
    <row r="357">
      <c r="B357" s="7" t="inlineStr">
        <is>
          <t xml:space="preserve">  ↳ TS30mm</t>
        </is>
      </c>
      <c r="C357" s="7" t="inlineStr">
        <is>
          <t>Armament@GARRISONED</t>
        </is>
      </c>
      <c r="L357" s="6" t="n">
        <v>16000</v>
      </c>
      <c r="M357" s="6" t="n">
        <v>26</v>
      </c>
      <c r="N357" s="6" t="n">
        <v>3</v>
      </c>
      <c r="O357" s="6" t="n">
        <v>2</v>
      </c>
      <c r="P357" s="6" t="n">
        <v>6125</v>
      </c>
      <c r="Q357" s="6" t="n">
        <v>1</v>
      </c>
      <c r="R357">
        <f>M357+IF(MAX(N357-1,0)&gt;0,IF(ISBLANK(O357),5*MAX(N357-1,0),IF(ISNUMBER(O357),O357*MAX(N357-1,0),SUM(IFERROR(VALUE(TEXTSPLIT(O357,",")),0)))),0)</f>
        <v/>
      </c>
      <c r="S357">
        <f>IFERROR(L357*MAX(N357,1)/R357*IF(ISBLANK(K355),1,K355),0)</f>
        <v/>
      </c>
      <c r="AB357" s="7" t="inlineStr">
        <is>
          <t>^Warhead_MissileHE_Medium, ^Warhead_Flak_Medium</t>
        </is>
      </c>
    </row>
    <row r="358">
      <c r="B358" s="7" t="inlineStr">
        <is>
          <t xml:space="preserve">  ↳ TS30mmRail</t>
        </is>
      </c>
      <c r="C358" s="7" t="inlineStr">
        <is>
          <t>Armament@Upgrade</t>
        </is>
      </c>
      <c r="L358" s="6" t="n">
        <v>6000</v>
      </c>
      <c r="M358" s="6" t="n">
        <v>26</v>
      </c>
      <c r="N358" s="6" t="n">
        <v>3</v>
      </c>
      <c r="O358" s="6" t="n">
        <v>2</v>
      </c>
      <c r="P358" s="6" t="n">
        <v>5873</v>
      </c>
      <c r="Q358" s="6" t="n">
        <v>1</v>
      </c>
      <c r="R358">
        <f>M358+IF(MAX(N358-1,0)&gt;0,IF(ISBLANK(O358),5*MAX(N358-1,0),IF(ISNUMBER(O358),O358*MAX(N358-1,0),SUM(IFERROR(VALUE(TEXTSPLIT(O358,",")),0)))),0)</f>
        <v/>
      </c>
      <c r="S358">
        <f>IFERROR(L358*MAX(N358,1)/R358*IF(ISBLANK(K355),1,K355),0)</f>
        <v/>
      </c>
      <c r="AB358" s="7" t="inlineStr">
        <is>
          <t>^MediumMissile, ^FlakWeapon, ^RailgunWeapon</t>
        </is>
      </c>
    </row>
    <row r="359">
      <c r="B359" s="7" t="inlineStr">
        <is>
          <t xml:space="preserve">  ↳ TS30mmRail</t>
        </is>
      </c>
      <c r="C359" s="7" t="inlineStr">
        <is>
          <t>Armament@UpgradeGARRISONED</t>
        </is>
      </c>
      <c r="L359" s="6" t="n">
        <v>6000</v>
      </c>
      <c r="M359" s="6" t="n">
        <v>26</v>
      </c>
      <c r="N359" s="6" t="n">
        <v>3</v>
      </c>
      <c r="O359" s="6" t="n">
        <v>2</v>
      </c>
      <c r="P359" s="6" t="n">
        <v>5873</v>
      </c>
      <c r="Q359" s="6" t="n">
        <v>1</v>
      </c>
      <c r="R359">
        <f>M359+IF(MAX(N359-1,0)&gt;0,IF(ISBLANK(O359),5*MAX(N359-1,0),IF(ISNUMBER(O359),O359*MAX(N359-1,0),SUM(IFERROR(VALUE(TEXTSPLIT(O359,",")),0)))),0)</f>
        <v/>
      </c>
      <c r="S359">
        <f>IFERROR(L359*MAX(N359,1)/R359*IF(ISBLANK(K355),1,K355),0)</f>
        <v/>
      </c>
      <c r="AB359" s="7" t="inlineStr">
        <is>
          <t>^MediumMissile, ^FlakWeapon, ^RailgunWeapon</t>
        </is>
      </c>
    </row>
    <row r="360">
      <c r="A360" t="inlineStr">
        <is>
          <t>tiberiansun</t>
        </is>
      </c>
      <c r="B360" t="inlineStr">
        <is>
          <t>forgotten_rocketinfantry</t>
        </is>
      </c>
      <c r="C360" t="inlineStr">
        <is>
          <t>actor_forgotten_rocketinfantry.name</t>
        </is>
      </c>
      <c r="D360" s="6" t="inlineStr">
        <is>
          <t>AntiTankAntiAirInfantry</t>
        </is>
      </c>
      <c r="E360" s="6" t="n">
        <v>12000</v>
      </c>
      <c r="F360" s="6" t="n">
        <v>50</v>
      </c>
      <c r="G360" t="inlineStr">
        <is>
          <t>Flak</t>
        </is>
      </c>
      <c r="H360" s="6" t="n">
        <v>1</v>
      </c>
      <c r="I360" s="6" t="n">
        <v>1</v>
      </c>
      <c r="J360" s="6" t="n">
        <v>1</v>
      </c>
      <c r="P360">
        <f>MAX(P361,P363)</f>
        <v/>
      </c>
      <c r="S360">
        <f>S361+S363</f>
        <v/>
      </c>
      <c r="T360">
        <f>(E360/100000+F360/100+(P360/1000)*J360/5+S360/200)*200*I360*H360</f>
        <v/>
      </c>
      <c r="U360">
        <f>((E360*F360/25000)+((P360/1000)*J360*S360/2.5))*I360*H360</f>
        <v/>
      </c>
      <c r="V360">
        <f>(E360*F360*(P360/1000)*J360*S360*I360*H360)/12500000</f>
        <v/>
      </c>
      <c r="W360">
        <f>(T360+U360+V360)/3</f>
        <v/>
      </c>
      <c r="X360" s="6" t="n">
        <v>300</v>
      </c>
      <c r="Y360">
        <f>IFERROR(W360-X360,"")</f>
        <v/>
      </c>
      <c r="Z360">
        <f>IFERROR(ABS(Y360)/MAX(X360,1),"")</f>
        <v/>
      </c>
      <c r="AA360">
        <f>IFERROR((X360-(((E360/100000+F360/100+S360/200)*200*I360*H360)+((E360*F360/25000)*I360*H360))/3)/(((J360/5)*200*I360*H360)+((J360*S360/2.5)*I360*H360)+((E360*F360*J360*S360*I360*H360)/12500000))/3*1000,"")</f>
        <v/>
      </c>
    </row>
    <row r="361">
      <c r="B361" s="7" t="inlineStr">
        <is>
          <t xml:space="preserve">  ↳ TSBazooka</t>
        </is>
      </c>
      <c r="C361" s="7" t="inlineStr">
        <is>
          <t>Armament@PRIMARY</t>
        </is>
      </c>
      <c r="L361" s="6" t="n">
        <v>24000</v>
      </c>
      <c r="M361" s="6" t="n">
        <v>52</v>
      </c>
      <c r="N361" s="6" t="n">
        <v>1</v>
      </c>
      <c r="O361" s="6" t="n"/>
      <c r="P361" s="6" t="n">
        <v>6694</v>
      </c>
      <c r="Q361" s="6" t="n">
        <v>0.75</v>
      </c>
      <c r="R361">
        <f>M361+IF(MAX(N361-1,0)&gt;0,IF(ISBLANK(O361),5*MAX(N361-1,0),IF(ISNUMBER(O361),O361*MAX(N361-1,0),SUM(IFERROR(VALUE(TEXTSPLIT(O361,",")),0)))),0)</f>
        <v/>
      </c>
      <c r="S361">
        <f>IFERROR(L361*MAX(N361,1)/R361*IF(ISBLANK(K360),1,K360),0)</f>
        <v/>
      </c>
      <c r="AB361" s="7" t="inlineStr">
        <is>
          <t>^Warhead_MissileAP_Light</t>
        </is>
      </c>
    </row>
    <row r="362">
      <c r="B362" s="7" t="inlineStr">
        <is>
          <t xml:space="preserve">  ↳ TSBazooka</t>
        </is>
      </c>
      <c r="C362" s="7" t="inlineStr">
        <is>
          <t>Armament@GARRISONED</t>
        </is>
      </c>
      <c r="L362" s="6" t="n">
        <v>24000</v>
      </c>
      <c r="M362" s="6" t="n">
        <v>52</v>
      </c>
      <c r="N362" s="6" t="n">
        <v>1</v>
      </c>
      <c r="O362" s="6" t="n"/>
      <c r="P362" s="6" t="n">
        <v>6694</v>
      </c>
      <c r="Q362" s="6" t="n">
        <v>0.75</v>
      </c>
      <c r="R362">
        <f>M362+IF(MAX(N362-1,0)&gt;0,IF(ISBLANK(O362),5*MAX(N362-1,0),IF(ISNUMBER(O362),O362*MAX(N362-1,0),SUM(IFERROR(VALUE(TEXTSPLIT(O362,",")),0)))),0)</f>
        <v/>
      </c>
      <c r="S362">
        <f>IFERROR(L362*MAX(N362,1)/R362*IF(ISBLANK(K360),1,K360),0)</f>
        <v/>
      </c>
      <c r="AB362" s="7" t="inlineStr">
        <is>
          <t>^Warhead_MissileAP_Light</t>
        </is>
      </c>
    </row>
    <row r="363">
      <c r="B363" s="7" t="inlineStr">
        <is>
          <t xml:space="preserve">  ↳ TSChemBazooka</t>
        </is>
      </c>
      <c r="C363" s="7" t="inlineStr">
        <is>
          <t>Armament@UPGRADE</t>
        </is>
      </c>
      <c r="L363" s="6" t="n">
        <v>30000</v>
      </c>
      <c r="M363" s="6" t="n">
        <v>52</v>
      </c>
      <c r="N363" s="6" t="n">
        <v>1</v>
      </c>
      <c r="O363" s="6" t="n"/>
      <c r="P363" s="6" t="n">
        <v>6694</v>
      </c>
      <c r="Q363" s="6" t="n">
        <v>0.75</v>
      </c>
      <c r="R363">
        <f>M363+IF(MAX(N363-1,0)&gt;0,IF(ISBLANK(O363),5*MAX(N363-1,0),IF(ISNUMBER(O363),O363*MAX(N363-1,0),SUM(IFERROR(VALUE(TEXTSPLIT(O363,",")),0)))),0)</f>
        <v/>
      </c>
      <c r="S363">
        <f>IFERROR(L363*MAX(N363,1)/R363*IF(ISBLANK(K360),1,K360),0)</f>
        <v/>
      </c>
      <c r="AB363" s="7" t="inlineStr">
        <is>
          <t>^Warhead_MissileChem_Light</t>
        </is>
      </c>
    </row>
    <row r="364">
      <c r="B364" s="7" t="inlineStr">
        <is>
          <t xml:space="preserve">  ↳ TSChemBazooka</t>
        </is>
      </c>
      <c r="C364" s="7" t="inlineStr">
        <is>
          <t>Armament@GARRISONEDUPGRADE</t>
        </is>
      </c>
      <c r="L364" s="6" t="n">
        <v>30000</v>
      </c>
      <c r="M364" s="6" t="n">
        <v>52</v>
      </c>
      <c r="N364" s="6" t="n">
        <v>1</v>
      </c>
      <c r="O364" s="6" t="n"/>
      <c r="P364" s="6" t="n">
        <v>6694</v>
      </c>
      <c r="Q364" s="6" t="n">
        <v>0.75</v>
      </c>
      <c r="R364">
        <f>M364+IF(MAX(N364-1,0)&gt;0,IF(ISBLANK(O364),5*MAX(N364-1,0),IF(ISNUMBER(O364),O364*MAX(N364-1,0),SUM(IFERROR(VALUE(TEXTSPLIT(O364,",")),0)))),0)</f>
        <v/>
      </c>
      <c r="S364">
        <f>IFERROR(L364*MAX(N364,1)/R364*IF(ISBLANK(K360),1,K360),0)</f>
        <v/>
      </c>
      <c r="AB364" s="7" t="inlineStr">
        <is>
          <t>^Warhead_MissileChem_Light</t>
        </is>
      </c>
    </row>
    <row r="365">
      <c r="A365" t="inlineStr">
        <is>
          <t>shared</t>
        </is>
      </c>
      <c r="B365" t="inlineStr">
        <is>
          <t>ra2sidewind</t>
        </is>
      </c>
      <c r="C365" t="inlineStr">
        <is>
          <t>Sidewinder</t>
        </is>
      </c>
      <c r="D365" s="6" t="inlineStr">
        <is>
          <t>AntiTankAntiAirInfantry</t>
        </is>
      </c>
      <c r="E365" s="6" t="n">
        <v>15000</v>
      </c>
      <c r="F365" s="6" t="n">
        <v>45</v>
      </c>
      <c r="G365" t="inlineStr">
        <is>
          <t>Flak</t>
        </is>
      </c>
      <c r="H365" s="6" t="n">
        <v>1</v>
      </c>
      <c r="I365" s="6" t="n">
        <v>1</v>
      </c>
      <c r="J365" s="6" t="n">
        <v>1</v>
      </c>
      <c r="P365">
        <f>MAX(P366,P368)</f>
        <v/>
      </c>
      <c r="S365">
        <f>S366+S368</f>
        <v/>
      </c>
      <c r="T365">
        <f>(E365/100000+F365/100+(P365/1000)*J365/5+S365/200)*200*I365*H365</f>
        <v/>
      </c>
      <c r="U365">
        <f>((E365*F365/25000)+((P365/1000)*J365*S365/2.5))*I365*H365</f>
        <v/>
      </c>
      <c r="V365">
        <f>(E365*F365*(P365/1000)*J365*S365*I365*H365)/12500000</f>
        <v/>
      </c>
      <c r="W365">
        <f>(T365+U365+V365)/3</f>
        <v/>
      </c>
      <c r="X365" s="6" t="n">
        <v>300</v>
      </c>
      <c r="Y365">
        <f>IFERROR(W365-X365,"")</f>
        <v/>
      </c>
      <c r="Z365">
        <f>IFERROR(ABS(Y365)/MAX(X365,1),"")</f>
        <v/>
      </c>
      <c r="AA365">
        <f>IFERROR((X365-(((E365/100000+F365/100+S365/200)*200*I365*H365)+((E365*F365/25000)*I365*H365))/3)/(((J365/5)*200*I365*H365)+((J365*S365/2.5)*I365*H365)+((E365*F365*J365*S365*I365*H365)/12500000))/3*1000,"")</f>
        <v/>
      </c>
    </row>
    <row r="366">
      <c r="B366" s="7" t="inlineStr">
        <is>
          <t xml:space="preserve">  ↳ RA2GIRocketsG</t>
        </is>
      </c>
      <c r="C366" s="7" t="inlineStr">
        <is>
          <t>Armament@PRIMARY</t>
        </is>
      </c>
      <c r="L366" s="6" t="n">
        <v>24000</v>
      </c>
      <c r="M366" s="6" t="n">
        <v>45</v>
      </c>
      <c r="N366" s="6" t="n">
        <v>1</v>
      </c>
      <c r="O366" s="6" t="n"/>
      <c r="P366" s="6" t="n">
        <v>6567</v>
      </c>
      <c r="Q366" s="6" t="n">
        <v>0.75</v>
      </c>
      <c r="R366">
        <f>M366+IF(MAX(N366-1,0)&gt;0,IF(ISBLANK(O366),5*MAX(N366-1,0),IF(ISNUMBER(O366),O366*MAX(N366-1,0),SUM(IFERROR(VALUE(TEXTSPLIT(O366,",")),0)))),0)</f>
        <v/>
      </c>
      <c r="S366">
        <f>IFERROR(L366*MAX(N366,1)/R366*IF(ISBLANK(K365),1,K365),0)</f>
        <v/>
      </c>
      <c r="AB366" s="7" t="inlineStr">
        <is>
          <t>^Warhead_MissileAP_Light</t>
        </is>
      </c>
    </row>
    <row r="367">
      <c r="B367" s="7" t="inlineStr">
        <is>
          <t xml:space="preserve">  ↳ RA2GIRocketsG</t>
        </is>
      </c>
      <c r="C367" s="7" t="inlineStr">
        <is>
          <t>Armament@GARRISONED</t>
        </is>
      </c>
      <c r="L367" s="6" t="n">
        <v>24000</v>
      </c>
      <c r="M367" s="6" t="n">
        <v>45</v>
      </c>
      <c r="N367" s="6" t="n">
        <v>1</v>
      </c>
      <c r="O367" s="6" t="n"/>
      <c r="P367" s="6" t="n">
        <v>6567</v>
      </c>
      <c r="Q367" s="6" t="n">
        <v>0.75</v>
      </c>
      <c r="R367">
        <f>M367+IF(MAX(N367-1,0)&gt;0,IF(ISBLANK(O367),5*MAX(N367-1,0),IF(ISNUMBER(O367),O367*MAX(N367-1,0),SUM(IFERROR(VALUE(TEXTSPLIT(O367,",")),0)))),0)</f>
        <v/>
      </c>
      <c r="S367">
        <f>IFERROR(L367*MAX(N367,1)/R367*IF(ISBLANK(K365),1,K365),0)</f>
        <v/>
      </c>
      <c r="AB367" s="7" t="inlineStr">
        <is>
          <t>^Warhead_MissileAP_Light</t>
        </is>
      </c>
    </row>
    <row r="368">
      <c r="B368" s="7" t="inlineStr">
        <is>
          <t xml:space="preserve">  ↳ RA2GIRocketsG_elite</t>
        </is>
      </c>
      <c r="C368" s="7" t="inlineStr">
        <is>
          <t>Armament@PRIMARYE</t>
        </is>
      </c>
      <c r="L368" s="6" t="n">
        <v>48000</v>
      </c>
      <c r="M368" s="6" t="n">
        <v>45</v>
      </c>
      <c r="N368" s="6" t="n">
        <v>1</v>
      </c>
      <c r="O368" s="6" t="n"/>
      <c r="P368" s="6" t="n">
        <v>7567</v>
      </c>
      <c r="Q368" s="6" t="n">
        <v>0.75</v>
      </c>
      <c r="R368">
        <f>M368+IF(MAX(N368-1,0)&gt;0,IF(ISBLANK(O368),5*MAX(N368-1,0),IF(ISNUMBER(O368),O368*MAX(N368-1,0),SUM(IFERROR(VALUE(TEXTSPLIT(O368,",")),0)))),0)</f>
        <v/>
      </c>
      <c r="S368">
        <f>IFERROR(L368*MAX(N368,1)/R368*IF(ISBLANK(K365),1,K365),0)</f>
        <v/>
      </c>
      <c r="AB368" s="7" t="inlineStr">
        <is>
          <t>^Warhead_MissileAP_Light</t>
        </is>
      </c>
    </row>
    <row r="369">
      <c r="B369" s="7" t="inlineStr">
        <is>
          <t xml:space="preserve">  ↳ RA2GIRocketsG_elite</t>
        </is>
      </c>
      <c r="C369" s="7" t="inlineStr">
        <is>
          <t>Armament@GARRISONEDE</t>
        </is>
      </c>
      <c r="L369" s="6" t="n">
        <v>48000</v>
      </c>
      <c r="M369" s="6" t="n">
        <v>45</v>
      </c>
      <c r="N369" s="6" t="n">
        <v>1</v>
      </c>
      <c r="O369" s="6" t="n"/>
      <c r="P369" s="6" t="n">
        <v>7567</v>
      </c>
      <c r="Q369" s="6" t="n">
        <v>0.75</v>
      </c>
      <c r="R369">
        <f>M369+IF(MAX(N369-1,0)&gt;0,IF(ISBLANK(O369),5*MAX(N369-1,0),IF(ISNUMBER(O369),O369*MAX(N369-1,0),SUM(IFERROR(VALUE(TEXTSPLIT(O369,",")),0)))),0)</f>
        <v/>
      </c>
      <c r="S369">
        <f>IFERROR(L369*MAX(N369,1)/R369*IF(ISBLANK(K365),1,K365),0)</f>
        <v/>
      </c>
      <c r="AB369" s="7" t="inlineStr">
        <is>
          <t>^Warhead_MissileAP_Light</t>
        </is>
      </c>
    </row>
    <row r="370">
      <c r="A370" t="inlineStr">
        <is>
          <t>redalert2</t>
        </is>
      </c>
      <c r="B370" t="inlineStr">
        <is>
          <t>ra2_allies_guardiangi</t>
        </is>
      </c>
      <c r="C370" t="inlineStr">
        <is>
          <t>Guardian G.I.</t>
        </is>
      </c>
      <c r="D370" s="6" t="inlineStr">
        <is>
          <t>AntiTankAntiAirInfantry</t>
        </is>
      </c>
      <c r="E370" s="6" t="n">
        <v>45000</v>
      </c>
      <c r="F370" s="6" t="n">
        <v>45</v>
      </c>
      <c r="G370" t="inlineStr">
        <is>
          <t>Flak</t>
        </is>
      </c>
      <c r="H370" s="6" t="n">
        <v>1</v>
      </c>
      <c r="I370" s="6" t="n">
        <v>0.5</v>
      </c>
      <c r="J370" s="6" t="n">
        <v>1.25</v>
      </c>
      <c r="P370">
        <f>MAX(P371,P372,P373,P374,P376,P378)</f>
        <v/>
      </c>
      <c r="S370">
        <f>S371+S372+S373+S374+S376+S378</f>
        <v/>
      </c>
      <c r="T370">
        <f>(E370/100000+F370/100+(P370/1000)*J370/5+S370/200)*200*I370*H370</f>
        <v/>
      </c>
      <c r="U370">
        <f>((E370*F370/25000)+((P370/1000)*J370*S370/2.5))*I370*H370</f>
        <v/>
      </c>
      <c r="V370">
        <f>(E370*F370*(P370/1000)*J370*S370*I370*H370)/12500000</f>
        <v/>
      </c>
      <c r="W370">
        <f>(T370+U370+V370)/3</f>
        <v/>
      </c>
      <c r="X370" s="6" t="n">
        <v>400</v>
      </c>
      <c r="Y370">
        <f>IFERROR(W370-X370,"")</f>
        <v/>
      </c>
      <c r="Z370">
        <f>IFERROR(ABS(Y370)/MAX(X370,1),"")</f>
        <v/>
      </c>
      <c r="AA370">
        <f>IFERROR((X370-(((E370/100000+F370/100+S370/200)*200*I370*H370)+((E370*F370/25000)*I370*H370))/3)/(((J370/5)*200*I370*H370)+((J370*S370/2.5)*I370*H370)+((E370*F370*J370*S370*I370*H370)/12500000))/3*1000,"")</f>
        <v/>
      </c>
    </row>
    <row r="371">
      <c r="B371" s="7" t="inlineStr">
        <is>
          <t xml:space="preserve">  ↳ GuardianGIMG</t>
        </is>
      </c>
      <c r="C371" s="7" t="inlineStr">
        <is>
          <t>Armament@PRIMARY</t>
        </is>
      </c>
      <c r="L371" s="6" t="n">
        <v>4000</v>
      </c>
      <c r="M371" s="6" t="n">
        <v>20</v>
      </c>
      <c r="N371" s="6" t="n">
        <v>3</v>
      </c>
      <c r="O371" s="6" t="n">
        <v>2</v>
      </c>
      <c r="P371" s="6" t="n">
        <v>4762</v>
      </c>
      <c r="Q371" s="6" t="n">
        <v>0.875</v>
      </c>
      <c r="R371">
        <f>M371+IF(MAX(N371-1,0)&gt;0,IF(ISBLANK(O371),5*MAX(N371-1,0),IF(ISNUMBER(O371),O371*MAX(N371-1,0),SUM(IFERROR(VALUE(TEXTSPLIT(O371,",")),0)))),0)</f>
        <v/>
      </c>
      <c r="S371">
        <f>IFERROR(L371*MAX(N371,1)/R371*IF(ISBLANK(K370),1,K370),0)</f>
        <v/>
      </c>
      <c r="AB371" s="7" t="inlineStr">
        <is>
          <t>^Warhead_Bullet_Light, ^Warhead_Bullet_Medium</t>
        </is>
      </c>
    </row>
    <row r="372">
      <c r="B372" s="7" t="inlineStr">
        <is>
          <t xml:space="preserve">  ↳ GuardianGIMG2</t>
        </is>
      </c>
      <c r="C372" s="7" t="inlineStr">
        <is>
          <t>Armament@PRIMARY2</t>
        </is>
      </c>
      <c r="L372" s="6" t="n">
        <v>4000</v>
      </c>
      <c r="M372" s="6" t="n">
        <v>19</v>
      </c>
      <c r="N372" s="6" t="n">
        <v>3</v>
      </c>
      <c r="O372" s="6" t="n">
        <v>3</v>
      </c>
      <c r="P372" s="6" t="n">
        <v>4750</v>
      </c>
      <c r="Q372" s="6" t="n">
        <v>1</v>
      </c>
      <c r="R372">
        <f>M372+IF(MAX(N372-1,0)&gt;0,IF(ISBLANK(O372),5*MAX(N372-1,0),IF(ISNUMBER(O372),O372*MAX(N372-1,0),SUM(IFERROR(VALUE(TEXTSPLIT(O372,",")),0)))),0)</f>
        <v/>
      </c>
      <c r="S372">
        <f>IFERROR(L372*MAX(N372,1)/R372*IF(ISBLANK(K370),1,K370),0)</f>
        <v/>
      </c>
      <c r="AB372" s="7" t="inlineStr">
        <is>
          <t>^Warhead_Bullet_Medium</t>
        </is>
      </c>
    </row>
    <row r="373">
      <c r="B373" s="7" t="inlineStr">
        <is>
          <t xml:space="preserve">  ↳ GuardianGIMG_elite</t>
        </is>
      </c>
      <c r="C373" s="7" t="inlineStr">
        <is>
          <t>Armament@ELITE</t>
        </is>
      </c>
      <c r="L373" s="6" t="n">
        <v>4000</v>
      </c>
      <c r="M373" s="6" t="n">
        <v>20</v>
      </c>
      <c r="N373" s="6" t="n">
        <v>6</v>
      </c>
      <c r="O373" s="6" t="n">
        <v>2</v>
      </c>
      <c r="P373" s="6" t="n">
        <v>5762</v>
      </c>
      <c r="Q373" s="6" t="n">
        <v>0.875</v>
      </c>
      <c r="R373">
        <f>M373+IF(MAX(N373-1,0)&gt;0,IF(ISBLANK(O373),5*MAX(N373-1,0),IF(ISNUMBER(O373),O373*MAX(N373-1,0),SUM(IFERROR(VALUE(TEXTSPLIT(O373,",")),0)))),0)</f>
        <v/>
      </c>
      <c r="S373">
        <f>IFERROR(L373*MAX(N373,1)/R373*IF(ISBLANK(K370),1,K370),0)</f>
        <v/>
      </c>
      <c r="AB373" s="7" t="inlineStr">
        <is>
          <t>^Warhead_Bullet_Light, ^Warhead_Bullet_Medium</t>
        </is>
      </c>
    </row>
    <row r="374">
      <c r="B374" s="7" t="inlineStr">
        <is>
          <t xml:space="preserve">  ↳ GuardianGIMG2_elite</t>
        </is>
      </c>
      <c r="C374" s="7" t="inlineStr">
        <is>
          <t>Armament@ELITE2</t>
        </is>
      </c>
      <c r="L374" s="6" t="n">
        <v>4000</v>
      </c>
      <c r="M374" s="6" t="n">
        <v>19</v>
      </c>
      <c r="N374" s="6" t="n">
        <v>6</v>
      </c>
      <c r="O374" s="6" t="n">
        <v>3</v>
      </c>
      <c r="P374" s="6" t="n">
        <v>5750</v>
      </c>
      <c r="Q374" s="6" t="n">
        <v>1</v>
      </c>
      <c r="R374">
        <f>M374+IF(MAX(N374-1,0)&gt;0,IF(ISBLANK(O374),5*MAX(N374-1,0),IF(ISNUMBER(O374),O374*MAX(N374-1,0),SUM(IFERROR(VALUE(TEXTSPLIT(O374,",")),0)))),0)</f>
        <v/>
      </c>
      <c r="S374">
        <f>IFERROR(L374*MAX(N374,1)/R374*IF(ISBLANK(K370),1,K370),0)</f>
        <v/>
      </c>
      <c r="AB374" s="7" t="inlineStr">
        <is>
          <t>^Warhead_Bullet_Medium</t>
        </is>
      </c>
    </row>
    <row r="375">
      <c r="B375" s="7" t="inlineStr">
        <is>
          <t xml:space="preserve">  ↳ aadeploytargeting_8c0_AA</t>
        </is>
      </c>
      <c r="C375" s="7" t="inlineStr">
        <is>
          <t>Armament@BOTAA</t>
        </is>
      </c>
      <c r="M375" s="6" t="n">
        <v>50</v>
      </c>
      <c r="N375" s="6" t="n">
        <v>1</v>
      </c>
      <c r="O375" s="6" t="n"/>
      <c r="P375" s="6" t="n">
        <v>8000</v>
      </c>
      <c r="Q375" s="6" t="n">
        <v>1</v>
      </c>
      <c r="R375">
        <f>M375+IF(MAX(N375-1,0)&gt;0,IF(ISBLANK(O375),5*MAX(N375-1,0),IF(ISNUMBER(O375),O375*MAX(N375-1,0),SUM(IFERROR(VALUE(TEXTSPLIT(O375,",")),0)))),0)</f>
        <v/>
      </c>
      <c r="S375">
        <f>IFERROR(L375*MAX(N375,1)/R375*IF(ISBLANK(K370),1,K370),0)</f>
        <v/>
      </c>
      <c r="AB375" s="7" t="inlineStr">
        <is>
          <t>^AADeployTargeting</t>
        </is>
      </c>
    </row>
    <row r="376">
      <c r="B376" s="7" t="inlineStr">
        <is>
          <t xml:space="preserve">  ↳ RA2GIRocketsG</t>
        </is>
      </c>
      <c r="C376" s="7" t="inlineStr">
        <is>
          <t>Armament@DEPLOYED</t>
        </is>
      </c>
      <c r="L376" s="6" t="n">
        <v>24000</v>
      </c>
      <c r="M376" s="6" t="n">
        <v>45</v>
      </c>
      <c r="N376" s="6" t="n">
        <v>1</v>
      </c>
      <c r="O376" s="6" t="n"/>
      <c r="P376" s="6" t="n">
        <v>6567</v>
      </c>
      <c r="Q376" s="6" t="n">
        <v>0.75</v>
      </c>
      <c r="R376">
        <f>M376+IF(MAX(N376-1,0)&gt;0,IF(ISBLANK(O376),5*MAX(N376-1,0),IF(ISNUMBER(O376),O376*MAX(N376-1,0),SUM(IFERROR(VALUE(TEXTSPLIT(O376,",")),0)))),0)</f>
        <v/>
      </c>
      <c r="S376">
        <f>IFERROR(L376*MAX(N376,1)/R376*IF(ISBLANK(K370),1,K370),0)</f>
        <v/>
      </c>
      <c r="AB376" s="7" t="inlineStr">
        <is>
          <t>^Warhead_MissileAP_Light</t>
        </is>
      </c>
    </row>
    <row r="377">
      <c r="B377" s="7" t="inlineStr">
        <is>
          <t xml:space="preserve">  ↳ RA2GIRocketsG</t>
        </is>
      </c>
      <c r="C377" s="7" t="inlineStr">
        <is>
          <t>Armament@GARRISONED</t>
        </is>
      </c>
      <c r="L377" s="6" t="n">
        <v>24000</v>
      </c>
      <c r="M377" s="6" t="n">
        <v>45</v>
      </c>
      <c r="N377" s="6" t="n">
        <v>1</v>
      </c>
      <c r="O377" s="6" t="n"/>
      <c r="P377" s="6" t="n">
        <v>6567</v>
      </c>
      <c r="Q377" s="6" t="n">
        <v>0.75</v>
      </c>
      <c r="R377">
        <f>M377+IF(MAX(N377-1,0)&gt;0,IF(ISBLANK(O377),5*MAX(N377-1,0),IF(ISNUMBER(O377),O377*MAX(N377-1,0),SUM(IFERROR(VALUE(TEXTSPLIT(O377,",")),0)))),0)</f>
        <v/>
      </c>
      <c r="S377">
        <f>IFERROR(L377*MAX(N377,1)/R377*IF(ISBLANK(K370),1,K370),0)</f>
        <v/>
      </c>
      <c r="AB377" s="7" t="inlineStr">
        <is>
          <t>^Warhead_MissileAP_Light</t>
        </is>
      </c>
    </row>
    <row r="378">
      <c r="B378" s="7" t="inlineStr">
        <is>
          <t xml:space="preserve">  ↳ RA2GIRocketsG_elite</t>
        </is>
      </c>
      <c r="C378" s="7" t="inlineStr">
        <is>
          <t>Armament@DEPLOYEDELITE</t>
        </is>
      </c>
      <c r="L378" s="6" t="n">
        <v>48000</v>
      </c>
      <c r="M378" s="6" t="n">
        <v>45</v>
      </c>
      <c r="N378" s="6" t="n">
        <v>1</v>
      </c>
      <c r="O378" s="6" t="n"/>
      <c r="P378" s="6" t="n">
        <v>7567</v>
      </c>
      <c r="Q378" s="6" t="n">
        <v>0.75</v>
      </c>
      <c r="R378">
        <f>M378+IF(MAX(N378-1,0)&gt;0,IF(ISBLANK(O378),5*MAX(N378-1,0),IF(ISNUMBER(O378),O378*MAX(N378-1,0),SUM(IFERROR(VALUE(TEXTSPLIT(O378,",")),0)))),0)</f>
        <v/>
      </c>
      <c r="S378">
        <f>IFERROR(L378*MAX(N378,1)/R378*IF(ISBLANK(K370),1,K370),0)</f>
        <v/>
      </c>
      <c r="AB378" s="7" t="inlineStr">
        <is>
          <t>^Warhead_MissileAP_Light</t>
        </is>
      </c>
    </row>
    <row r="379">
      <c r="B379" s="7" t="inlineStr">
        <is>
          <t xml:space="preserve">  ↳ RA2GIRocketsG_elite</t>
        </is>
      </c>
      <c r="C379" s="7" t="inlineStr">
        <is>
          <t>Armament@GARRISONEDELITE</t>
        </is>
      </c>
      <c r="L379" s="6" t="n">
        <v>48000</v>
      </c>
      <c r="M379" s="6" t="n">
        <v>45</v>
      </c>
      <c r="N379" s="6" t="n">
        <v>1</v>
      </c>
      <c r="O379" s="6" t="n"/>
      <c r="P379" s="6" t="n">
        <v>7567</v>
      </c>
      <c r="Q379" s="6" t="n">
        <v>0.75</v>
      </c>
      <c r="R379">
        <f>M379+IF(MAX(N379-1,0)&gt;0,IF(ISBLANK(O379),5*MAX(N379-1,0),IF(ISNUMBER(O379),O379*MAX(N379-1,0),SUM(IFERROR(VALUE(TEXTSPLIT(O379,",")),0)))),0)</f>
        <v/>
      </c>
      <c r="S379">
        <f>IFERROR(L379*MAX(N379,1)/R379*IF(ISBLANK(K370),1,K370),0)</f>
        <v/>
      </c>
      <c r="AB379" s="7" t="inlineStr">
        <is>
          <t>^Warhead_MissileAP_Light</t>
        </is>
      </c>
    </row>
    <row r="380">
      <c r="A380" t="inlineStr">
        <is>
          <t>redalert2</t>
        </is>
      </c>
      <c r="B380" t="inlineStr">
        <is>
          <t>ra2_soviets_flaktrooper</t>
        </is>
      </c>
      <c r="C380" t="inlineStr">
        <is>
          <t>Flak Trooper</t>
        </is>
      </c>
      <c r="D380" s="6" t="inlineStr">
        <is>
          <t>AntiTankAntiAirInfantry</t>
        </is>
      </c>
      <c r="E380" s="6" t="n">
        <v>10000</v>
      </c>
      <c r="F380" s="6" t="n">
        <v>44</v>
      </c>
      <c r="G380" t="inlineStr">
        <is>
          <t>Flak</t>
        </is>
      </c>
      <c r="H380" s="6" t="n">
        <v>1</v>
      </c>
      <c r="I380" s="6" t="n">
        <v>0.5</v>
      </c>
      <c r="J380" s="6" t="n">
        <v>1</v>
      </c>
      <c r="K380" t="n">
        <v>0.0107</v>
      </c>
      <c r="P380">
        <f>MAX(P381,P382,P385,P386)</f>
        <v/>
      </c>
      <c r="S380">
        <f>S381+S382+S385+S386</f>
        <v/>
      </c>
      <c r="T380">
        <f>(E380/100000+F380/100+(P380/1000)*J380/5+S380/200)*200*I380*H380</f>
        <v/>
      </c>
      <c r="U380">
        <f>((E380*F380/25000)+((P380/1000)*J380*S380/2.5))*I380*H380</f>
        <v/>
      </c>
      <c r="V380">
        <f>(E380*F380*(P380/1000)*J380*S380*I380*H380)/12500000</f>
        <v/>
      </c>
      <c r="W380">
        <f>IFERROR((((E380/15000)+(F380/50)+(S380/240)+((P380/6000)*J380))*200/4+(((E380/15000)*(F380/50))+(((P380/6000)*J380)*(S380/240)))*200/2+((E380/15000)*(F380/50)*((P380/6000)*J380)*(S380/240))*200)*(H380/1.0)/3,"")</f>
        <v/>
      </c>
      <c r="X380" s="6" t="n">
        <v>416</v>
      </c>
      <c r="Y380">
        <f>IFERROR(W380-X380,"")</f>
        <v/>
      </c>
      <c r="Z380">
        <f>IFERROR(ABS(Y380)/MAX(X380,1),"")</f>
        <v/>
      </c>
      <c r="AA380">
        <f>IFERROR(ROUND(((3*X380-(((E380/15000)+(F380/50)+(S380/240))*200/4+((E380/15000)*(F380/50))*200/2)*(H380/1.0))/(200/4+((S380/240))*200/2+((E380/15000)*(F380/50)*(S380/240))*200)*(H380/1.0)*6000)/J380,-1),"")</f>
        <v/>
      </c>
    </row>
    <row r="381">
      <c r="B381" s="7" t="inlineStr">
        <is>
          <t xml:space="preserve">  ↳ RA2CRFlakGuyGun</t>
        </is>
      </c>
      <c r="C381" s="7" t="inlineStr">
        <is>
          <t>Armament@PRIMARY</t>
        </is>
      </c>
      <c r="L381" s="6" t="n">
        <v>16000</v>
      </c>
      <c r="M381" s="6" t="n">
        <v>17</v>
      </c>
      <c r="N381" s="6" t="n">
        <v>1</v>
      </c>
      <c r="O381" s="6" t="n"/>
      <c r="P381" s="6" t="n">
        <v>5627</v>
      </c>
      <c r="Q381" s="6" t="n">
        <v>1</v>
      </c>
      <c r="R381">
        <f>M381+IF(MAX(N381-1,0)&gt;0,IF(ISBLANK(O381),5*MAX(N381-1,0),IF(ISNUMBER(O381),O381*MAX(N381-1,0),SUM(IFERROR(VALUE(TEXTSPLIT(O381,",")),0)))),0)</f>
        <v/>
      </c>
      <c r="S381">
        <f>IFERROR(L381*MAX(N381,1)/R381*IF(ISBLANK(K380),1,K380),0)</f>
        <v/>
      </c>
      <c r="AB381" s="7" t="inlineStr">
        <is>
          <t>^Warhead_Flak_Medium</t>
        </is>
      </c>
    </row>
    <row r="382">
      <c r="B382" s="7" t="inlineStr">
        <is>
          <t xml:space="preserve">  ↳ RA2FLAKAA</t>
        </is>
      </c>
      <c r="C382" s="7" t="inlineStr">
        <is>
          <t>Armament@PRIMARYAA</t>
        </is>
      </c>
      <c r="L382" s="6" t="n">
        <v>8000</v>
      </c>
      <c r="M382" s="6" t="n">
        <v>26</v>
      </c>
      <c r="N382" s="6" t="n">
        <v>1</v>
      </c>
      <c r="O382" s="6" t="n"/>
      <c r="P382" s="6" t="n">
        <v>7834</v>
      </c>
      <c r="Q382" s="6" t="n">
        <v>1</v>
      </c>
      <c r="R382">
        <f>M382+IF(MAX(N382-1,0)&gt;0,IF(ISBLANK(O382),5*MAX(N382-1,0),IF(ISNUMBER(O382),O382*MAX(N382-1,0),SUM(IFERROR(VALUE(TEXTSPLIT(O382,",")),0)))),0)</f>
        <v/>
      </c>
      <c r="S382">
        <f>IFERROR(L382*MAX(N382,1)/R382*IF(ISBLANK(K380),1,K380),0)</f>
        <v/>
      </c>
      <c r="AB382" s="7" t="inlineStr">
        <is>
          <t>^Warhead_Flak_Medium</t>
        </is>
      </c>
    </row>
    <row r="383">
      <c r="B383" s="7" t="inlineStr">
        <is>
          <t xml:space="preserve">  ↳ RA2CRFlakGuyGun</t>
        </is>
      </c>
      <c r="C383" s="7" t="inlineStr">
        <is>
          <t>Armament@GARRISONED</t>
        </is>
      </c>
      <c r="L383" s="6" t="n">
        <v>16000</v>
      </c>
      <c r="M383" s="6" t="n">
        <v>17</v>
      </c>
      <c r="N383" s="6" t="n">
        <v>1</v>
      </c>
      <c r="O383" s="6" t="n"/>
      <c r="P383" s="6" t="n">
        <v>5627</v>
      </c>
      <c r="Q383" s="6" t="n">
        <v>1</v>
      </c>
      <c r="R383">
        <f>M383+IF(MAX(N383-1,0)&gt;0,IF(ISBLANK(O383),5*MAX(N383-1,0),IF(ISNUMBER(O383),O383*MAX(N383-1,0),SUM(IFERROR(VALUE(TEXTSPLIT(O383,",")),0)))),0)</f>
        <v/>
      </c>
      <c r="S383">
        <f>IFERROR(L383*MAX(N383,1)/R383*IF(ISBLANK(K380),1,K380),0)</f>
        <v/>
      </c>
      <c r="AB383" s="7" t="inlineStr">
        <is>
          <t>^Warhead_Flak_Medium</t>
        </is>
      </c>
    </row>
    <row r="384">
      <c r="B384" s="7" t="inlineStr">
        <is>
          <t xml:space="preserve">  ↳ RA2FLAKAA</t>
        </is>
      </c>
      <c r="C384" s="7" t="inlineStr">
        <is>
          <t>Armament@GARRISONEDAA</t>
        </is>
      </c>
      <c r="L384" s="6" t="n">
        <v>8000</v>
      </c>
      <c r="M384" s="6" t="n">
        <v>26</v>
      </c>
      <c r="N384" s="6" t="n">
        <v>1</v>
      </c>
      <c r="O384" s="6" t="n"/>
      <c r="P384" s="6" t="n">
        <v>7834</v>
      </c>
      <c r="Q384" s="6" t="n">
        <v>1</v>
      </c>
      <c r="R384">
        <f>M384+IF(MAX(N384-1,0)&gt;0,IF(ISBLANK(O384),5*MAX(N384-1,0),IF(ISNUMBER(O384),O384*MAX(N384-1,0),SUM(IFERROR(VALUE(TEXTSPLIT(O384,",")),0)))),0)</f>
        <v/>
      </c>
      <c r="S384">
        <f>IFERROR(L384*MAX(N384,1)/R384*IF(ISBLANK(K380),1,K380),0)</f>
        <v/>
      </c>
      <c r="AB384" s="7" t="inlineStr">
        <is>
          <t>^Warhead_Flak_Medium</t>
        </is>
      </c>
    </row>
    <row r="385">
      <c r="B385" s="7" t="inlineStr">
        <is>
          <t xml:space="preserve">  ↳ RA2CRFlakGuyGun_elite</t>
        </is>
      </c>
      <c r="C385" s="7" t="inlineStr">
        <is>
          <t>Armament@PRIMARYE</t>
        </is>
      </c>
      <c r="L385" s="6" t="n">
        <v>16000</v>
      </c>
      <c r="M385" s="6" t="n">
        <v>17</v>
      </c>
      <c r="N385" s="6" t="n">
        <v>2</v>
      </c>
      <c r="O385" s="6" t="n">
        <v>3</v>
      </c>
      <c r="P385" s="6" t="n">
        <v>5900</v>
      </c>
      <c r="Q385" s="6" t="n">
        <v>1</v>
      </c>
      <c r="R385">
        <f>M385+IF(MAX(N385-1,0)&gt;0,IF(ISBLANK(O385),5*MAX(N385-1,0),IF(ISNUMBER(O385),O385*MAX(N385-1,0),SUM(IFERROR(VALUE(TEXTSPLIT(O385,",")),0)))),0)</f>
        <v/>
      </c>
      <c r="S385">
        <f>IFERROR(L385*MAX(N385,1)/R385*IF(ISBLANK(K380),1,K380),0)</f>
        <v/>
      </c>
      <c r="AB385" s="7" t="inlineStr">
        <is>
          <t>^Warhead_Flak_Medium</t>
        </is>
      </c>
    </row>
    <row r="386">
      <c r="B386" s="7" t="inlineStr">
        <is>
          <t xml:space="preserve">  ↳ RA2FLAKAA_elite</t>
        </is>
      </c>
      <c r="C386" s="7" t="inlineStr">
        <is>
          <t>Armament@PRIMARYAAE</t>
        </is>
      </c>
      <c r="L386" s="6" t="n">
        <v>8000</v>
      </c>
      <c r="M386" s="6" t="n">
        <v>26</v>
      </c>
      <c r="N386" s="6" t="n">
        <v>2</v>
      </c>
      <c r="O386" s="6" t="n">
        <v>3</v>
      </c>
      <c r="P386" s="6" t="n">
        <v>8834</v>
      </c>
      <c r="Q386" s="6" t="n">
        <v>1</v>
      </c>
      <c r="R386">
        <f>M386+IF(MAX(N386-1,0)&gt;0,IF(ISBLANK(O386),5*MAX(N386-1,0),IF(ISNUMBER(O386),O386*MAX(N386-1,0),SUM(IFERROR(VALUE(TEXTSPLIT(O386,",")),0)))),0)</f>
        <v/>
      </c>
      <c r="S386">
        <f>IFERROR(L386*MAX(N386,1)/R386*IF(ISBLANK(K380),1,K380),0)</f>
        <v/>
      </c>
      <c r="AB386" s="7" t="inlineStr">
        <is>
          <t>^Warhead_Flak_Medium</t>
        </is>
      </c>
    </row>
    <row r="387">
      <c r="B387" s="7" t="inlineStr">
        <is>
          <t xml:space="preserve">  ↳ RA2CRFlakGuyGun_elite</t>
        </is>
      </c>
      <c r="C387" s="7" t="inlineStr">
        <is>
          <t>Armament@GARRISONEDE</t>
        </is>
      </c>
      <c r="L387" s="6" t="n">
        <v>16000</v>
      </c>
      <c r="M387" s="6" t="n">
        <v>17</v>
      </c>
      <c r="N387" s="6" t="n">
        <v>2</v>
      </c>
      <c r="O387" s="6" t="n">
        <v>3</v>
      </c>
      <c r="P387" s="6" t="n">
        <v>5900</v>
      </c>
      <c r="Q387" s="6" t="n">
        <v>1</v>
      </c>
      <c r="R387">
        <f>M387+IF(MAX(N387-1,0)&gt;0,IF(ISBLANK(O387),5*MAX(N387-1,0),IF(ISNUMBER(O387),O387*MAX(N387-1,0),SUM(IFERROR(VALUE(TEXTSPLIT(O387,",")),0)))),0)</f>
        <v/>
      </c>
      <c r="S387">
        <f>IFERROR(L387*MAX(N387,1)/R387*IF(ISBLANK(K380),1,K380),0)</f>
        <v/>
      </c>
      <c r="AB387" s="7" t="inlineStr">
        <is>
          <t>^Warhead_Flak_Medium</t>
        </is>
      </c>
    </row>
    <row r="388">
      <c r="B388" s="7" t="inlineStr">
        <is>
          <t xml:space="preserve">  ↳ RA2FLAKAA_elite</t>
        </is>
      </c>
      <c r="C388" s="7" t="inlineStr">
        <is>
          <t>Armament@GARRISONEDAAE</t>
        </is>
      </c>
      <c r="L388" s="6" t="n">
        <v>8000</v>
      </c>
      <c r="M388" s="6" t="n">
        <v>26</v>
      </c>
      <c r="N388" s="6" t="n">
        <v>2</v>
      </c>
      <c r="O388" s="6" t="n">
        <v>3</v>
      </c>
      <c r="P388" s="6" t="n">
        <v>8834</v>
      </c>
      <c r="Q388" s="6" t="n">
        <v>1</v>
      </c>
      <c r="R388">
        <f>M388+IF(MAX(N388-1,0)&gt;0,IF(ISBLANK(O388),5*MAX(N388-1,0),IF(ISNUMBER(O388),O388*MAX(N388-1,0),SUM(IFERROR(VALUE(TEXTSPLIT(O388,",")),0)))),0)</f>
        <v/>
      </c>
      <c r="S388">
        <f>IFERROR(L388*MAX(N388,1)/R388*IF(ISBLANK(K380),1,K380),0)</f>
        <v/>
      </c>
      <c r="AB388" s="7" t="inlineStr">
        <is>
          <t>^Warhead_Flak_Medium</t>
        </is>
      </c>
    </row>
    <row r="389">
      <c r="A389" t="inlineStr">
        <is>
          <t>redalert2</t>
        </is>
      </c>
      <c r="B389" t="inlineStr">
        <is>
          <t>yuri_gatlingtrooper</t>
        </is>
      </c>
      <c r="C389" t="inlineStr">
        <is>
          <t>Gatling Trooper</t>
        </is>
      </c>
      <c r="D389" s="6" t="inlineStr">
        <is>
          <t>AntiTankAntiAirInfantry</t>
        </is>
      </c>
      <c r="E389" s="6" t="n">
        <v>36000</v>
      </c>
      <c r="F389" s="6" t="n">
        <v>45</v>
      </c>
      <c r="G389" t="inlineStr">
        <is>
          <t>Flak</t>
        </is>
      </c>
      <c r="H389" s="6" t="n">
        <v>0.75</v>
      </c>
      <c r="I389" s="6" t="n">
        <v>0.8</v>
      </c>
      <c r="J389" s="6" t="n">
        <v>1.25</v>
      </c>
      <c r="K389" t="n">
        <v>0.0108</v>
      </c>
      <c r="P389">
        <f>MAX(P390)</f>
        <v/>
      </c>
      <c r="S389">
        <f>S390</f>
        <v/>
      </c>
      <c r="T389">
        <f>(E389/100000+F389/100+(P389/1000)*J389/5+S389/200)*200*I389*H389</f>
        <v/>
      </c>
      <c r="U389">
        <f>((E389*F389/25000)+((P389/1000)*J389*S389/2.5))*I389*H389</f>
        <v/>
      </c>
      <c r="V389">
        <f>(E389*F389*(P389/1000)*J389*S389*I389*H389)/12500000</f>
        <v/>
      </c>
      <c r="W389">
        <f>IFERROR((((E389/15000)+(F389/50)+(S389/240)+((P389/6000)*J389))*200/4+(((E389/15000)*(F389/50))+(((P389/6000)*J389)*(S389/240)))*200/2+((E389/15000)*(F389/50)*((P389/6000)*J389)*(S389/240))*200)*(H389/1.0)/3,"")</f>
        <v/>
      </c>
      <c r="X389" s="6" t="n">
        <v>431</v>
      </c>
      <c r="Y389">
        <f>IFERROR(W389-X389,"")</f>
        <v/>
      </c>
      <c r="Z389">
        <f>IFERROR(ABS(Y389)/MAX(X389,1),"")</f>
        <v/>
      </c>
      <c r="AA389">
        <f>IFERROR(ROUND(((3*X389-(((E389/15000)+(F389/50)+(S389/240))*200/4+((E389/15000)*(F389/50))*200/2)*(H389/1.0))/(200/4+((S389/240))*200/2+((E389/15000)*(F389/50)*(S389/240))*200)*(H389/1.0)*6000)/J389,-1),"")</f>
        <v/>
      </c>
    </row>
    <row r="390">
      <c r="B390" s="7" t="inlineStr">
        <is>
          <t xml:space="preserve">  ↳ RA2GattlingInf</t>
        </is>
      </c>
      <c r="C390" s="7" t="inlineStr">
        <is>
          <t>Armament@PRIMARY</t>
        </is>
      </c>
      <c r="L390" s="6" t="n">
        <v>16000</v>
      </c>
      <c r="M390" s="6" t="n">
        <v>15</v>
      </c>
      <c r="N390" s="6" t="n">
        <v>1</v>
      </c>
      <c r="O390" s="6" t="n"/>
      <c r="P390" s="6" t="n">
        <v>5531</v>
      </c>
      <c r="Q390" s="6" t="n">
        <v>0.875</v>
      </c>
      <c r="R390">
        <f>M390+IF(MAX(N390-1,0)&gt;0,IF(ISBLANK(O390),5*MAX(N390-1,0),IF(ISNUMBER(O390),O390*MAX(N390-1,0),SUM(IFERROR(VALUE(TEXTSPLIT(O390,",")),0)))),0)</f>
        <v/>
      </c>
      <c r="S390">
        <f>IFERROR(L390*MAX(N390,1)/R390*IF(ISBLANK(K389),1,K389),0)</f>
        <v/>
      </c>
      <c r="AB390" s="7" t="inlineStr">
        <is>
          <t>^Warhead_Bullet_Light, ^Warhead_Bullet_Medium</t>
        </is>
      </c>
    </row>
    <row r="391">
      <c r="B391" s="7" t="inlineStr">
        <is>
          <t xml:space="preserve">  ↳ RA2GattlingInf</t>
        </is>
      </c>
      <c r="C391" s="7" t="inlineStr">
        <is>
          <t>Armament@GARRISONED</t>
        </is>
      </c>
      <c r="L391" s="6" t="n">
        <v>16000</v>
      </c>
      <c r="M391" s="6" t="n">
        <v>15</v>
      </c>
      <c r="N391" s="6" t="n">
        <v>1</v>
      </c>
      <c r="O391" s="6" t="n"/>
      <c r="P391" s="6" t="n">
        <v>5531</v>
      </c>
      <c r="Q391" s="6" t="n">
        <v>0.875</v>
      </c>
      <c r="R391">
        <f>M391+IF(MAX(N391-1,0)&gt;0,IF(ISBLANK(O391),5*MAX(N391-1,0),IF(ISNUMBER(O391),O391*MAX(N391-1,0),SUM(IFERROR(VALUE(TEXTSPLIT(O391,",")),0)))),0)</f>
        <v/>
      </c>
      <c r="S391">
        <f>IFERROR(L391*MAX(N391,1)/R391*IF(ISBLANK(K389),1,K389),0)</f>
        <v/>
      </c>
      <c r="AB391" s="7" t="inlineStr">
        <is>
          <t>^Warhead_Bullet_Light, ^Warhead_Bullet_Medium</t>
        </is>
      </c>
    </row>
    <row r="392">
      <c r="A392" t="inlineStr">
        <is>
          <t>redalert2</t>
        </is>
      </c>
      <c r="B392" t="inlineStr">
        <is>
          <t>yuri_initiate</t>
        </is>
      </c>
      <c r="C392" t="inlineStr">
        <is>
          <t>Yuri Initiate</t>
        </is>
      </c>
      <c r="D392" s="6" t="inlineStr">
        <is>
          <t>AntiTankAntiAirInfantry</t>
        </is>
      </c>
      <c r="E392" s="6" t="n">
        <v>24000</v>
      </c>
      <c r="F392" s="6" t="n">
        <v>66</v>
      </c>
      <c r="G392" t="inlineStr">
        <is>
          <t>Flak</t>
        </is>
      </c>
      <c r="H392" s="6" t="n">
        <v>1</v>
      </c>
      <c r="I392" s="6" t="n">
        <v>0.5</v>
      </c>
      <c r="J392" s="6" t="n">
        <v>1</v>
      </c>
      <c r="K392" t="n">
        <v>0.005</v>
      </c>
      <c r="P392">
        <f>MAX(P393,P395)</f>
        <v/>
      </c>
      <c r="S392">
        <f>S393+S395</f>
        <v/>
      </c>
      <c r="T392">
        <f>(E392/100000+F392/100+(P392/1000)*J392/5+S392/200)*200*I392*H392</f>
        <v/>
      </c>
      <c r="U392">
        <f>((E392*F392/25000)+((P392/1000)*J392*S392/2.5))*I392*H392</f>
        <v/>
      </c>
      <c r="V392">
        <f>(E392*F392*(P392/1000)*J392*S392*I392*H392)/12500000</f>
        <v/>
      </c>
      <c r="W392">
        <f>(T392+U392+V392)/3</f>
        <v/>
      </c>
      <c r="X392" s="6" t="n">
        <v>200</v>
      </c>
      <c r="Y392">
        <f>IFERROR(W392-X392,"")</f>
        <v/>
      </c>
      <c r="Z392">
        <f>IFERROR(ABS(Y392)/MAX(X392,1),"")</f>
        <v/>
      </c>
      <c r="AA392">
        <f>IFERROR((X392-(((E392/100000+F392/100+S392/200)*200*I392*H392)+((E392*F392/25000)*I392*H392))/3)/(((J392/5)*200*I392*H392)+((J392*S392/2.5)*I392*H392)+((E392*F392*J392*S392*I392*H392)/12500000))/3*1000,"")</f>
        <v/>
      </c>
    </row>
    <row r="393">
      <c r="B393" s="7" t="inlineStr">
        <is>
          <t xml:space="preserve">  ↳ RA2PsychicJab</t>
        </is>
      </c>
      <c r="C393" s="7" t="inlineStr">
        <is>
          <t>Armament@PRIMARY</t>
        </is>
      </c>
      <c r="L393" s="6" t="n">
        <v>8000</v>
      </c>
      <c r="M393" s="6" t="n">
        <v>15</v>
      </c>
      <c r="N393" s="6" t="n">
        <v>1</v>
      </c>
      <c r="O393" s="6" t="n"/>
      <c r="P393" s="6" t="n">
        <v>4440</v>
      </c>
      <c r="Q393" s="6" t="n">
        <v>1</v>
      </c>
      <c r="R393">
        <f>M393+IF(MAX(N393-1,0)&gt;0,IF(ISBLANK(O393),5*MAX(N393-1,0),IF(ISNUMBER(O393),O393*MAX(N393-1,0),SUM(IFERROR(VALUE(TEXTSPLIT(O393,",")),0)))),0)</f>
        <v/>
      </c>
      <c r="S393">
        <f>IFERROR(L393*MAX(N393,1)/R393*IF(ISBLANK(K392),1,K392),0)</f>
        <v/>
      </c>
      <c r="AB393" s="7" t="inlineStr">
        <is>
          <t>^Warhead_CannonHE_Medium</t>
        </is>
      </c>
    </row>
    <row r="394">
      <c r="B394" s="7" t="inlineStr">
        <is>
          <t xml:space="preserve">  ↳ RA2PsychicJab</t>
        </is>
      </c>
      <c r="C394" s="7" t="inlineStr">
        <is>
          <t>Armament@GARRISONED</t>
        </is>
      </c>
      <c r="L394" s="6" t="n">
        <v>8000</v>
      </c>
      <c r="M394" s="6" t="n">
        <v>15</v>
      </c>
      <c r="N394" s="6" t="n">
        <v>1</v>
      </c>
      <c r="O394" s="6" t="n"/>
      <c r="P394" s="6" t="n">
        <v>4440</v>
      </c>
      <c r="Q394" s="6" t="n">
        <v>1</v>
      </c>
      <c r="R394">
        <f>M394+IF(MAX(N394-1,0)&gt;0,IF(ISBLANK(O394),5*MAX(N394-1,0),IF(ISNUMBER(O394),O394*MAX(N394-1,0),SUM(IFERROR(VALUE(TEXTSPLIT(O394,",")),0)))),0)</f>
        <v/>
      </c>
      <c r="S394">
        <f>IFERROR(L394*MAX(N394,1)/R394*IF(ISBLANK(K392),1,K392),0)</f>
        <v/>
      </c>
      <c r="AB394" s="7" t="inlineStr">
        <is>
          <t>^Warhead_CannonHE_Medium</t>
        </is>
      </c>
    </row>
    <row r="395">
      <c r="B395" s="7" t="inlineStr">
        <is>
          <t xml:space="preserve">  ↳ RA2PsychicJab_elite</t>
        </is>
      </c>
      <c r="C395" s="7" t="inlineStr">
        <is>
          <t>Armament@PRIMARYELITE</t>
        </is>
      </c>
      <c r="L395" s="6" t="n">
        <v>8000</v>
      </c>
      <c r="M395" s="6" t="n">
        <v>15</v>
      </c>
      <c r="N395" s="6" t="n">
        <v>2</v>
      </c>
      <c r="O395" s="6" t="n">
        <v>3</v>
      </c>
      <c r="P395" s="6" t="n">
        <v>5440</v>
      </c>
      <c r="Q395" s="6" t="n">
        <v>1</v>
      </c>
      <c r="R395">
        <f>M395+IF(MAX(N395-1,0)&gt;0,IF(ISBLANK(O395),5*MAX(N395-1,0),IF(ISNUMBER(O395),O395*MAX(N395-1,0),SUM(IFERROR(VALUE(TEXTSPLIT(O395,",")),0)))),0)</f>
        <v/>
      </c>
      <c r="S395">
        <f>IFERROR(L395*MAX(N395,1)/R395*IF(ISBLANK(K392),1,K392),0)</f>
        <v/>
      </c>
      <c r="AB395" s="7" t="inlineStr">
        <is>
          <t>^Warhead_CannonHE_Medium</t>
        </is>
      </c>
    </row>
    <row r="396">
      <c r="B396" s="7" t="inlineStr">
        <is>
          <t xml:space="preserve">  ↳ RA2PsychicJab_elite</t>
        </is>
      </c>
      <c r="C396" s="7" t="inlineStr">
        <is>
          <t>Armament@GARRISONEDELITE</t>
        </is>
      </c>
      <c r="L396" s="6" t="n">
        <v>8000</v>
      </c>
      <c r="M396" s="6" t="n">
        <v>15</v>
      </c>
      <c r="N396" s="6" t="n">
        <v>2</v>
      </c>
      <c r="O396" s="6" t="n">
        <v>3</v>
      </c>
      <c r="P396" s="6" t="n">
        <v>5440</v>
      </c>
      <c r="Q396" s="6" t="n">
        <v>1</v>
      </c>
      <c r="R396">
        <f>M396+IF(MAX(N396-1,0)&gt;0,IF(ISBLANK(O396),5*MAX(N396-1,0),IF(ISNUMBER(O396),O396*MAX(N396-1,0),SUM(IFERROR(VALUE(TEXTSPLIT(O396,",")),0)))),0)</f>
        <v/>
      </c>
      <c r="S396">
        <f>IFERROR(L396*MAX(N396,1)/R396*IF(ISBLANK(K392),1,K392),0)</f>
        <v/>
      </c>
      <c r="AB396" s="7" t="inlineStr">
        <is>
          <t>^Warhead_CannonHE_Medium</t>
        </is>
      </c>
    </row>
    <row r="397">
      <c r="A397" t="inlineStr">
        <is>
          <t>redalert2mod</t>
        </is>
      </c>
      <c r="B397" t="inlineStr">
        <is>
          <t>asianalliance_asiantankkiller</t>
        </is>
      </c>
      <c r="C397" t="inlineStr">
        <is>
          <t>Asian Tank Killer</t>
        </is>
      </c>
      <c r="D397" s="6" t="inlineStr">
        <is>
          <t>AntiTankAntiAirInfantry</t>
        </is>
      </c>
      <c r="E397" s="6" t="n">
        <v>17000</v>
      </c>
      <c r="F397" s="6" t="n">
        <v>51</v>
      </c>
      <c r="G397" t="inlineStr">
        <is>
          <t>Flak</t>
        </is>
      </c>
      <c r="H397" s="6" t="n">
        <v>1</v>
      </c>
      <c r="I397" s="6" t="n">
        <v>0.5</v>
      </c>
      <c r="J397" s="6" t="n">
        <v>1</v>
      </c>
      <c r="P397">
        <f>MAX(P398,P399,P400,P401)</f>
        <v/>
      </c>
      <c r="S397">
        <f>S398+S399+S400+S401</f>
        <v/>
      </c>
      <c r="T397">
        <f>(E397/100000+F397/100+(P397/1000)*J397/5+S397/200)*200*I397*H397</f>
        <v/>
      </c>
      <c r="U397">
        <f>((E397*F397/25000)+((P397/1000)*J397*S397/2.5))*I397*H397</f>
        <v/>
      </c>
      <c r="V397">
        <f>(E397*F397*(P397/1000)*J397*S397*I397*H397)/12500000</f>
        <v/>
      </c>
      <c r="W397">
        <f>(T397+U397+V397)/3</f>
        <v/>
      </c>
      <c r="X397" s="6" t="n">
        <v>300</v>
      </c>
      <c r="Y397">
        <f>IFERROR(W397-X397,"")</f>
        <v/>
      </c>
      <c r="Z397">
        <f>IFERROR(ABS(Y397)/MAX(X397,1),"")</f>
        <v/>
      </c>
      <c r="AA397">
        <f>IFERROR((X397-(((E397/100000+F397/100+S397/200)*200*I397*H397)+((E397*F397/25000)*I397*H397))/3)/(((J397/5)*200*I397*H397)+((J397*S397/2.5)*I397*H397)+((E397*F397*J397*S397*I397*H397)/12500000))/3*1000,"")</f>
        <v/>
      </c>
    </row>
    <row r="398">
      <c r="B398" s="7" t="inlineStr">
        <is>
          <t xml:space="preserve">  ↳ AsianTankKillerRocket</t>
        </is>
      </c>
      <c r="C398" s="7" t="inlineStr">
        <is>
          <t>Armament@PRIMARY</t>
        </is>
      </c>
      <c r="L398" s="6" t="n">
        <v>34000</v>
      </c>
      <c r="M398" s="6" t="n">
        <v>75</v>
      </c>
      <c r="N398" s="6" t="n">
        <v>1</v>
      </c>
      <c r="O398" s="6" t="n"/>
      <c r="P398" s="6" t="n">
        <v>6460</v>
      </c>
      <c r="Q398" s="6" t="n">
        <v>0.75</v>
      </c>
      <c r="R398">
        <f>M398+IF(MAX(N398-1,0)&gt;0,IF(ISBLANK(O398),5*MAX(N398-1,0),IF(ISNUMBER(O398),O398*MAX(N398-1,0),SUM(IFERROR(VALUE(TEXTSPLIT(O398,",")),0)))),0)</f>
        <v/>
      </c>
      <c r="S398">
        <f>IFERROR(L398*MAX(N398,1)/R398*IF(ISBLANK(K397),1,K397),0)</f>
        <v/>
      </c>
      <c r="AB398" s="7" t="inlineStr">
        <is>
          <t>^Warhead_MissileAP_Light</t>
        </is>
      </c>
    </row>
    <row r="399">
      <c r="B399" s="7" t="inlineStr">
        <is>
          <t xml:space="preserve">  ↳ AsianTankKillerRocket_upgrade</t>
        </is>
      </c>
      <c r="C399" s="7" t="inlineStr">
        <is>
          <t>Armament@Upgrade</t>
        </is>
      </c>
      <c r="L399" s="6" t="n">
        <v>34000</v>
      </c>
      <c r="M399" s="6" t="n">
        <v>75</v>
      </c>
      <c r="N399" s="6" t="n">
        <v>1</v>
      </c>
      <c r="O399" s="6" t="n"/>
      <c r="P399" s="6" t="n">
        <v>6460</v>
      </c>
      <c r="Q399" s="6" t="n">
        <v>0.75</v>
      </c>
      <c r="R399">
        <f>M399+IF(MAX(N399-1,0)&gt;0,IF(ISBLANK(O399),5*MAX(N399-1,0),IF(ISNUMBER(O399),O399*MAX(N399-1,0),SUM(IFERROR(VALUE(TEXTSPLIT(O399,",")),0)))),0)</f>
        <v/>
      </c>
      <c r="S399">
        <f>IFERROR(L399*MAX(N399,1)/R399*IF(ISBLANK(K397),1,K397),0)</f>
        <v/>
      </c>
      <c r="AB399" s="7" t="inlineStr">
        <is>
          <t>^Warhead_MissileAP_Light</t>
        </is>
      </c>
    </row>
    <row r="400">
      <c r="B400" s="7" t="inlineStr">
        <is>
          <t xml:space="preserve">  ↳ AsianTankKillerRocket_elite</t>
        </is>
      </c>
      <c r="C400" s="7" t="inlineStr">
        <is>
          <t>Armament@PRIMARYELITE</t>
        </is>
      </c>
      <c r="L400" s="6" t="n">
        <v>68000</v>
      </c>
      <c r="M400" s="6" t="n">
        <v>75</v>
      </c>
      <c r="N400" s="6" t="n">
        <v>1</v>
      </c>
      <c r="O400" s="6" t="n"/>
      <c r="P400" s="6" t="n">
        <v>7460</v>
      </c>
      <c r="Q400" s="6" t="n">
        <v>0.75</v>
      </c>
      <c r="R400">
        <f>M400+IF(MAX(N400-1,0)&gt;0,IF(ISBLANK(O400),5*MAX(N400-1,0),IF(ISNUMBER(O400),O400*MAX(N400-1,0),SUM(IFERROR(VALUE(TEXTSPLIT(O400,",")),0)))),0)</f>
        <v/>
      </c>
      <c r="S400">
        <f>IFERROR(L400*MAX(N400,1)/R400*IF(ISBLANK(K397),1,K397),0)</f>
        <v/>
      </c>
      <c r="AB400" s="7" t="inlineStr">
        <is>
          <t>^Warhead_MissileAP_Light</t>
        </is>
      </c>
    </row>
    <row r="401">
      <c r="B401" s="7" t="inlineStr">
        <is>
          <t xml:space="preserve">  ↳ AsianTankKillerRocket_upgrade_elite</t>
        </is>
      </c>
      <c r="C401" s="7" t="inlineStr">
        <is>
          <t>Armament@PRIMARYELITEUpgrade</t>
        </is>
      </c>
      <c r="L401" s="6" t="n">
        <v>68000</v>
      </c>
      <c r="M401" s="6" t="n">
        <v>75</v>
      </c>
      <c r="N401" s="6" t="n">
        <v>1</v>
      </c>
      <c r="O401" s="6" t="n"/>
      <c r="P401" s="6" t="n">
        <v>7460</v>
      </c>
      <c r="Q401" s="6" t="n">
        <v>0.75</v>
      </c>
      <c r="R401">
        <f>M401+IF(MAX(N401-1,0)&gt;0,IF(ISBLANK(O401),5*MAX(N401-1,0),IF(ISNUMBER(O401),O401*MAX(N401-1,0),SUM(IFERROR(VALUE(TEXTSPLIT(O401,",")),0)))),0)</f>
        <v/>
      </c>
      <c r="S401">
        <f>IFERROR(L401*MAX(N401,1)/R401*IF(ISBLANK(K397),1,K397),0)</f>
        <v/>
      </c>
      <c r="AB401" s="7" t="inlineStr">
        <is>
          <t>^Warhead_MissileAP_Light</t>
        </is>
      </c>
    </row>
    <row r="402">
      <c r="B402" s="7" t="inlineStr">
        <is>
          <t xml:space="preserve">  ↳ AsianTankKillerRocket</t>
        </is>
      </c>
      <c r="C402" s="7" t="inlineStr">
        <is>
          <t>Armament@GARRISONED</t>
        </is>
      </c>
      <c r="L402" s="6" t="n">
        <v>34000</v>
      </c>
      <c r="M402" s="6" t="n">
        <v>75</v>
      </c>
      <c r="N402" s="6" t="n">
        <v>1</v>
      </c>
      <c r="O402" s="6" t="n"/>
      <c r="P402" s="6" t="n">
        <v>6460</v>
      </c>
      <c r="Q402" s="6" t="n">
        <v>0.75</v>
      </c>
      <c r="R402">
        <f>M402+IF(MAX(N402-1,0)&gt;0,IF(ISBLANK(O402),5*MAX(N402-1,0),IF(ISNUMBER(O402),O402*MAX(N402-1,0),SUM(IFERROR(VALUE(TEXTSPLIT(O402,",")),0)))),0)</f>
        <v/>
      </c>
      <c r="S402">
        <f>IFERROR(L402*MAX(N402,1)/R402*IF(ISBLANK(K397),1,K397),0)</f>
        <v/>
      </c>
      <c r="AB402" s="7" t="inlineStr">
        <is>
          <t>^Warhead_MissileAP_Light</t>
        </is>
      </c>
    </row>
    <row r="403">
      <c r="B403" s="7" t="inlineStr">
        <is>
          <t xml:space="preserve">  ↳ AsianTankKillerRocket_upgrade</t>
        </is>
      </c>
      <c r="C403" s="7" t="inlineStr">
        <is>
          <t>Armament@GARRISONEDUpgrade</t>
        </is>
      </c>
      <c r="L403" s="6" t="n">
        <v>34000</v>
      </c>
      <c r="M403" s="6" t="n">
        <v>75</v>
      </c>
      <c r="N403" s="6" t="n">
        <v>1</v>
      </c>
      <c r="O403" s="6" t="n"/>
      <c r="P403" s="6" t="n">
        <v>6460</v>
      </c>
      <c r="Q403" s="6" t="n">
        <v>0.75</v>
      </c>
      <c r="R403">
        <f>M403+IF(MAX(N403-1,0)&gt;0,IF(ISBLANK(O403),5*MAX(N403-1,0),IF(ISNUMBER(O403),O403*MAX(N403-1,0),SUM(IFERROR(VALUE(TEXTSPLIT(O403,",")),0)))),0)</f>
        <v/>
      </c>
      <c r="S403">
        <f>IFERROR(L403*MAX(N403,1)/R403*IF(ISBLANK(K397),1,K397),0)</f>
        <v/>
      </c>
      <c r="AB403" s="7" t="inlineStr">
        <is>
          <t>^Warhead_MissileAP_Light</t>
        </is>
      </c>
    </row>
    <row r="404">
      <c r="B404" s="7" t="inlineStr">
        <is>
          <t xml:space="preserve">  ↳ AsianTankKillerRocket_elite</t>
        </is>
      </c>
      <c r="C404" s="7" t="inlineStr">
        <is>
          <t>Armament@GARRISONEDELITE</t>
        </is>
      </c>
      <c r="L404" s="6" t="n">
        <v>68000</v>
      </c>
      <c r="M404" s="6" t="n">
        <v>75</v>
      </c>
      <c r="N404" s="6" t="n">
        <v>1</v>
      </c>
      <c r="O404" s="6" t="n"/>
      <c r="P404" s="6" t="n">
        <v>7460</v>
      </c>
      <c r="Q404" s="6" t="n">
        <v>0.75</v>
      </c>
      <c r="R404">
        <f>M404+IF(MAX(N404-1,0)&gt;0,IF(ISBLANK(O404),5*MAX(N404-1,0),IF(ISNUMBER(O404),O404*MAX(N404-1,0),SUM(IFERROR(VALUE(TEXTSPLIT(O404,",")),0)))),0)</f>
        <v/>
      </c>
      <c r="S404">
        <f>IFERROR(L404*MAX(N404,1)/R404*IF(ISBLANK(K397),1,K397),0)</f>
        <v/>
      </c>
      <c r="AB404" s="7" t="inlineStr">
        <is>
          <t>^Warhead_MissileAP_Light</t>
        </is>
      </c>
    </row>
    <row r="405">
      <c r="B405" s="7" t="inlineStr">
        <is>
          <t xml:space="preserve">  ↳ AsianTankKillerRocket_upgrade_elite</t>
        </is>
      </c>
      <c r="C405" s="7" t="inlineStr">
        <is>
          <t>Armament@GARRISONEDELITEUpgrade</t>
        </is>
      </c>
      <c r="L405" s="6" t="n">
        <v>68000</v>
      </c>
      <c r="M405" s="6" t="n">
        <v>75</v>
      </c>
      <c r="N405" s="6" t="n">
        <v>1</v>
      </c>
      <c r="O405" s="6" t="n"/>
      <c r="P405" s="6" t="n">
        <v>7460</v>
      </c>
      <c r="Q405" s="6" t="n">
        <v>0.75</v>
      </c>
      <c r="R405">
        <f>M405+IF(MAX(N405-1,0)&gt;0,IF(ISBLANK(O405),5*MAX(N405-1,0),IF(ISNUMBER(O405),O405*MAX(N405-1,0),SUM(IFERROR(VALUE(TEXTSPLIT(O405,",")),0)))),0)</f>
        <v/>
      </c>
      <c r="S405">
        <f>IFERROR(L405*MAX(N405,1)/R405*IF(ISBLANK(K397),1,K397),0)</f>
        <v/>
      </c>
      <c r="AB405" s="7" t="inlineStr">
        <is>
          <t>^Warhead_MissileAP_Light</t>
        </is>
      </c>
    </row>
    <row r="406">
      <c r="A406" t="inlineStr">
        <is>
          <t>redalert2mod</t>
        </is>
      </c>
      <c r="B406" t="inlineStr">
        <is>
          <t>asianalliance_veteranarcher</t>
        </is>
      </c>
      <c r="C406" t="inlineStr">
        <is>
          <t>Veteran Archer</t>
        </is>
      </c>
      <c r="D406" s="6" t="inlineStr">
        <is>
          <t>AntiTankAntiAirInfantry</t>
        </is>
      </c>
      <c r="E406" s="6" t="n">
        <v>14000</v>
      </c>
      <c r="F406" s="6" t="n">
        <v>68</v>
      </c>
      <c r="G406" t="inlineStr">
        <is>
          <t>Flak</t>
        </is>
      </c>
      <c r="H406" s="6" t="n">
        <v>1</v>
      </c>
      <c r="I406" s="6" t="n">
        <v>0.5</v>
      </c>
      <c r="J406" s="6" t="n">
        <v>1</v>
      </c>
      <c r="P406">
        <f>MAX(P407,P408)</f>
        <v/>
      </c>
      <c r="S406">
        <f>S407+S408</f>
        <v/>
      </c>
      <c r="T406">
        <f>(E406/100000+F406/100+(P406/1000)*J406/5+S406/200)*200*I406*H406</f>
        <v/>
      </c>
      <c r="U406">
        <f>((E406*F406/25000)+((P406/1000)*J406*S406/2.5))*I406*H406</f>
        <v/>
      </c>
      <c r="V406">
        <f>(E406*F406*(P406/1000)*J406*S406*I406*H406)/12500000</f>
        <v/>
      </c>
      <c r="W406">
        <f>IFERROR((((E406/20000)+(F406/70)+(S406/200)+((P406/7000)*J406))*500/4+(((E406/20000)*(F406/70))+(((P406/7000)*J406)*(S406/200)))*500/2+((E406/20000)*(F406/70)*((P406/7000)*J406)*(S406/200))*500)*(H406/1.0)/3,"")</f>
        <v/>
      </c>
      <c r="X406" s="6" t="n">
        <v>450</v>
      </c>
      <c r="Y406">
        <f>IFERROR(W406-X406,"")</f>
        <v/>
      </c>
      <c r="Z406">
        <f>IFERROR(ABS(Y406)/MAX(X406,1),"")</f>
        <v/>
      </c>
      <c r="AA406">
        <f>IFERROR(ROUND(((3*X406-(((E406/20000)+(F406/70)+(S406/200))*500/4+((E406/20000)*(F406/70))*500/2)*(H406/1.0))/(500/4+((S406/200))*500/2+((E406/20000)*(F406/70)*(S406/200))*500)*(H406/1.0)*7000)/J406,-1),"")</f>
        <v/>
      </c>
    </row>
    <row r="407">
      <c r="B407" s="7" t="inlineStr">
        <is>
          <t xml:space="preserve">  ↳ AsianMaidenBow</t>
        </is>
      </c>
      <c r="C407" s="7" t="inlineStr">
        <is>
          <t>Armament@PRIMARY</t>
        </is>
      </c>
      <c r="L407" s="6" t="n">
        <v>12000</v>
      </c>
      <c r="M407" s="6" t="n">
        <v>68</v>
      </c>
      <c r="N407" s="6" t="n">
        <v>3</v>
      </c>
      <c r="O407" s="6" t="n">
        <v>0</v>
      </c>
      <c r="P407" s="6" t="n">
        <v>6740</v>
      </c>
      <c r="Q407" s="6" t="n">
        <v>1</v>
      </c>
      <c r="R407">
        <f>M407+IF(MAX(N407-1,0)&gt;0,IF(ISBLANK(O407),5*MAX(N407-1,0),IF(ISNUMBER(O407),O407*MAX(N407-1,0),SUM(IFERROR(VALUE(TEXTSPLIT(O407,",")),0)))),0)</f>
        <v/>
      </c>
      <c r="S407">
        <f>IFERROR(L407*MAX(N407,1)/R407*IF(ISBLANK(K406),1,K406),0)</f>
        <v/>
      </c>
      <c r="AB407" s="7" t="inlineStr">
        <is>
          <t>AsianPhotonCannon, ^Grenade, ^ArrowWeapon</t>
        </is>
      </c>
    </row>
    <row r="408">
      <c r="B408" s="7" t="inlineStr">
        <is>
          <t xml:space="preserve">  ↳ AsianMaidenBow_elite</t>
        </is>
      </c>
      <c r="C408" s="7" t="inlineStr">
        <is>
          <t>Armament@ELITE</t>
        </is>
      </c>
      <c r="L408" s="6" t="n">
        <v>12000</v>
      </c>
      <c r="M408" s="6" t="n">
        <v>68</v>
      </c>
      <c r="N408" s="6" t="n">
        <v>6</v>
      </c>
      <c r="O408" s="6" t="n">
        <v>0</v>
      </c>
      <c r="P408" s="6" t="n">
        <v>7740</v>
      </c>
      <c r="Q408" s="6" t="n">
        <v>1</v>
      </c>
      <c r="R408">
        <f>M408+IF(MAX(N408-1,0)&gt;0,IF(ISBLANK(O408),5*MAX(N408-1,0),IF(ISNUMBER(O408),O408*MAX(N408-1,0),SUM(IFERROR(VALUE(TEXTSPLIT(O408,",")),0)))),0)</f>
        <v/>
      </c>
      <c r="S408">
        <f>IFERROR(L408*MAX(N408,1)/R408*IF(ISBLANK(K406),1,K406),0)</f>
        <v/>
      </c>
      <c r="AB408" s="7" t="inlineStr">
        <is>
          <t>AsianMaidenBow</t>
        </is>
      </c>
    </row>
    <row r="409">
      <c r="B409" s="7" t="inlineStr">
        <is>
          <t xml:space="preserve">  ↳ AsianMaidenBow</t>
        </is>
      </c>
      <c r="C409" s="7" t="inlineStr">
        <is>
          <t>Armament@GARRISONED</t>
        </is>
      </c>
      <c r="L409" s="6" t="n">
        <v>12000</v>
      </c>
      <c r="M409" s="6" t="n">
        <v>68</v>
      </c>
      <c r="N409" s="6" t="n">
        <v>3</v>
      </c>
      <c r="O409" s="6" t="n">
        <v>0</v>
      </c>
      <c r="P409" s="6" t="n">
        <v>6740</v>
      </c>
      <c r="Q409" s="6" t="n">
        <v>1</v>
      </c>
      <c r="R409">
        <f>M409+IF(MAX(N409-1,0)&gt;0,IF(ISBLANK(O409),5*MAX(N409-1,0),IF(ISNUMBER(O409),O409*MAX(N409-1,0),SUM(IFERROR(VALUE(TEXTSPLIT(O409,",")),0)))),0)</f>
        <v/>
      </c>
      <c r="S409">
        <f>IFERROR(L409*MAX(N409,1)/R409*IF(ISBLANK(K406),1,K406),0)</f>
        <v/>
      </c>
      <c r="AB409" s="7" t="inlineStr">
        <is>
          <t>AsianPhotonCannon, ^Grenade, ^ArrowWeapon</t>
        </is>
      </c>
    </row>
    <row r="410">
      <c r="B410" s="7" t="inlineStr">
        <is>
          <t xml:space="preserve">  ↳ AsianMaidenBow_elite</t>
        </is>
      </c>
      <c r="C410" s="7" t="inlineStr">
        <is>
          <t>Armament@GARRISONEDELITE</t>
        </is>
      </c>
      <c r="L410" s="6" t="n">
        <v>12000</v>
      </c>
      <c r="M410" s="6" t="n">
        <v>68</v>
      </c>
      <c r="N410" s="6" t="n">
        <v>6</v>
      </c>
      <c r="O410" s="6" t="n">
        <v>0</v>
      </c>
      <c r="P410" s="6" t="n">
        <v>7740</v>
      </c>
      <c r="Q410" s="6" t="n">
        <v>1</v>
      </c>
      <c r="R410">
        <f>M410+IF(MAX(N410-1,0)&gt;0,IF(ISBLANK(O410),5*MAX(N410-1,0),IF(ISNUMBER(O410),O410*MAX(N410-1,0),SUM(IFERROR(VALUE(TEXTSPLIT(O410,",")),0)))),0)</f>
        <v/>
      </c>
      <c r="S410">
        <f>IFERROR(L410*MAX(N410,1)/R410*IF(ISBLANK(K406),1,K406),0)</f>
        <v/>
      </c>
      <c r="AB410" s="7" t="inlineStr">
        <is>
          <t>AsianMaidenBow</t>
        </is>
      </c>
    </row>
    <row r="411">
      <c r="A411" t="inlineStr">
        <is>
          <t>redalert2mod</t>
        </is>
      </c>
      <c r="B411" t="inlineStr">
        <is>
          <t>steelconsortium_clonetrooper</t>
        </is>
      </c>
      <c r="C411" t="inlineStr">
        <is>
          <t>Clone Trooper</t>
        </is>
      </c>
      <c r="D411" s="6" t="inlineStr">
        <is>
          <t>AntiTankAntiAirInfantry</t>
        </is>
      </c>
      <c r="E411" s="6" t="n">
        <v>17000</v>
      </c>
      <c r="F411" s="6" t="n">
        <v>57</v>
      </c>
      <c r="G411" t="inlineStr">
        <is>
          <t>Flak</t>
        </is>
      </c>
      <c r="H411" s="6" t="n">
        <v>1</v>
      </c>
      <c r="I411" s="6" t="n">
        <v>1</v>
      </c>
      <c r="J411" s="6" t="n">
        <v>1</v>
      </c>
      <c r="K411" t="n">
        <v>0.0091</v>
      </c>
      <c r="P411">
        <f>MAX(P412,P413,P416,P417)</f>
        <v/>
      </c>
      <c r="S411">
        <f>S412+S413+S416+S417</f>
        <v/>
      </c>
      <c r="T411">
        <f>(E411/100000+F411/100+(P411/1000)*J411/5+S411/200)*200*I411*H411</f>
        <v/>
      </c>
      <c r="U411">
        <f>((E411*F411/25000)+((P411/1000)*J411*S411/2.5))*I411*H411</f>
        <v/>
      </c>
      <c r="V411">
        <f>(E411*F411*(P411/1000)*J411*S411*I411*H411)/12500000</f>
        <v/>
      </c>
      <c r="W411">
        <f>(T411+U411+V411)/3</f>
        <v/>
      </c>
      <c r="X411" s="6" t="n">
        <v>143</v>
      </c>
      <c r="Y411">
        <f>IFERROR(W411-X411,"")</f>
        <v/>
      </c>
      <c r="Z411">
        <f>IFERROR(ABS(Y411)/MAX(X411,1),"")</f>
        <v/>
      </c>
      <c r="AA411">
        <f>IFERROR((X411-(((E411/100000+F411/100+S411/200)*200*I411*H411)+((E411*F411/25000)*I411*H411))/3)/(((J411/5)*200*I411*H411)+((J411*S411/2.5)*I411*H411)+((E411*F411*J411*S411*I411*H411)/12500000))/3*1000,"")</f>
        <v/>
      </c>
    </row>
    <row r="412">
      <c r="B412" s="7" t="inlineStr">
        <is>
          <t xml:space="preserve">  ↳ SteelCloneGun</t>
        </is>
      </c>
      <c r="C412" s="7" t="inlineStr">
        <is>
          <t>Armament@PRIMARY</t>
        </is>
      </c>
      <c r="L412" s="6" t="n">
        <v>6000</v>
      </c>
      <c r="M412" s="6" t="n">
        <v>25</v>
      </c>
      <c r="N412" s="6" t="n">
        <v>1</v>
      </c>
      <c r="O412" s="6" t="n"/>
      <c r="P412" s="6" t="n">
        <v>6463</v>
      </c>
      <c r="Q412" s="6" t="n">
        <v>1</v>
      </c>
      <c r="R412">
        <f>M412+IF(MAX(N412-1,0)&gt;0,IF(ISBLANK(O412),5*MAX(N412-1,0),IF(ISNUMBER(O412),O412*MAX(N412-1,0),SUM(IFERROR(VALUE(TEXTSPLIT(O412,",")),0)))),0)</f>
        <v/>
      </c>
      <c r="S412">
        <f>IFERROR(L412*MAX(N412,1)/R412*IF(ISBLANK(K411),1,K411),0)</f>
        <v/>
      </c>
      <c r="AB412" s="7" t="inlineStr">
        <is>
          <t>^Warhead_CannonHE_Heavy, ^Warhead_MissileAP_Medium, ^Warhead_Bullet_Light</t>
        </is>
      </c>
    </row>
    <row r="413">
      <c r="B413" s="7" t="inlineStr">
        <is>
          <t xml:space="preserve">  ↳ SteelCloneGun_elite</t>
        </is>
      </c>
      <c r="C413" s="7" t="inlineStr">
        <is>
          <t>Armament@ELITE</t>
        </is>
      </c>
      <c r="L413" s="6" t="n">
        <v>6000</v>
      </c>
      <c r="M413" s="6" t="n">
        <v>25</v>
      </c>
      <c r="N413" s="6" t="n">
        <v>2</v>
      </c>
      <c r="O413" s="6" t="n">
        <v>3</v>
      </c>
      <c r="P413" s="6" t="n">
        <v>6000</v>
      </c>
      <c r="Q413" s="6" t="n">
        <v>1</v>
      </c>
      <c r="R413">
        <f>M413+IF(MAX(N413-1,0)&gt;0,IF(ISBLANK(O413),5*MAX(N413-1,0),IF(ISNUMBER(O413),O413*MAX(N413-1,0),SUM(IFERROR(VALUE(TEXTSPLIT(O413,",")),0)))),0)</f>
        <v/>
      </c>
      <c r="S413">
        <f>IFERROR(L413*MAX(N413,1)/R413*IF(ISBLANK(K411),1,K411),0)</f>
        <v/>
      </c>
      <c r="AB413" s="7" t="inlineStr">
        <is>
          <t>^Warhead_CannonHE_Heavy, ^Warhead_MissileAP_Medium, ^Warhead_Bullet_Light</t>
        </is>
      </c>
    </row>
    <row r="414">
      <c r="B414" s="7" t="inlineStr">
        <is>
          <t xml:space="preserve">  ↳ SteelCloneGun</t>
        </is>
      </c>
      <c r="C414" s="7" t="inlineStr">
        <is>
          <t>Armament@GARRISONED</t>
        </is>
      </c>
      <c r="L414" s="6" t="n">
        <v>6000</v>
      </c>
      <c r="M414" s="6" t="n">
        <v>25</v>
      </c>
      <c r="N414" s="6" t="n">
        <v>1</v>
      </c>
      <c r="O414" s="6" t="n"/>
      <c r="P414" s="6" t="n">
        <v>6463</v>
      </c>
      <c r="Q414" s="6" t="n">
        <v>1</v>
      </c>
      <c r="R414">
        <f>M414+IF(MAX(N414-1,0)&gt;0,IF(ISBLANK(O414),5*MAX(N414-1,0),IF(ISNUMBER(O414),O414*MAX(N414-1,0),SUM(IFERROR(VALUE(TEXTSPLIT(O414,",")),0)))),0)</f>
        <v/>
      </c>
      <c r="S414">
        <f>IFERROR(L414*MAX(N414,1)/R414*IF(ISBLANK(K411),1,K411),0)</f>
        <v/>
      </c>
      <c r="AB414" s="7" t="inlineStr">
        <is>
          <t>^Warhead_CannonHE_Heavy, ^Warhead_MissileAP_Medium, ^Warhead_Bullet_Light</t>
        </is>
      </c>
    </row>
    <row r="415">
      <c r="B415" s="7" t="inlineStr">
        <is>
          <t xml:space="preserve">  ↳ SteelCloneGun_elite</t>
        </is>
      </c>
      <c r="C415" s="7" t="inlineStr">
        <is>
          <t>Armament@GARRISONEDELITE</t>
        </is>
      </c>
      <c r="L415" s="6" t="n">
        <v>6000</v>
      </c>
      <c r="M415" s="6" t="n">
        <v>25</v>
      </c>
      <c r="N415" s="6" t="n">
        <v>2</v>
      </c>
      <c r="O415" s="6" t="n">
        <v>3</v>
      </c>
      <c r="P415" s="6" t="n">
        <v>6000</v>
      </c>
      <c r="Q415" s="6" t="n">
        <v>1</v>
      </c>
      <c r="R415">
        <f>M415+IF(MAX(N415-1,0)&gt;0,IF(ISBLANK(O415),5*MAX(N415-1,0),IF(ISNUMBER(O415),O415*MAX(N415-1,0),SUM(IFERROR(VALUE(TEXTSPLIT(O415,",")),0)))),0)</f>
        <v/>
      </c>
      <c r="S415">
        <f>IFERROR(L415*MAX(N415,1)/R415*IF(ISBLANK(K411),1,K411),0)</f>
        <v/>
      </c>
      <c r="AB415" s="7" t="inlineStr">
        <is>
          <t>^Warhead_CannonHE_Heavy, ^Warhead_MissileAP_Medium, ^Warhead_Bullet_Light</t>
        </is>
      </c>
    </row>
    <row r="416">
      <c r="B416" s="7" t="inlineStr">
        <is>
          <t xml:space="preserve">  ↳ SteelCloneGunResonance</t>
        </is>
      </c>
      <c r="C416" s="7" t="inlineStr">
        <is>
          <t>Armament@UpgradePRIMARY</t>
        </is>
      </c>
      <c r="L416" s="6" t="n">
        <v>6000</v>
      </c>
      <c r="M416" s="6" t="n">
        <v>25</v>
      </c>
      <c r="N416" s="6" t="n">
        <v>1</v>
      </c>
      <c r="O416" s="6" t="n"/>
      <c r="P416" s="6" t="n">
        <v>6463</v>
      </c>
      <c r="Q416" s="6" t="n">
        <v>1</v>
      </c>
      <c r="R416">
        <f>M416+IF(MAX(N416-1,0)&gt;0,IF(ISBLANK(O416),5*MAX(N416-1,0),IF(ISNUMBER(O416),O416*MAX(N416-1,0),SUM(IFERROR(VALUE(TEXTSPLIT(O416,",")),0)))),0)</f>
        <v/>
      </c>
      <c r="S416">
        <f>IFERROR(L416*MAX(N416,1)/R416*IF(ISBLANK(K411),1,K411),0)</f>
        <v/>
      </c>
      <c r="AB416" s="7" t="inlineStr">
        <is>
          <t>^Warhead_CannonHE_Heavy, ^Warhead_MissileAP_Medium, ^Warhead_Bullet_Light</t>
        </is>
      </c>
    </row>
    <row r="417">
      <c r="B417" s="7" t="inlineStr">
        <is>
          <t xml:space="preserve">  ↳ SteelCloneGunResonance_elite</t>
        </is>
      </c>
      <c r="C417" s="7" t="inlineStr">
        <is>
          <t>Armament@UpgradeELITE</t>
        </is>
      </c>
      <c r="L417" s="6" t="n">
        <v>6000</v>
      </c>
      <c r="M417" s="6" t="n">
        <v>25</v>
      </c>
      <c r="N417" s="6" t="n">
        <v>2</v>
      </c>
      <c r="O417" s="6" t="n">
        <v>3</v>
      </c>
      <c r="P417" s="6" t="n">
        <v>6000</v>
      </c>
      <c r="Q417" s="6" t="n">
        <v>1</v>
      </c>
      <c r="R417">
        <f>M417+IF(MAX(N417-1,0)&gt;0,IF(ISBLANK(O417),5*MAX(N417-1,0),IF(ISNUMBER(O417),O417*MAX(N417-1,0),SUM(IFERROR(VALUE(TEXTSPLIT(O417,",")),0)))),0)</f>
        <v/>
      </c>
      <c r="S417">
        <f>IFERROR(L417*MAX(N417,1)/R417*IF(ISBLANK(K411),1,K411),0)</f>
        <v/>
      </c>
      <c r="AB417" s="7" t="inlineStr">
        <is>
          <t>^Warhead_CannonHE_Heavy, ^Warhead_MissileAP_Medium, ^Warhead_Bullet_Light</t>
        </is>
      </c>
    </row>
    <row r="418">
      <c r="B418" s="7" t="inlineStr">
        <is>
          <t xml:space="preserve">  ↳ SteelCloneGunResonance</t>
        </is>
      </c>
      <c r="C418" s="7" t="inlineStr">
        <is>
          <t>Armament@UpgradeGARRISONED</t>
        </is>
      </c>
      <c r="L418" s="6" t="n">
        <v>6000</v>
      </c>
      <c r="M418" s="6" t="n">
        <v>25</v>
      </c>
      <c r="N418" s="6" t="n">
        <v>1</v>
      </c>
      <c r="O418" s="6" t="n"/>
      <c r="P418" s="6" t="n">
        <v>6463</v>
      </c>
      <c r="Q418" s="6" t="n">
        <v>1</v>
      </c>
      <c r="R418">
        <f>M418+IF(MAX(N418-1,0)&gt;0,IF(ISBLANK(O418),5*MAX(N418-1,0),IF(ISNUMBER(O418),O418*MAX(N418-1,0),SUM(IFERROR(VALUE(TEXTSPLIT(O418,",")),0)))),0)</f>
        <v/>
      </c>
      <c r="S418">
        <f>IFERROR(L418*MAX(N418,1)/R418*IF(ISBLANK(K411),1,K411),0)</f>
        <v/>
      </c>
      <c r="AB418" s="7" t="inlineStr">
        <is>
          <t>^Warhead_CannonHE_Heavy, ^Warhead_MissileAP_Medium, ^Warhead_Bullet_Light</t>
        </is>
      </c>
    </row>
    <row r="419">
      <c r="B419" s="7" t="inlineStr">
        <is>
          <t xml:space="preserve">  ↳ SteelCloneGunResonance_elite</t>
        </is>
      </c>
      <c r="C419" s="7" t="inlineStr">
        <is>
          <t>Armament@UpgradeGARRISONEDELITE</t>
        </is>
      </c>
      <c r="L419" s="6" t="n">
        <v>6000</v>
      </c>
      <c r="M419" s="6" t="n">
        <v>25</v>
      </c>
      <c r="N419" s="6" t="n">
        <v>2</v>
      </c>
      <c r="O419" s="6" t="n">
        <v>3</v>
      </c>
      <c r="P419" s="6" t="n">
        <v>6000</v>
      </c>
      <c r="Q419" s="6" t="n">
        <v>1</v>
      </c>
      <c r="R419">
        <f>M419+IF(MAX(N419-1,0)&gt;0,IF(ISBLANK(O419),5*MAX(N419-1,0),IF(ISNUMBER(O419),O419*MAX(N419-1,0),SUM(IFERROR(VALUE(TEXTSPLIT(O419,",")),0)))),0)</f>
        <v/>
      </c>
      <c r="S419">
        <f>IFERROR(L419*MAX(N419,1)/R419*IF(ISBLANK(K411),1,K411),0)</f>
        <v/>
      </c>
      <c r="AB419" s="7" t="inlineStr">
        <is>
          <t>^Warhead_CannonHE_Heavy, ^Warhead_MissileAP_Medium, ^Warhead_Bullet_Light</t>
        </is>
      </c>
    </row>
    <row r="420">
      <c r="A420" t="inlineStr">
        <is>
          <t>redalert2mod</t>
        </is>
      </c>
      <c r="B420" t="inlineStr">
        <is>
          <t>latinsyndicate_tankkiller</t>
        </is>
      </c>
      <c r="C420" t="inlineStr">
        <is>
          <t>Latin Tank Killer</t>
        </is>
      </c>
      <c r="D420" s="6" t="inlineStr">
        <is>
          <t>AntiTankAntiAirInfantry</t>
        </is>
      </c>
      <c r="E420" s="6" t="n">
        <v>13000</v>
      </c>
      <c r="F420" s="6" t="n">
        <v>53</v>
      </c>
      <c r="G420" t="inlineStr">
        <is>
          <t>Flak</t>
        </is>
      </c>
      <c r="H420" s="6" t="n">
        <v>1</v>
      </c>
      <c r="I420" s="6" t="n">
        <v>1</v>
      </c>
      <c r="J420" s="6" t="n">
        <v>1</v>
      </c>
      <c r="P420">
        <f>MAX(P421,P423)</f>
        <v/>
      </c>
      <c r="S420">
        <f>S421+S423</f>
        <v/>
      </c>
      <c r="T420">
        <f>(E420/100000+F420/100+(P420/1000)*J420/5+S420/200)*200*I420*H420</f>
        <v/>
      </c>
      <c r="U420">
        <f>((E420*F420/25000)+((P420/1000)*J420*S420/2.5))*I420*H420</f>
        <v/>
      </c>
      <c r="V420">
        <f>(E420*F420*(P420/1000)*J420*S420*I420*H420)/12500000</f>
        <v/>
      </c>
      <c r="W420">
        <f>(T420+U420+V420)/3</f>
        <v/>
      </c>
      <c r="X420" s="6" t="n">
        <v>270</v>
      </c>
      <c r="Y420">
        <f>IFERROR(W420-X420,"")</f>
        <v/>
      </c>
      <c r="Z420">
        <f>IFERROR(ABS(Y420)/MAX(X420,1),"")</f>
        <v/>
      </c>
      <c r="AA420">
        <f>IFERROR((X420-(((E420/100000+F420/100+S420/200)*200*I420*H420)+((E420*F420/25000)*I420*H420))/3)/(((J420/5)*200*I420*H420)+((J420*S420/2.5)*I420*H420)+((E420*F420*J420*S420*I420*H420)/12500000))/3*1000,"")</f>
        <v/>
      </c>
    </row>
    <row r="421">
      <c r="B421" s="7" t="inlineStr">
        <is>
          <t xml:space="preserve">  ↳ LatinTankKillerRocket</t>
        </is>
      </c>
      <c r="C421" s="7" t="inlineStr">
        <is>
          <t>Armament@PRIMARY</t>
        </is>
      </c>
      <c r="L421" s="6" t="n">
        <v>26000</v>
      </c>
      <c r="M421" s="6" t="n">
        <v>66</v>
      </c>
      <c r="N421" s="6" t="n">
        <v>1</v>
      </c>
      <c r="O421" s="6" t="n"/>
      <c r="P421" s="6" t="n">
        <v>6666</v>
      </c>
      <c r="Q421" s="6" t="n">
        <v>0.75</v>
      </c>
      <c r="R421">
        <f>M421+IF(MAX(N421-1,0)&gt;0,IF(ISBLANK(O421),5*MAX(N421-1,0),IF(ISNUMBER(O421),O421*MAX(N421-1,0),SUM(IFERROR(VALUE(TEXTSPLIT(O421,",")),0)))),0)</f>
        <v/>
      </c>
      <c r="S421">
        <f>IFERROR(L421*MAX(N421,1)/R421*IF(ISBLANK(K420),1,K420),0)</f>
        <v/>
      </c>
      <c r="AB421" s="7" t="inlineStr">
        <is>
          <t>^Warhead_MissileAP_Light</t>
        </is>
      </c>
    </row>
    <row r="422">
      <c r="B422" s="7" t="inlineStr">
        <is>
          <t xml:space="preserve">  ↳ LatinTankKillerRocket</t>
        </is>
      </c>
      <c r="C422" s="7" t="inlineStr">
        <is>
          <t>Armament@GARRISONED</t>
        </is>
      </c>
      <c r="L422" s="6" t="n">
        <v>26000</v>
      </c>
      <c r="M422" s="6" t="n">
        <v>66</v>
      </c>
      <c r="N422" s="6" t="n">
        <v>1</v>
      </c>
      <c r="O422" s="6" t="n"/>
      <c r="P422" s="6" t="n">
        <v>6666</v>
      </c>
      <c r="Q422" s="6" t="n">
        <v>0.75</v>
      </c>
      <c r="R422">
        <f>M422+IF(MAX(N422-1,0)&gt;0,IF(ISBLANK(O422),5*MAX(N422-1,0),IF(ISNUMBER(O422),O422*MAX(N422-1,0),SUM(IFERROR(VALUE(TEXTSPLIT(O422,",")),0)))),0)</f>
        <v/>
      </c>
      <c r="S422">
        <f>IFERROR(L422*MAX(N422,1)/R422*IF(ISBLANK(K420),1,K420),0)</f>
        <v/>
      </c>
      <c r="AB422" s="7" t="inlineStr">
        <is>
          <t>^Warhead_MissileAP_Light</t>
        </is>
      </c>
    </row>
    <row r="423">
      <c r="B423" s="7" t="inlineStr">
        <is>
          <t xml:space="preserve">  ↳ LatinTankKillerRocket_elite</t>
        </is>
      </c>
      <c r="C423" s="7" t="inlineStr">
        <is>
          <t>Armament@PRIMARYE</t>
        </is>
      </c>
      <c r="L423" s="6" t="n">
        <v>52000</v>
      </c>
      <c r="M423" s="6" t="n">
        <v>66</v>
      </c>
      <c r="N423" s="6" t="n">
        <v>1</v>
      </c>
      <c r="O423" s="6" t="n"/>
      <c r="P423" s="6" t="n">
        <v>7777</v>
      </c>
      <c r="Q423" s="6" t="n">
        <v>0.75</v>
      </c>
      <c r="R423">
        <f>M423+IF(MAX(N423-1,0)&gt;0,IF(ISBLANK(O423),5*MAX(N423-1,0),IF(ISNUMBER(O423),O423*MAX(N423-1,0),SUM(IFERROR(VALUE(TEXTSPLIT(O423,",")),0)))),0)</f>
        <v/>
      </c>
      <c r="S423">
        <f>IFERROR(L423*MAX(N423,1)/R423*IF(ISBLANK(K420),1,K420),0)</f>
        <v/>
      </c>
      <c r="AB423" s="7" t="inlineStr">
        <is>
          <t>^Warhead_MissileAP_Light</t>
        </is>
      </c>
    </row>
    <row r="424">
      <c r="B424" s="7" t="inlineStr">
        <is>
          <t xml:space="preserve">  ↳ LatinTankKillerRocket_elite</t>
        </is>
      </c>
      <c r="C424" s="7" t="inlineStr">
        <is>
          <t>Armament@GARRISONEDE</t>
        </is>
      </c>
      <c r="L424" s="6" t="n">
        <v>52000</v>
      </c>
      <c r="M424" s="6" t="n">
        <v>66</v>
      </c>
      <c r="N424" s="6" t="n">
        <v>1</v>
      </c>
      <c r="O424" s="6" t="n"/>
      <c r="P424" s="6" t="n">
        <v>7777</v>
      </c>
      <c r="Q424" s="6" t="n">
        <v>0.75</v>
      </c>
      <c r="R424">
        <f>M424+IF(MAX(N424-1,0)&gt;0,IF(ISBLANK(O424),5*MAX(N424-1,0),IF(ISNUMBER(O424),O424*MAX(N424-1,0),SUM(IFERROR(VALUE(TEXTSPLIT(O424,",")),0)))),0)</f>
        <v/>
      </c>
      <c r="S424">
        <f>IFERROR(L424*MAX(N424,1)/R424*IF(ISBLANK(K420),1,K420),0)</f>
        <v/>
      </c>
      <c r="AB424" s="7" t="inlineStr">
        <is>
          <t>^Warhead_MissileAP_Light</t>
        </is>
      </c>
    </row>
    <row r="425">
      <c r="A425" t="inlineStr">
        <is>
          <t>redalert2mod</t>
        </is>
      </c>
      <c r="B425" t="inlineStr">
        <is>
          <t>naxis_portableflak</t>
        </is>
      </c>
      <c r="C425" t="inlineStr">
        <is>
          <t>Portable Flak</t>
        </is>
      </c>
      <c r="D425" s="6" t="inlineStr">
        <is>
          <t>AntiTankAntiAirInfantry</t>
        </is>
      </c>
      <c r="E425" s="6" t="n">
        <v>12000</v>
      </c>
      <c r="F425" s="6" t="n">
        <v>55</v>
      </c>
      <c r="G425" t="inlineStr">
        <is>
          <t>Flak</t>
        </is>
      </c>
      <c r="H425" s="6" t="n">
        <v>1</v>
      </c>
      <c r="I425" s="6" t="n">
        <v>0.5</v>
      </c>
      <c r="J425" s="6" t="n">
        <v>1</v>
      </c>
      <c r="P425">
        <f>MAX(P427,P428)</f>
        <v/>
      </c>
      <c r="S425">
        <f>S427+S428</f>
        <v/>
      </c>
      <c r="T425">
        <f>(E425/100000+F425/100+(P425/1000)*J425/5+S425/200)*200*I425*H425</f>
        <v/>
      </c>
      <c r="U425">
        <f>((E425*F425/25000)+((P425/1000)*J425*S425/2.5))*I425*H425</f>
        <v/>
      </c>
      <c r="V425">
        <f>(E425*F425*(P425/1000)*J425*S425*I425*H425)/12500000</f>
        <v/>
      </c>
      <c r="W425">
        <f>IFERROR((((E425/5000)+(F425/50)+(S425/0)+((P425/0)*J425))*500/4+(((E425/5000)*(F425/50))+(((P425/0)*J425)*(S425/0)))*500/2+((E425/5000)*(F425/50)*((P425/0)*J425)*(S425/0))*500)*(H425/1.0)/3,"")</f>
        <v/>
      </c>
      <c r="X425" s="6" t="n">
        <v>400</v>
      </c>
      <c r="Y425">
        <f>IFERROR(W425-X425,"")</f>
        <v/>
      </c>
      <c r="Z425">
        <f>IFERROR(ABS(Y425)/MAX(X425,1),"")</f>
        <v/>
      </c>
      <c r="AA425">
        <f>IFERROR(ROUND(((3*X425-(((E425/5000)+(F425/50)+(S425/0))*500/4+((E425/5000)*(F425/50))*500/2)*(H425/1.0))/(500/4+((S425/0))*500/2+((E425/5000)*(F425/50)*(S425/0))*500)*(H425/1.0)*0)/J425,-1),"")</f>
        <v/>
      </c>
    </row>
    <row r="426">
      <c r="B426" s="7" t="inlineStr">
        <is>
          <t xml:space="preserve">  ↳ NaxQuadCannonTargeting</t>
        </is>
      </c>
      <c r="C426" s="7" t="inlineStr">
        <is>
          <t>Armament@Dummy</t>
        </is>
      </c>
      <c r="M426" s="6" t="n">
        <v>50</v>
      </c>
      <c r="N426" s="6" t="n">
        <v>1</v>
      </c>
      <c r="O426" s="6" t="n"/>
      <c r="P426" s="6" t="n">
        <v>8888</v>
      </c>
      <c r="Q426" s="6" t="n">
        <v>1</v>
      </c>
      <c r="R426">
        <f>M426+IF(MAX(N426-1,0)&gt;0,IF(ISBLANK(O426),5*MAX(N426-1,0),IF(ISNUMBER(O426),O426*MAX(N426-1,0),SUM(IFERROR(VALUE(TEXTSPLIT(O426,",")),0)))),0)</f>
        <v/>
      </c>
      <c r="S426">
        <f>IFERROR(L426*MAX(N426,1)/R426*IF(ISBLANK(K425),1,K425),0)</f>
        <v/>
      </c>
      <c r="AB426" s="7" t="inlineStr">
        <is>
          <t>^AADeployTargeting</t>
        </is>
      </c>
    </row>
    <row r="427">
      <c r="B427" s="7" t="inlineStr">
        <is>
          <t xml:space="preserve">  ↳ PortableFlak</t>
        </is>
      </c>
      <c r="C427" s="7" t="inlineStr">
        <is>
          <t>Armament@Deployed</t>
        </is>
      </c>
      <c r="L427" s="6" t="n">
        <v>7000</v>
      </c>
      <c r="M427" s="6" t="n">
        <v>47</v>
      </c>
      <c r="N427" s="6" t="n">
        <v>6</v>
      </c>
      <c r="O427" s="6" t="n">
        <v>4</v>
      </c>
      <c r="P427" s="6" t="n">
        <v>8888</v>
      </c>
      <c r="Q427" s="6" t="n">
        <v>1</v>
      </c>
      <c r="R427">
        <f>M427+IF(MAX(N427-1,0)&gt;0,IF(ISBLANK(O427),5*MAX(N427-1,0),IF(ISNUMBER(O427),O427*MAX(N427-1,0),SUM(IFERROR(VALUE(TEXTSPLIT(O427,",")),0)))),0)</f>
        <v/>
      </c>
      <c r="S427">
        <f>IFERROR(L427*MAX(N427,1)/R427*IF(ISBLANK(K425),1,K425),0)</f>
        <v/>
      </c>
      <c r="AB427" s="7" t="inlineStr">
        <is>
          <t>^Warhead_Flak_Medium</t>
        </is>
      </c>
    </row>
    <row r="428">
      <c r="B428" s="7" t="inlineStr">
        <is>
          <t xml:space="preserve">  ↳ PortableFlak_elite</t>
        </is>
      </c>
      <c r="C428" s="7" t="inlineStr">
        <is>
          <t>Armament@DEPLOYEDELITE</t>
        </is>
      </c>
      <c r="L428" s="6" t="n">
        <v>7000</v>
      </c>
      <c r="M428" s="6" t="n">
        <v>47</v>
      </c>
      <c r="N428" s="6" t="n">
        <v>8</v>
      </c>
      <c r="O428" s="6" t="n">
        <v>3</v>
      </c>
      <c r="P428" s="6" t="n">
        <v>9999</v>
      </c>
      <c r="Q428" s="6" t="n">
        <v>1</v>
      </c>
      <c r="R428">
        <f>M428+IF(MAX(N428-1,0)&gt;0,IF(ISBLANK(O428),5*MAX(N428-1,0),IF(ISNUMBER(O428),O428*MAX(N428-1,0),SUM(IFERROR(VALUE(TEXTSPLIT(O428,",")),0)))),0)</f>
        <v/>
      </c>
      <c r="S428">
        <f>IFERROR(L428*MAX(N428,1)/R428*IF(ISBLANK(K425),1,K425),0)</f>
        <v/>
      </c>
      <c r="AB428" s="7" t="inlineStr">
        <is>
          <t>^Warhead_Flak_Medium</t>
        </is>
      </c>
    </row>
    <row r="429">
      <c r="B429" s="7" t="inlineStr">
        <is>
          <t xml:space="preserve">  ↳ PortableFlak</t>
        </is>
      </c>
      <c r="C429" s="7" t="inlineStr">
        <is>
          <t>Armament@GARRISONED</t>
        </is>
      </c>
      <c r="L429" s="6" t="n">
        <v>7000</v>
      </c>
      <c r="M429" s="6" t="n">
        <v>47</v>
      </c>
      <c r="N429" s="6" t="n">
        <v>6</v>
      </c>
      <c r="O429" s="6" t="n">
        <v>4</v>
      </c>
      <c r="P429" s="6" t="n">
        <v>8888</v>
      </c>
      <c r="Q429" s="6" t="n">
        <v>1</v>
      </c>
      <c r="R429">
        <f>M429+IF(MAX(N429-1,0)&gt;0,IF(ISBLANK(O429),5*MAX(N429-1,0),IF(ISNUMBER(O429),O429*MAX(N429-1,0),SUM(IFERROR(VALUE(TEXTSPLIT(O429,",")),0)))),0)</f>
        <v/>
      </c>
      <c r="S429">
        <f>IFERROR(L429*MAX(N429,1)/R429*IF(ISBLANK(K425),1,K425),0)</f>
        <v/>
      </c>
      <c r="AB429" s="7" t="inlineStr">
        <is>
          <t>^Warhead_Flak_Medium</t>
        </is>
      </c>
    </row>
    <row r="430">
      <c r="B430" s="7" t="inlineStr">
        <is>
          <t xml:space="preserve">  ↳ PortableFlak_elite</t>
        </is>
      </c>
      <c r="C430" s="7" t="inlineStr">
        <is>
          <t>Armament@GARRISONEDELITE</t>
        </is>
      </c>
      <c r="L430" s="6" t="n">
        <v>7000</v>
      </c>
      <c r="M430" s="6" t="n">
        <v>47</v>
      </c>
      <c r="N430" s="6" t="n">
        <v>8</v>
      </c>
      <c r="O430" s="6" t="n">
        <v>3</v>
      </c>
      <c r="P430" s="6" t="n">
        <v>9999</v>
      </c>
      <c r="Q430" s="6" t="n">
        <v>1</v>
      </c>
      <c r="R430">
        <f>M430+IF(MAX(N430-1,0)&gt;0,IF(ISBLANK(O430),5*MAX(N430-1,0),IF(ISNUMBER(O430),O430*MAX(N430-1,0),SUM(IFERROR(VALUE(TEXTSPLIT(O430,",")),0)))),0)</f>
        <v/>
      </c>
      <c r="S430">
        <f>IFERROR(L430*MAX(N430,1)/R430*IF(ISBLANK(K425),1,K425),0)</f>
        <v/>
      </c>
      <c r="AB430" s="7" t="inlineStr">
        <is>
          <t>^Warhead_Flak_Medium</t>
        </is>
      </c>
    </row>
    <row r="431">
      <c r="A431" t="inlineStr">
        <is>
          <t>redalert2mod</t>
        </is>
      </c>
      <c r="B431" t="inlineStr">
        <is>
          <t>schwarzermond_lunarrocket</t>
        </is>
      </c>
      <c r="C431" t="inlineStr">
        <is>
          <t>Lunar Rocket</t>
        </is>
      </c>
      <c r="D431" s="6" t="inlineStr">
        <is>
          <t>AntiTankAntiAirInfantry</t>
        </is>
      </c>
      <c r="E431" s="6" t="n">
        <v>18000</v>
      </c>
      <c r="F431" s="6" t="n">
        <v>60</v>
      </c>
      <c r="G431" t="inlineStr">
        <is>
          <t>Flak</t>
        </is>
      </c>
      <c r="H431" s="6" t="n">
        <v>1</v>
      </c>
      <c r="I431" s="6" t="n">
        <v>0.5</v>
      </c>
      <c r="J431" s="6" t="n">
        <v>1.75</v>
      </c>
      <c r="P431">
        <f>MAX(P432,P433)</f>
        <v/>
      </c>
      <c r="S431">
        <f>S432+S433</f>
        <v/>
      </c>
      <c r="T431">
        <f>(E431/100000+F431/100+(P431/1000)*J431/5+S431/200)*200*I431*H431</f>
        <v/>
      </c>
      <c r="U431">
        <f>((E431*F431/25000)+((P431/1000)*J431*S431/2.5))*I431*H431</f>
        <v/>
      </c>
      <c r="V431">
        <f>(E431*F431*(P431/1000)*J431*S431*I431*H431)/12500000</f>
        <v/>
      </c>
      <c r="W431">
        <f>(T431+U431+V431)/3</f>
        <v/>
      </c>
      <c r="X431" s="6" t="n">
        <v>350</v>
      </c>
      <c r="Y431">
        <f>IFERROR(W431-X431,"")</f>
        <v/>
      </c>
      <c r="Z431">
        <f>IFERROR(ABS(Y431)/MAX(X431,1),"")</f>
        <v/>
      </c>
      <c r="AA431">
        <f>IFERROR((X431-(((E431/100000+F431/100+S431/200)*200*I431*H431)+((E431*F431/25000)*I431*H431))/3)/(((J431/5)*200*I431*H431)+((J431*S431/2.5)*I431*H431)+((E431*F431*J431*S431*I431*H431)/12500000))/3*1000,"")</f>
        <v/>
      </c>
    </row>
    <row r="432">
      <c r="B432" s="7" t="inlineStr">
        <is>
          <t xml:space="preserve">  ↳ NaxCorrosionRocketTrooper_elite</t>
        </is>
      </c>
      <c r="C432" s="7" t="inlineStr">
        <is>
          <t>Armament@PRIMARY</t>
        </is>
      </c>
      <c r="L432" s="6" t="n">
        <v>16000</v>
      </c>
      <c r="M432" s="6" t="n">
        <v>50</v>
      </c>
      <c r="N432" s="6" t="n">
        <v>1</v>
      </c>
      <c r="O432" s="6" t="n">
        <v>2</v>
      </c>
      <c r="P432" s="6" t="n">
        <v>6055</v>
      </c>
      <c r="Q432" s="6" t="n">
        <v>1</v>
      </c>
      <c r="R432">
        <f>M432+IF(MAX(N432-1,0)&gt;0,IF(ISBLANK(O432),5*MAX(N432-1,0),IF(ISNUMBER(O432),O432*MAX(N432-1,0),SUM(IFERROR(VALUE(TEXTSPLIT(O432,",")),0)))),0)</f>
        <v/>
      </c>
      <c r="S432">
        <f>IFERROR(L432*MAX(N432,1)/R432*IF(ISBLANK(K431),1,K431),0)</f>
        <v/>
      </c>
      <c r="AB432" s="7" t="inlineStr">
        <is>
          <t>^Warhead_Concussion_Light, ^Warhead_MissileAP_Heavy, ^Warhead_MissileAP_Medium</t>
        </is>
      </c>
    </row>
    <row r="433">
      <c r="B433" s="7" t="inlineStr">
        <is>
          <t xml:space="preserve">  ↳ NaxCorrosionRocketTrooper_elite</t>
        </is>
      </c>
      <c r="C433" s="7" t="inlineStr">
        <is>
          <t>Armament@ELITE</t>
        </is>
      </c>
      <c r="L433" s="6" t="n">
        <v>16000</v>
      </c>
      <c r="M433" s="6" t="n">
        <v>50</v>
      </c>
      <c r="N433" s="6" t="n">
        <v>1</v>
      </c>
      <c r="O433" s="6" t="n">
        <v>2</v>
      </c>
      <c r="P433" s="6" t="n">
        <v>6055</v>
      </c>
      <c r="Q433" s="6" t="n">
        <v>1</v>
      </c>
      <c r="R433">
        <f>M433+IF(MAX(N433-1,0)&gt;0,IF(ISBLANK(O433),5*MAX(N433-1,0),IF(ISNUMBER(O433),O433*MAX(N433-1,0),SUM(IFERROR(VALUE(TEXTSPLIT(O433,",")),0)))),0)</f>
        <v/>
      </c>
      <c r="S433">
        <f>IFERROR(L433*MAX(N433,1)/R433*IF(ISBLANK(K431),1,K431),0)</f>
        <v/>
      </c>
      <c r="AB433" s="7" t="inlineStr">
        <is>
          <t>^Warhead_Concussion_Light, ^Warhead_MissileAP_Heavy, ^Warhead_MissileAP_Medium</t>
        </is>
      </c>
    </row>
    <row r="434">
      <c r="B434" s="7" t="inlineStr">
        <is>
          <t xml:space="preserve">  ↳ NaxCorrosionRocketTrooper_elite</t>
        </is>
      </c>
      <c r="C434" s="7" t="inlineStr">
        <is>
          <t>Armament@GARRISONED</t>
        </is>
      </c>
      <c r="L434" s="6" t="n">
        <v>16000</v>
      </c>
      <c r="M434" s="6" t="n">
        <v>50</v>
      </c>
      <c r="N434" s="6" t="n">
        <v>1</v>
      </c>
      <c r="O434" s="6" t="n">
        <v>2</v>
      </c>
      <c r="P434" s="6" t="n">
        <v>6055</v>
      </c>
      <c r="Q434" s="6" t="n">
        <v>1</v>
      </c>
      <c r="R434">
        <f>M434+IF(MAX(N434-1,0)&gt;0,IF(ISBLANK(O434),5*MAX(N434-1,0),IF(ISNUMBER(O434),O434*MAX(N434-1,0),SUM(IFERROR(VALUE(TEXTSPLIT(O434,",")),0)))),0)</f>
        <v/>
      </c>
      <c r="S434">
        <f>IFERROR(L434*MAX(N434,1)/R434*IF(ISBLANK(K431),1,K431),0)</f>
        <v/>
      </c>
      <c r="AB434" s="7" t="inlineStr">
        <is>
          <t>^Warhead_Concussion_Light, ^Warhead_MissileAP_Heavy, ^Warhead_MissileAP_Medium</t>
        </is>
      </c>
    </row>
    <row r="435">
      <c r="B435" s="7" t="inlineStr">
        <is>
          <t xml:space="preserve">  ↳ NaxCorrosionRocketTrooper_elite</t>
        </is>
      </c>
      <c r="C435" s="7" t="inlineStr">
        <is>
          <t>Armament@GARRISONEDELITE</t>
        </is>
      </c>
      <c r="L435" s="6" t="n">
        <v>16000</v>
      </c>
      <c r="M435" s="6" t="n">
        <v>50</v>
      </c>
      <c r="N435" s="6" t="n">
        <v>1</v>
      </c>
      <c r="O435" s="6" t="n">
        <v>2</v>
      </c>
      <c r="P435" s="6" t="n">
        <v>6055</v>
      </c>
      <c r="Q435" s="6" t="n">
        <v>1</v>
      </c>
      <c r="R435">
        <f>M435+IF(MAX(N435-1,0)&gt;0,IF(ISBLANK(O435),5*MAX(N435-1,0),IF(ISNUMBER(O435),O435*MAX(N435-1,0),SUM(IFERROR(VALUE(TEXTSPLIT(O435,",")),0)))),0)</f>
        <v/>
      </c>
      <c r="S435">
        <f>IFERROR(L435*MAX(N435,1)/R435*IF(ISBLANK(K431),1,K431),0)</f>
        <v/>
      </c>
      <c r="AB435" s="7" t="inlineStr">
        <is>
          <t>^Warhead_Concussion_Light, ^Warhead_MissileAP_Heavy, ^Warhead_MissileAP_Medium</t>
        </is>
      </c>
    </row>
    <row r="436">
      <c r="A436" t="inlineStr">
        <is>
          <t>redalert2mod</t>
        </is>
      </c>
      <c r="B436" t="inlineStr">
        <is>
          <t>futuretech_javelinsoldier</t>
        </is>
      </c>
      <c r="C436" t="inlineStr">
        <is>
          <t>Javelin Soldier</t>
        </is>
      </c>
      <c r="D436" s="6" t="inlineStr">
        <is>
          <t>AntiTankAntiAirInfantry</t>
        </is>
      </c>
      <c r="E436" s="6" t="n">
        <v>25000</v>
      </c>
      <c r="F436" s="6" t="n">
        <v>50</v>
      </c>
      <c r="G436" t="inlineStr">
        <is>
          <t>Flak</t>
        </is>
      </c>
      <c r="H436" s="6" t="n">
        <v>1</v>
      </c>
      <c r="I436" s="6" t="n">
        <v>0.5</v>
      </c>
      <c r="J436" s="6" t="n">
        <v>1.25</v>
      </c>
      <c r="P436">
        <f>MAX(P437,P438,P440,P441)</f>
        <v/>
      </c>
      <c r="S436">
        <f>S437+S438+S440+S441</f>
        <v/>
      </c>
      <c r="T436">
        <f>(E436/100000+F436/100+(P436/1000)*J436/5+S436/200)*200*I436*H436</f>
        <v/>
      </c>
      <c r="U436">
        <f>((E436*F436/25000)+((P436/1000)*J436*S436/2.5))*I436*H436</f>
        <v/>
      </c>
      <c r="V436">
        <f>(E436*F436*(P436/1000)*J436*S436*I436*H436)/12500000</f>
        <v/>
      </c>
      <c r="W436">
        <f>(T436+U436+V436)/3</f>
        <v/>
      </c>
      <c r="X436" s="6" t="n">
        <v>400</v>
      </c>
      <c r="Y436">
        <f>IFERROR(W436-X436,"")</f>
        <v/>
      </c>
      <c r="Z436">
        <f>IFERROR(ABS(Y436)/MAX(X436,1),"")</f>
        <v/>
      </c>
      <c r="AA436">
        <f>IFERROR((X436-(((E436/100000+F436/100+S436/200)*200*I436*H436)+((E436*F436/25000)*I436*H436))/3)/(((J436/5)*200*I436*H436)+((J436*S436/2.5)*I436*H436)+((E436*F436*J436*S436*I436*H436)/12500000))/3*1000,"")</f>
        <v/>
      </c>
    </row>
    <row r="437">
      <c r="B437" s="7" t="inlineStr">
        <is>
          <t xml:space="preserve">  ↳ FutureJavelinRockets</t>
        </is>
      </c>
      <c r="C437" s="7" t="inlineStr">
        <is>
          <t>Armament@PRIMARY</t>
        </is>
      </c>
      <c r="L437" s="6" t="n">
        <v>10000</v>
      </c>
      <c r="M437" s="6" t="n">
        <v>25</v>
      </c>
      <c r="N437" s="6" t="n">
        <v>1</v>
      </c>
      <c r="O437" s="6" t="n"/>
      <c r="P437" s="6" t="n">
        <v>6000</v>
      </c>
      <c r="Q437" s="6" t="n">
        <v>1</v>
      </c>
      <c r="R437">
        <f>M437+IF(MAX(N437-1,0)&gt;0,IF(ISBLANK(O437),5*MAX(N437-1,0),IF(ISNUMBER(O437),O437*MAX(N437-1,0),SUM(IFERROR(VALUE(TEXTSPLIT(O437,",")),0)))),0)</f>
        <v/>
      </c>
      <c r="S437">
        <f>IFERROR(L437*MAX(N437,1)/R437*IF(ISBLANK(K436),1,K436),0)</f>
        <v/>
      </c>
      <c r="AB437" s="7" t="inlineStr">
        <is>
          <t>^Warhead_MissileAP_Medium</t>
        </is>
      </c>
    </row>
    <row r="438">
      <c r="B438" s="7" t="inlineStr">
        <is>
          <t xml:space="preserve">  ↳ FutureJavelinRocketsDeployed</t>
        </is>
      </c>
      <c r="C438" s="7" t="inlineStr">
        <is>
          <t>Armament@PRIMARY2</t>
        </is>
      </c>
      <c r="L438" s="6" t="n">
        <v>10000</v>
      </c>
      <c r="M438" s="6" t="n">
        <v>25</v>
      </c>
      <c r="N438" s="6" t="n">
        <v>1</v>
      </c>
      <c r="O438" s="6" t="n"/>
      <c r="P438" s="6" t="n">
        <v>7500</v>
      </c>
      <c r="Q438" s="6" t="n">
        <v>1</v>
      </c>
      <c r="R438">
        <f>M438+IF(MAX(N438-1,0)&gt;0,IF(ISBLANK(O438),5*MAX(N438-1,0),IF(ISNUMBER(O438),O438*MAX(N438-1,0),SUM(IFERROR(VALUE(TEXTSPLIT(O438,",")),0)))),0)</f>
        <v/>
      </c>
      <c r="S438">
        <f>IFERROR(L438*MAX(N438,1)/R438*IF(ISBLANK(K436),1,K436),0)</f>
        <v/>
      </c>
      <c r="AB438" s="7" t="inlineStr">
        <is>
          <t>^Warhead_MissileAP_Medium</t>
        </is>
      </c>
    </row>
    <row r="439">
      <c r="B439" s="7" t="inlineStr">
        <is>
          <t xml:space="preserve">  ↳ FutureJavelinRocketsDeployed</t>
        </is>
      </c>
      <c r="C439" s="7" t="inlineStr">
        <is>
          <t>Armament@GARRISONED</t>
        </is>
      </c>
      <c r="L439" s="6" t="n">
        <v>10000</v>
      </c>
      <c r="M439" s="6" t="n">
        <v>25</v>
      </c>
      <c r="N439" s="6" t="n">
        <v>1</v>
      </c>
      <c r="O439" s="6" t="n"/>
      <c r="P439" s="6" t="n">
        <v>7500</v>
      </c>
      <c r="Q439" s="6" t="n">
        <v>1</v>
      </c>
      <c r="R439">
        <f>M439+IF(MAX(N439-1,0)&gt;0,IF(ISBLANK(O439),5*MAX(N439-1,0),IF(ISNUMBER(O439),O439*MAX(N439-1,0),SUM(IFERROR(VALUE(TEXTSPLIT(O439,",")),0)))),0)</f>
        <v/>
      </c>
      <c r="S439">
        <f>IFERROR(L439*MAX(N439,1)/R439*IF(ISBLANK(K436),1,K436),0)</f>
        <v/>
      </c>
      <c r="AB439" s="7" t="inlineStr">
        <is>
          <t>^Warhead_MissileAP_Medium</t>
        </is>
      </c>
    </row>
    <row r="440">
      <c r="B440" s="7" t="inlineStr">
        <is>
          <t xml:space="preserve">  ↳ FutureJavelinRockets_elite</t>
        </is>
      </c>
      <c r="C440" s="7" t="inlineStr">
        <is>
          <t>Armament@ELITE</t>
        </is>
      </c>
      <c r="L440" s="6" t="n">
        <v>10000</v>
      </c>
      <c r="M440" s="6" t="n">
        <v>25</v>
      </c>
      <c r="N440" s="6" t="n">
        <v>2</v>
      </c>
      <c r="O440" s="6" t="n">
        <v>3</v>
      </c>
      <c r="P440" s="6" t="n">
        <v>7000</v>
      </c>
      <c r="Q440" s="6" t="n">
        <v>1</v>
      </c>
      <c r="R440">
        <f>M440+IF(MAX(N440-1,0)&gt;0,IF(ISBLANK(O440),5*MAX(N440-1,0),IF(ISNUMBER(O440),O440*MAX(N440-1,0),SUM(IFERROR(VALUE(TEXTSPLIT(O440,",")),0)))),0)</f>
        <v/>
      </c>
      <c r="S440">
        <f>IFERROR(L440*MAX(N440,1)/R440*IF(ISBLANK(K436),1,K436),0)</f>
        <v/>
      </c>
      <c r="AB440" s="7" t="inlineStr">
        <is>
          <t>^Warhead_MissileAP_Medium</t>
        </is>
      </c>
    </row>
    <row r="441">
      <c r="B441" s="7" t="inlineStr">
        <is>
          <t xml:space="preserve">  ↳ FutureJavelinRocketsDeployed_elite</t>
        </is>
      </c>
      <c r="C441" s="7" t="inlineStr">
        <is>
          <t>Armament@ELITE2</t>
        </is>
      </c>
      <c r="L441" s="6" t="n">
        <v>10000</v>
      </c>
      <c r="M441" s="6" t="n">
        <v>25</v>
      </c>
      <c r="N441" s="6" t="n">
        <v>2</v>
      </c>
      <c r="O441" s="6" t="n">
        <v>3</v>
      </c>
      <c r="P441" s="6" t="n">
        <v>8500</v>
      </c>
      <c r="Q441" s="6" t="n">
        <v>1</v>
      </c>
      <c r="R441">
        <f>M441+IF(MAX(N441-1,0)&gt;0,IF(ISBLANK(O441),5*MAX(N441-1,0),IF(ISNUMBER(O441),O441*MAX(N441-1,0),SUM(IFERROR(VALUE(TEXTSPLIT(O441,",")),0)))),0)</f>
        <v/>
      </c>
      <c r="S441">
        <f>IFERROR(L441*MAX(N441,1)/R441*IF(ISBLANK(K436),1,K436),0)</f>
        <v/>
      </c>
      <c r="AB441" s="7" t="inlineStr">
        <is>
          <t>^Warhead_MissileAP_Medium</t>
        </is>
      </c>
    </row>
    <row r="442">
      <c r="B442" s="7" t="inlineStr">
        <is>
          <t xml:space="preserve">  ↳ FutureJavelinRocketsDeployed_elite</t>
        </is>
      </c>
      <c r="C442" s="7" t="inlineStr">
        <is>
          <t>Armament@GARRISONEDELITE</t>
        </is>
      </c>
      <c r="L442" s="6" t="n">
        <v>10000</v>
      </c>
      <c r="M442" s="6" t="n">
        <v>25</v>
      </c>
      <c r="N442" s="6" t="n">
        <v>2</v>
      </c>
      <c r="O442" s="6" t="n">
        <v>3</v>
      </c>
      <c r="P442" s="6" t="n">
        <v>8500</v>
      </c>
      <c r="Q442" s="6" t="n">
        <v>1</v>
      </c>
      <c r="R442">
        <f>M442+IF(MAX(N442-1,0)&gt;0,IF(ISBLANK(O442),5*MAX(N442-1,0),IF(ISNUMBER(O442),O442*MAX(N442-1,0),SUM(IFERROR(VALUE(TEXTSPLIT(O442,",")),0)))),0)</f>
        <v/>
      </c>
      <c r="S442">
        <f>IFERROR(L442*MAX(N442,1)/R442*IF(ISBLANK(K436),1,K436),0)</f>
        <v/>
      </c>
      <c r="AB442" s="7" t="inlineStr">
        <is>
          <t>^Warhead_MissileAP_Medium</t>
        </is>
      </c>
    </row>
    <row r="443">
      <c r="B443" s="7" t="inlineStr">
        <is>
          <t xml:space="preserve">  ↳ aadeploytargeting_8c0_AA</t>
        </is>
      </c>
      <c r="C443" s="7" t="inlineStr">
        <is>
          <t>Armament@BOTAA</t>
        </is>
      </c>
      <c r="M443" s="6" t="n">
        <v>50</v>
      </c>
      <c r="N443" s="6" t="n">
        <v>1</v>
      </c>
      <c r="O443" s="6" t="n"/>
      <c r="P443" s="6" t="n">
        <v>8000</v>
      </c>
      <c r="Q443" s="6" t="n">
        <v>1</v>
      </c>
      <c r="R443">
        <f>M443+IF(MAX(N443-1,0)&gt;0,IF(ISBLANK(O443),5*MAX(N443-1,0),IF(ISNUMBER(O443),O443*MAX(N443-1,0),SUM(IFERROR(VALUE(TEXTSPLIT(O443,",")),0)))),0)</f>
        <v/>
      </c>
      <c r="S443">
        <f>IFERROR(L443*MAX(N443,1)/R443*IF(ISBLANK(K436),1,K436),0)</f>
        <v/>
      </c>
      <c r="AB443" s="7" t="inlineStr">
        <is>
          <t>^AADeployTargeting</t>
        </is>
      </c>
    </row>
    <row r="444">
      <c r="A444" t="inlineStr">
        <is>
          <t>redalert2mod</t>
        </is>
      </c>
      <c r="B444" t="inlineStr">
        <is>
          <t>tkm_rocketeer</t>
        </is>
      </c>
      <c r="C444" t="inlineStr">
        <is>
          <t>Rocketeer</t>
        </is>
      </c>
      <c r="D444" s="6" t="inlineStr">
        <is>
          <t>AntiTankAntiAirInfantry</t>
        </is>
      </c>
      <c r="E444" s="6" t="n">
        <v>9000</v>
      </c>
      <c r="F444" s="6" t="n">
        <v>60</v>
      </c>
      <c r="G444" t="inlineStr">
        <is>
          <t>Flak</t>
        </is>
      </c>
      <c r="H444" s="6" t="n">
        <v>1</v>
      </c>
      <c r="I444" s="6" t="n">
        <v>1</v>
      </c>
      <c r="J444" s="6" t="n">
        <v>1</v>
      </c>
      <c r="P444">
        <f>MAX(P445,P446,P447,P448)</f>
        <v/>
      </c>
      <c r="S444">
        <f>S445+S446+S447+S448</f>
        <v/>
      </c>
      <c r="T444">
        <f>(E444/100000+F444/100+(P444/1000)*J444/5+S444/200)*200*I444*H444</f>
        <v/>
      </c>
      <c r="U444">
        <f>((E444*F444/25000)+((P444/1000)*J444*S444/2.5))*I444*H444</f>
        <v/>
      </c>
      <c r="V444">
        <f>(E444*F444*(P444/1000)*J444*S444*I444*H444)/12500000</f>
        <v/>
      </c>
      <c r="W444">
        <f>(T444+U444+V444)/3</f>
        <v/>
      </c>
      <c r="X444" s="6" t="n">
        <v>200</v>
      </c>
      <c r="Y444">
        <f>IFERROR(W444-X444,"")</f>
        <v/>
      </c>
      <c r="Z444">
        <f>IFERROR(ABS(Y444)/MAX(X444,1),"")</f>
        <v/>
      </c>
      <c r="AA444">
        <f>IFERROR((X444-(((E444/100000+F444/100+S444/200)*200*I444*H444)+((E444*F444/25000)*I444*H444))/3)/(((J444/5)*200*I444*H444)+((J444*S444/2.5)*I444*H444)+((E444*F444*J444*S444*I444*H444)/12500000))/3*1000,"")</f>
        <v/>
      </c>
    </row>
    <row r="445">
      <c r="B445" s="7" t="inlineStr">
        <is>
          <t xml:space="preserve">  ↳ tkmrockets</t>
        </is>
      </c>
      <c r="C445" s="7" t="inlineStr">
        <is>
          <t>Armament@PRIMARY</t>
        </is>
      </c>
      <c r="L445" s="6" t="n">
        <v>18000</v>
      </c>
      <c r="M445" s="6" t="n">
        <v>64</v>
      </c>
      <c r="N445" s="6" t="n">
        <v>1</v>
      </c>
      <c r="O445" s="6" t="n"/>
      <c r="P445" s="6" t="n">
        <v>6214</v>
      </c>
      <c r="Q445" s="6" t="n">
        <v>0.75</v>
      </c>
      <c r="R445">
        <f>M445+IF(MAX(N445-1,0)&gt;0,IF(ISBLANK(O445),5*MAX(N445-1,0),IF(ISNUMBER(O445),O445*MAX(N445-1,0),SUM(IFERROR(VALUE(TEXTSPLIT(O445,",")),0)))),0)</f>
        <v/>
      </c>
      <c r="S445">
        <f>IFERROR(L445*MAX(N445,1)/R445*IF(ISBLANK(K444),1,K444),0)</f>
        <v/>
      </c>
      <c r="AB445" s="7" t="inlineStr">
        <is>
          <t>^Warhead_MissileAP_Light</t>
        </is>
      </c>
    </row>
    <row r="446">
      <c r="B446" s="7" t="inlineStr">
        <is>
          <t xml:space="preserve">  ↳ tkmcryorockets</t>
        </is>
      </c>
      <c r="C446" s="7" t="inlineStr">
        <is>
          <t>Armament@PRIMARYNATO</t>
        </is>
      </c>
      <c r="L446" s="6" t="n">
        <v>18000</v>
      </c>
      <c r="M446" s="6" t="n">
        <v>64</v>
      </c>
      <c r="N446" s="6" t="n">
        <v>1</v>
      </c>
      <c r="O446" s="6" t="n"/>
      <c r="P446" s="6" t="n">
        <v>6214</v>
      </c>
      <c r="Q446" s="6" t="n">
        <v>0.75</v>
      </c>
      <c r="R446">
        <f>M446+IF(MAX(N446-1,0)&gt;0,IF(ISBLANK(O446),5*MAX(N446-1,0),IF(ISNUMBER(O446),O446*MAX(N446-1,0),SUM(IFERROR(VALUE(TEXTSPLIT(O446,",")),0)))),0)</f>
        <v/>
      </c>
      <c r="S446">
        <f>IFERROR(L446*MAX(N446,1)/R446*IF(ISBLANK(K444),1,K444),0)</f>
        <v/>
      </c>
      <c r="AB446" s="7" t="inlineStr">
        <is>
          <t>^Warhead_MissileAP_Light</t>
        </is>
      </c>
    </row>
    <row r="447">
      <c r="B447" s="7" t="inlineStr">
        <is>
          <t xml:space="preserve">  ↳ tkmtwinrockets</t>
        </is>
      </c>
      <c r="C447" s="7" t="inlineStr">
        <is>
          <t>Armament@PRIMARYBEREZKA</t>
        </is>
      </c>
      <c r="L447" s="6" t="n">
        <v>18000</v>
      </c>
      <c r="M447" s="6" t="n">
        <v>64</v>
      </c>
      <c r="N447" s="6" t="n">
        <v>2</v>
      </c>
      <c r="O447" s="6" t="n"/>
      <c r="P447" s="6" t="n">
        <v>7214</v>
      </c>
      <c r="Q447" s="6" t="n">
        <v>0.75</v>
      </c>
      <c r="R447">
        <f>M447+IF(MAX(N447-1,0)&gt;0,IF(ISBLANK(O447),5*MAX(N447-1,0),IF(ISNUMBER(O447),O447*MAX(N447-1,0),SUM(IFERROR(VALUE(TEXTSPLIT(O447,",")),0)))),0)</f>
        <v/>
      </c>
      <c r="S447">
        <f>IFERROR(L447*MAX(N447,1)/R447*IF(ISBLANK(K444),1,K444),0)</f>
        <v/>
      </c>
      <c r="AB447" s="7" t="inlineStr">
        <is>
          <t>^Warhead_MissileAP_Light</t>
        </is>
      </c>
    </row>
    <row r="448">
      <c r="B448" s="7" t="inlineStr">
        <is>
          <t xml:space="preserve">  ↳ tkmfirerockets</t>
        </is>
      </c>
      <c r="C448" s="7" t="inlineStr">
        <is>
          <t>Armament@PRIMARYTITAN</t>
        </is>
      </c>
      <c r="L448" s="6" t="n">
        <v>22000</v>
      </c>
      <c r="M448" s="6" t="n">
        <v>64</v>
      </c>
      <c r="N448" s="6" t="n">
        <v>1</v>
      </c>
      <c r="O448" s="6" t="n"/>
      <c r="P448" s="6" t="n">
        <v>6214</v>
      </c>
      <c r="Q448" s="6" t="n">
        <v>0.75</v>
      </c>
      <c r="R448">
        <f>M448+IF(MAX(N448-1,0)&gt;0,IF(ISBLANK(O448),5*MAX(N448-1,0),IF(ISNUMBER(O448),O448*MAX(N448-1,0),SUM(IFERROR(VALUE(TEXTSPLIT(O448,",")),0)))),0)</f>
        <v/>
      </c>
      <c r="S448">
        <f>IFERROR(L448*MAX(N448,1)/R448*IF(ISBLANK(K444),1,K444),0)</f>
        <v/>
      </c>
      <c r="AB448" s="7" t="inlineStr">
        <is>
          <t>^Warhead_MissileAP_Light, ^Warhead_Flame_Light</t>
        </is>
      </c>
    </row>
    <row r="449">
      <c r="B449" s="7" t="inlineStr">
        <is>
          <t xml:space="preserve">  ↳ Rockets</t>
        </is>
      </c>
      <c r="C449" s="7" t="inlineStr">
        <is>
          <t>Armament@GARRISONED</t>
        </is>
      </c>
      <c r="L449" s="6" t="n">
        <v>18000</v>
      </c>
      <c r="M449" s="6" t="n">
        <v>63</v>
      </c>
      <c r="N449" s="6" t="n">
        <v>1</v>
      </c>
      <c r="O449" s="6" t="n"/>
      <c r="P449" s="6" t="n">
        <v>6368</v>
      </c>
      <c r="Q449" s="6" t="n">
        <v>0.75</v>
      </c>
      <c r="R449">
        <f>M449+IF(MAX(N449-1,0)&gt;0,IF(ISBLANK(O449),5*MAX(N449-1,0),IF(ISNUMBER(O449),O449*MAX(N449-1,0),SUM(IFERROR(VALUE(TEXTSPLIT(O449,",")),0)))),0)</f>
        <v/>
      </c>
      <c r="S449">
        <f>IFERROR(L449*MAX(N449,1)/R449*IF(ISBLANK(K444),1,K444),0)</f>
        <v/>
      </c>
      <c r="AB449" s="7" t="inlineStr">
        <is>
          <t>^Warhead_MissileAP_Light</t>
        </is>
      </c>
    </row>
    <row r="450">
      <c r="B450" s="7" t="inlineStr">
        <is>
          <t xml:space="preserve">  ↳ tkmcryorockets</t>
        </is>
      </c>
      <c r="C450" s="7" t="inlineStr">
        <is>
          <t>Armament@GARRISONEDTITAN</t>
        </is>
      </c>
      <c r="L450" s="6" t="n">
        <v>18000</v>
      </c>
      <c r="M450" s="6" t="n">
        <v>64</v>
      </c>
      <c r="N450" s="6" t="n">
        <v>1</v>
      </c>
      <c r="O450" s="6" t="n"/>
      <c r="P450" s="6" t="n">
        <v>6214</v>
      </c>
      <c r="Q450" s="6" t="n">
        <v>0.75</v>
      </c>
      <c r="R450">
        <f>M450+IF(MAX(N450-1,0)&gt;0,IF(ISBLANK(O450),5*MAX(N450-1,0),IF(ISNUMBER(O450),O450*MAX(N450-1,0),SUM(IFERROR(VALUE(TEXTSPLIT(O450,",")),0)))),0)</f>
        <v/>
      </c>
      <c r="S450">
        <f>IFERROR(L450*MAX(N450,1)/R450*IF(ISBLANK(K444),1,K444),0)</f>
        <v/>
      </c>
      <c r="AB450" s="7" t="inlineStr">
        <is>
          <t>^Warhead_MissileAP_Light</t>
        </is>
      </c>
    </row>
    <row r="451">
      <c r="B451" s="7" t="inlineStr">
        <is>
          <t xml:space="preserve">  ↳ tkmtwinrockets</t>
        </is>
      </c>
      <c r="C451" s="7" t="inlineStr">
        <is>
          <t>Armament@GARRISONEDBEREZKA</t>
        </is>
      </c>
      <c r="L451" s="6" t="n">
        <v>18000</v>
      </c>
      <c r="M451" s="6" t="n">
        <v>64</v>
      </c>
      <c r="N451" s="6" t="n">
        <v>2</v>
      </c>
      <c r="O451" s="6" t="n"/>
      <c r="P451" s="6" t="n">
        <v>7214</v>
      </c>
      <c r="Q451" s="6" t="n">
        <v>0.75</v>
      </c>
      <c r="R451">
        <f>M451+IF(MAX(N451-1,0)&gt;0,IF(ISBLANK(O451),5*MAX(N451-1,0),IF(ISNUMBER(O451),O451*MAX(N451-1,0),SUM(IFERROR(VALUE(TEXTSPLIT(O451,",")),0)))),0)</f>
        <v/>
      </c>
      <c r="S451">
        <f>IFERROR(L451*MAX(N451,1)/R451*IF(ISBLANK(K444),1,K444),0)</f>
        <v/>
      </c>
      <c r="AB451" s="7" t="inlineStr">
        <is>
          <t>^Warhead_MissileAP_Light</t>
        </is>
      </c>
    </row>
    <row r="452">
      <c r="B452" s="7" t="inlineStr">
        <is>
          <t xml:space="preserve">  ↳ tkmfirerockets</t>
        </is>
      </c>
      <c r="C452" s="7" t="inlineStr">
        <is>
          <t>Armament@GARRISONEDNATO</t>
        </is>
      </c>
      <c r="L452" s="6" t="n">
        <v>22000</v>
      </c>
      <c r="M452" s="6" t="n">
        <v>64</v>
      </c>
      <c r="N452" s="6" t="n">
        <v>1</v>
      </c>
      <c r="O452" s="6" t="n"/>
      <c r="P452" s="6" t="n">
        <v>6214</v>
      </c>
      <c r="Q452" s="6" t="n">
        <v>0.75</v>
      </c>
      <c r="R452">
        <f>M452+IF(MAX(N452-1,0)&gt;0,IF(ISBLANK(O452),5*MAX(N452-1,0),IF(ISNUMBER(O452),O452*MAX(N452-1,0),SUM(IFERROR(VALUE(TEXTSPLIT(O452,",")),0)))),0)</f>
        <v/>
      </c>
      <c r="S452">
        <f>IFERROR(L452*MAX(N452,1)/R452*IF(ISBLANK(K444),1,K444),0)</f>
        <v/>
      </c>
      <c r="AB452" s="7" t="inlineStr">
        <is>
          <t>^Warhead_MissileAP_Light, ^Warhead_Flame_Light</t>
        </is>
      </c>
    </row>
    <row r="453">
      <c r="A453" t="inlineStr">
        <is>
          <t>shared</t>
        </is>
      </c>
      <c r="B453" t="inlineStr">
        <is>
          <t>trooper</t>
        </is>
      </c>
      <c r="C453" t="inlineStr">
        <is>
          <t>Rocket Trooper</t>
        </is>
      </c>
      <c r="D453" s="6" t="inlineStr">
        <is>
          <t>AntiTankAntiAirInfantry</t>
        </is>
      </c>
      <c r="E453" s="6" t="n">
        <v>12000</v>
      </c>
      <c r="F453" s="6" t="n">
        <v>48</v>
      </c>
      <c r="G453" t="inlineStr">
        <is>
          <t>Flak</t>
        </is>
      </c>
      <c r="H453" s="6" t="n">
        <v>1</v>
      </c>
      <c r="I453" s="6" t="n">
        <v>1</v>
      </c>
      <c r="J453" s="6" t="n">
        <v>1</v>
      </c>
      <c r="P453">
        <f>MAX(P454)</f>
        <v/>
      </c>
      <c r="S453">
        <f>S454</f>
        <v/>
      </c>
      <c r="T453">
        <f>(E453/100000+F453/100+(P453/1000)*J453/5+S453/200)*200*I453*H453</f>
        <v/>
      </c>
      <c r="U453">
        <f>((E453*F453/25000)+((P453/1000)*J453*S453/2.5))*I453*H453</f>
        <v/>
      </c>
      <c r="V453">
        <f>(E453*F453*(P453/1000)*J453*S453*I453*H453)/12500000</f>
        <v/>
      </c>
      <c r="W453">
        <f>(T453+U453+V453)/3</f>
        <v/>
      </c>
      <c r="X453" s="6" t="n">
        <v>300</v>
      </c>
      <c r="Y453">
        <f>IFERROR(W453-X453,"")</f>
        <v/>
      </c>
      <c r="Z453">
        <f>IFERROR(ABS(Y453)/MAX(X453,1),"")</f>
        <v/>
      </c>
      <c r="AA453">
        <f>IFERROR((X453-(((E453/100000+F453/100+S453/200)*200*I453*H453)+((E453*F453/25000)*I453*H453))/3)/(((J453/5)*200*I453*H453)+((J453*S453/2.5)*I453*H453)+((E453*F453*J453*S453*I453*H453)/12500000))/3*1000,"")</f>
        <v/>
      </c>
    </row>
    <row r="454">
      <c r="B454" s="7" t="inlineStr">
        <is>
          <t xml:space="preserve">  ↳ D2K_Rocket_Trooper</t>
        </is>
      </c>
      <c r="C454" s="7" t="inlineStr">
        <is>
          <t>Armament</t>
        </is>
      </c>
      <c r="L454" s="6" t="n">
        <v>24000</v>
      </c>
      <c r="M454" s="6" t="n">
        <v>64</v>
      </c>
      <c r="N454" s="6" t="n">
        <v>1</v>
      </c>
      <c r="O454" s="6" t="n"/>
      <c r="P454" s="6" t="n">
        <v>6185</v>
      </c>
      <c r="Q454" s="6" t="n">
        <v>1</v>
      </c>
      <c r="R454">
        <f>M454+IF(MAX(N454-1,0)&gt;0,IF(ISBLANK(O454),5*MAX(N454-1,0),IF(ISNUMBER(O454),O454*MAX(N454-1,0),SUM(IFERROR(VALUE(TEXTSPLIT(O454,",")),0)))),0)</f>
        <v/>
      </c>
      <c r="S454">
        <f>IFERROR(L454*MAX(N454,1)/R454*IF(ISBLANK(K453),1,K453),0)</f>
        <v/>
      </c>
      <c r="AB454" s="7" t="inlineStr">
        <is>
          <t>^Warhead_MissileAP_Light, ^Warhead_MissileAP_Medium, ^Warhead_MissileAP_Heavy</t>
        </is>
      </c>
    </row>
    <row r="455">
      <c r="B455" s="7" t="inlineStr">
        <is>
          <t xml:space="preserve">  ↳ D2K_Rocket_Trooper</t>
        </is>
      </c>
      <c r="C455" s="7" t="inlineStr">
        <is>
          <t>Armament@garrisoned</t>
        </is>
      </c>
      <c r="L455" s="6" t="n">
        <v>24000</v>
      </c>
      <c r="M455" s="6" t="n">
        <v>64</v>
      </c>
      <c r="N455" s="6" t="n">
        <v>1</v>
      </c>
      <c r="O455" s="6" t="n"/>
      <c r="P455" s="6" t="n">
        <v>6185</v>
      </c>
      <c r="Q455" s="6" t="n">
        <v>1</v>
      </c>
      <c r="R455">
        <f>M455+IF(MAX(N455-1,0)&gt;0,IF(ISBLANK(O455),5*MAX(N455-1,0),IF(ISNUMBER(O455),O455*MAX(N455-1,0),SUM(IFERROR(VALUE(TEXTSPLIT(O455,",")),0)))),0)</f>
        <v/>
      </c>
      <c r="S455">
        <f>IFERROR(L455*MAX(N455,1)/R455*IF(ISBLANK(K453),1,K453),0)</f>
        <v/>
      </c>
      <c r="AB455" s="7" t="inlineStr">
        <is>
          <t>^Warhead_MissileAP_Light, ^Warhead_MissileAP_Medium, ^Warhead_MissileAP_Heavy</t>
        </is>
      </c>
    </row>
    <row r="456">
      <c r="A456" t="inlineStr">
        <is>
          <t>d2k</t>
        </is>
      </c>
      <c r="B456" t="inlineStr">
        <is>
          <t>ordos_antiairtrooper</t>
        </is>
      </c>
      <c r="C456" t="inlineStr">
        <is>
          <t>Anti Air Trooper</t>
        </is>
      </c>
      <c r="D456" s="6" t="inlineStr">
        <is>
          <t>AntiTankAntiAirInfantry</t>
        </is>
      </c>
      <c r="E456" s="6" t="n">
        <v>15000</v>
      </c>
      <c r="F456" s="6" t="n">
        <v>45</v>
      </c>
      <c r="G456" t="inlineStr">
        <is>
          <t>Flak</t>
        </is>
      </c>
      <c r="H456" s="6" t="n">
        <v>1</v>
      </c>
      <c r="I456" s="6" t="n">
        <v>1</v>
      </c>
      <c r="J456" s="6" t="n">
        <v>1</v>
      </c>
      <c r="P456">
        <f>MAX(P457,P458)</f>
        <v/>
      </c>
      <c r="S456">
        <f>S457+S458</f>
        <v/>
      </c>
      <c r="T456">
        <f>(E456/100000+F456/100+(P456/1000)*J456/5+S456/200)*200*I456*H456</f>
        <v/>
      </c>
      <c r="U456">
        <f>((E456*F456/25000)+((P456/1000)*J456*S456/2.5))*I456*H456</f>
        <v/>
      </c>
      <c r="V456">
        <f>(E456*F456*(P456/1000)*J456*S456*I456*H456)/12500000</f>
        <v/>
      </c>
      <c r="W456">
        <f>(T456+U456+V456)/3</f>
        <v/>
      </c>
      <c r="X456" s="6" t="n">
        <v>450</v>
      </c>
      <c r="Y456">
        <f>IFERROR(W456-X456,"")</f>
        <v/>
      </c>
      <c r="Z456">
        <f>IFERROR(ABS(Y456)/MAX(X456,1),"")</f>
        <v/>
      </c>
      <c r="AA456">
        <f>IFERROR((X456-(((E456/100000+F456/100+S456/200)*200*I456*H456)+((E456*F456/25000)*I456*H456))/3)/(((J456/5)*200*I456*H456)+((J456*S456/2.5)*I456*H456)+((E456*F456*J456*S456*I456*H456)/12500000))/3*1000,"")</f>
        <v/>
      </c>
    </row>
    <row r="457">
      <c r="B457" s="7" t="inlineStr">
        <is>
          <t xml:space="preserve">  ↳ D2K_Rocket_Trooper_AA</t>
        </is>
      </c>
      <c r="C457" s="7" t="inlineStr">
        <is>
          <t>Armament</t>
        </is>
      </c>
      <c r="L457" s="6" t="n">
        <v>30000</v>
      </c>
      <c r="M457" s="6" t="n">
        <v>75</v>
      </c>
      <c r="N457" s="6" t="n">
        <v>1</v>
      </c>
      <c r="O457" s="6" t="n"/>
      <c r="P457" s="6" t="n">
        <v>9716</v>
      </c>
      <c r="Q457" s="6" t="n">
        <v>1</v>
      </c>
      <c r="R457">
        <f>M457+IF(MAX(N457-1,0)&gt;0,IF(ISBLANK(O457),5*MAX(N457-1,0),IF(ISNUMBER(O457),O457*MAX(N457-1,0),SUM(IFERROR(VALUE(TEXTSPLIT(O457,",")),0)))),0)</f>
        <v/>
      </c>
      <c r="S457">
        <f>IFERROR(L457*MAX(N457,1)/R457*IF(ISBLANK(K456),1,K456),0)</f>
        <v/>
      </c>
      <c r="AB457" s="7" t="inlineStr">
        <is>
          <t>^Warhead_Flak_Medium, ^Warhead_MissileAP_Light, ^Warhead_MissileAP_Heavy</t>
        </is>
      </c>
    </row>
    <row r="458">
      <c r="B458" s="7" t="inlineStr">
        <is>
          <t xml:space="preserve">  ↳ D2K_Rocket_Trooper_AGOnly</t>
        </is>
      </c>
      <c r="C458" s="7" t="inlineStr">
        <is>
          <t>Armament@SECONDARY</t>
        </is>
      </c>
      <c r="L458" s="6" t="n">
        <v>30000</v>
      </c>
      <c r="M458" s="6" t="n">
        <v>50</v>
      </c>
      <c r="N458" s="6" t="n">
        <v>1</v>
      </c>
      <c r="O458" s="6" t="n"/>
      <c r="P458" s="6" t="n">
        <v>6252</v>
      </c>
      <c r="Q458" s="6" t="n">
        <v>1</v>
      </c>
      <c r="R458">
        <f>M458+IF(MAX(N458-1,0)&gt;0,IF(ISBLANK(O458),5*MAX(N458-1,0),IF(ISNUMBER(O458),O458*MAX(N458-1,0),SUM(IFERROR(VALUE(TEXTSPLIT(O458,",")),0)))),0)</f>
        <v/>
      </c>
      <c r="S458">
        <f>IFERROR(L458*MAX(N458,1)/R458*IF(ISBLANK(K456),1,K456),0)</f>
        <v/>
      </c>
      <c r="AB458" s="7" t="inlineStr">
        <is>
          <t>^Warhead_Demolition_Light, ^Warhead_Railgun_Heavy, ^Warhead_CannonHE_Medium</t>
        </is>
      </c>
    </row>
    <row r="459">
      <c r="B459" s="7" t="inlineStr">
        <is>
          <t xml:space="preserve">  ↳ D2K_Rocket_Trooper_AA</t>
        </is>
      </c>
      <c r="C459" s="7" t="inlineStr">
        <is>
          <t>Armament@garrisoned</t>
        </is>
      </c>
      <c r="L459" s="6" t="n">
        <v>30000</v>
      </c>
      <c r="M459" s="6" t="n">
        <v>75</v>
      </c>
      <c r="N459" s="6" t="n">
        <v>1</v>
      </c>
      <c r="O459" s="6" t="n"/>
      <c r="P459" s="6" t="n">
        <v>9716</v>
      </c>
      <c r="Q459" s="6" t="n">
        <v>1</v>
      </c>
      <c r="R459">
        <f>M459+IF(MAX(N459-1,0)&gt;0,IF(ISBLANK(O459),5*MAX(N459-1,0),IF(ISNUMBER(O459),O459*MAX(N459-1,0),SUM(IFERROR(VALUE(TEXTSPLIT(O459,",")),0)))),0)</f>
        <v/>
      </c>
      <c r="S459">
        <f>IFERROR(L459*MAX(N459,1)/R459*IF(ISBLANK(K456),1,K456),0)</f>
        <v/>
      </c>
      <c r="AB459" s="7" t="inlineStr">
        <is>
          <t>^Warhead_Flak_Medium, ^Warhead_MissileAP_Light, ^Warhead_MissileAP_Heavy</t>
        </is>
      </c>
    </row>
    <row r="460">
      <c r="B460" s="7" t="inlineStr">
        <is>
          <t xml:space="preserve">  ↳ D2K_Rocket_Trooper_AGOnly</t>
        </is>
      </c>
      <c r="C460" s="7" t="inlineStr">
        <is>
          <t>Armament@SECONDARYgarrisoned</t>
        </is>
      </c>
      <c r="L460" s="6" t="n">
        <v>30000</v>
      </c>
      <c r="M460" s="6" t="n">
        <v>50</v>
      </c>
      <c r="N460" s="6" t="n">
        <v>1</v>
      </c>
      <c r="O460" s="6" t="n"/>
      <c r="P460" s="6" t="n">
        <v>6252</v>
      </c>
      <c r="Q460" s="6" t="n">
        <v>1</v>
      </c>
      <c r="R460">
        <f>M460+IF(MAX(N460-1,0)&gt;0,IF(ISBLANK(O460),5*MAX(N460-1,0),IF(ISNUMBER(O460),O460*MAX(N460-1,0),SUM(IFERROR(VALUE(TEXTSPLIT(O460,",")),0)))),0)</f>
        <v/>
      </c>
      <c r="S460">
        <f>IFERROR(L460*MAX(N460,1)/R460*IF(ISBLANK(K456),1,K456),0)</f>
        <v/>
      </c>
      <c r="AB460" s="7" t="inlineStr">
        <is>
          <t>^Warhead_Demolition_Light, ^Warhead_Railgun_Heavy, ^Warhead_CannonHE_Medium</t>
        </is>
      </c>
    </row>
    <row r="461">
      <c r="A461" t="inlineStr">
        <is>
          <t>d2k</t>
        </is>
      </c>
      <c r="B461" t="inlineStr">
        <is>
          <t>ordos_rockettrooper</t>
        </is>
      </c>
      <c r="C461" t="inlineStr">
        <is>
          <t>Ordos Rocket Trooper</t>
        </is>
      </c>
      <c r="D461" s="6" t="inlineStr">
        <is>
          <t>AntiTankAntiAirInfantry</t>
        </is>
      </c>
      <c r="E461" s="6" t="n">
        <v>12000</v>
      </c>
      <c r="F461" s="6" t="n">
        <v>48</v>
      </c>
      <c r="G461" t="inlineStr">
        <is>
          <t>Flak</t>
        </is>
      </c>
      <c r="H461" s="6" t="n">
        <v>1</v>
      </c>
      <c r="I461" s="6" t="n">
        <v>1</v>
      </c>
      <c r="J461" s="6" t="n">
        <v>1</v>
      </c>
      <c r="P461">
        <f>MAX(P462)</f>
        <v/>
      </c>
      <c r="S461">
        <f>S462</f>
        <v/>
      </c>
      <c r="T461">
        <f>(E461/100000+F461/100+(P461/1000)*J461/5+S461/200)*200*I461*H461</f>
        <v/>
      </c>
      <c r="U461">
        <f>((E461*F461/25000)+((P461/1000)*J461*S461/2.5))*I461*H461</f>
        <v/>
      </c>
      <c r="V461">
        <f>(E461*F461*(P461/1000)*J461*S461*I461*H461)/12500000</f>
        <v/>
      </c>
      <c r="W461">
        <f>(T461+U461+V461)/3</f>
        <v/>
      </c>
      <c r="X461" s="6" t="n">
        <v>300</v>
      </c>
      <c r="Y461">
        <f>IFERROR(W461-X461,"")</f>
        <v/>
      </c>
      <c r="Z461">
        <f>IFERROR(ABS(Y461)/MAX(X461,1),"")</f>
        <v/>
      </c>
      <c r="AA461">
        <f>IFERROR((X461-(((E461/100000+F461/100+S461/200)*200*I461*H461)+((E461*F461/25000)*I461*H461))/3)/(((J461/5)*200*I461*H461)+((J461*S461/2.5)*I461*H461)+((E461*F461*J461*S461*I461*H461)/12500000))/3*1000,"")</f>
        <v/>
      </c>
    </row>
    <row r="462">
      <c r="B462" s="7" t="inlineStr">
        <is>
          <t xml:space="preserve">  ↳ D2K_Rocket_Trooper</t>
        </is>
      </c>
      <c r="C462" s="7" t="inlineStr">
        <is>
          <t>Armament</t>
        </is>
      </c>
      <c r="L462" s="6" t="n">
        <v>24000</v>
      </c>
      <c r="M462" s="6" t="n">
        <v>64</v>
      </c>
      <c r="N462" s="6" t="n">
        <v>1</v>
      </c>
      <c r="O462" s="6" t="n"/>
      <c r="P462" s="6" t="n">
        <v>6185</v>
      </c>
      <c r="Q462" s="6" t="n">
        <v>1</v>
      </c>
      <c r="R462">
        <f>M462+IF(MAX(N462-1,0)&gt;0,IF(ISBLANK(O462),5*MAX(N462-1,0),IF(ISNUMBER(O462),O462*MAX(N462-1,0),SUM(IFERROR(VALUE(TEXTSPLIT(O462,",")),0)))),0)</f>
        <v/>
      </c>
      <c r="S462">
        <f>IFERROR(L462*MAX(N462,1)/R462*IF(ISBLANK(K461),1,K461),0)</f>
        <v/>
      </c>
      <c r="AB462" s="7" t="inlineStr">
        <is>
          <t>^Warhead_MissileAP_Light, ^Warhead_MissileAP_Medium, ^Warhead_MissileAP_Heavy</t>
        </is>
      </c>
    </row>
    <row r="463">
      <c r="B463" s="7" t="inlineStr">
        <is>
          <t xml:space="preserve">  ↳ D2K_Rocket_Trooper</t>
        </is>
      </c>
      <c r="C463" s="7" t="inlineStr">
        <is>
          <t>Armament@garrisoned</t>
        </is>
      </c>
      <c r="L463" s="6" t="n">
        <v>24000</v>
      </c>
      <c r="M463" s="6" t="n">
        <v>64</v>
      </c>
      <c r="N463" s="6" t="n">
        <v>1</v>
      </c>
      <c r="O463" s="6" t="n"/>
      <c r="P463" s="6" t="n">
        <v>6185</v>
      </c>
      <c r="Q463" s="6" t="n">
        <v>1</v>
      </c>
      <c r="R463">
        <f>M463+IF(MAX(N463-1,0)&gt;0,IF(ISBLANK(O463),5*MAX(N463-1,0),IF(ISNUMBER(O463),O463*MAX(N463-1,0),SUM(IFERROR(VALUE(TEXTSPLIT(O463,",")),0)))),0)</f>
        <v/>
      </c>
      <c r="S463">
        <f>IFERROR(L463*MAX(N463,1)/R463*IF(ISBLANK(K461),1,K461),0)</f>
        <v/>
      </c>
      <c r="AB463" s="7" t="inlineStr">
        <is>
          <t>^Warhead_MissileAP_Light, ^Warhead_MissileAP_Medium, ^Warhead_MissileAP_Heavy</t>
        </is>
      </c>
    </row>
    <row r="464">
      <c r="A464" t="inlineStr">
        <is>
          <t>d2k</t>
        </is>
      </c>
      <c r="B464" t="inlineStr">
        <is>
          <t>ixian_rockettrooper</t>
        </is>
      </c>
      <c r="C464" t="inlineStr">
        <is>
          <t>Ixian Rocket Trooper</t>
        </is>
      </c>
      <c r="D464" s="6" t="inlineStr">
        <is>
          <t>AntiTankAntiAirInfantry</t>
        </is>
      </c>
      <c r="E464" s="6" t="n">
        <v>12000</v>
      </c>
      <c r="F464" s="6" t="n">
        <v>48</v>
      </c>
      <c r="G464" t="inlineStr">
        <is>
          <t>Flak</t>
        </is>
      </c>
      <c r="H464" s="6" t="n">
        <v>1</v>
      </c>
      <c r="I464" s="6" t="n">
        <v>1</v>
      </c>
      <c r="J464" s="6" t="n">
        <v>1</v>
      </c>
      <c r="P464">
        <f>MAX(P465)</f>
        <v/>
      </c>
      <c r="S464">
        <f>S465</f>
        <v/>
      </c>
      <c r="T464">
        <f>(E464/100000+F464/100+(P464/1000)*J464/5+S464/200)*200*I464*H464</f>
        <v/>
      </c>
      <c r="U464">
        <f>((E464*F464/25000)+((P464/1000)*J464*S464/2.5))*I464*H464</f>
        <v/>
      </c>
      <c r="V464">
        <f>(E464*F464*(P464/1000)*J464*S464*I464*H464)/12500000</f>
        <v/>
      </c>
      <c r="W464">
        <f>(T464+U464+V464)/3</f>
        <v/>
      </c>
      <c r="X464" s="6" t="n">
        <v>300</v>
      </c>
      <c r="Y464">
        <f>IFERROR(W464-X464,"")</f>
        <v/>
      </c>
      <c r="Z464">
        <f>IFERROR(ABS(Y464)/MAX(X464,1),"")</f>
        <v/>
      </c>
      <c r="AA464">
        <f>IFERROR((X464-(((E464/100000+F464/100+S464/200)*200*I464*H464)+((E464*F464/25000)*I464*H464))/3)/(((J464/5)*200*I464*H464)+((J464*S464/2.5)*I464*H464)+((E464*F464*J464*S464*I464*H464)/12500000))/3*1000,"")</f>
        <v/>
      </c>
    </row>
    <row r="465">
      <c r="B465" s="7" t="inlineStr">
        <is>
          <t xml:space="preserve">  ↳ D2K_Rocket_Trooper</t>
        </is>
      </c>
      <c r="C465" s="7" t="inlineStr">
        <is>
          <t>Armament</t>
        </is>
      </c>
      <c r="L465" s="6" t="n">
        <v>24000</v>
      </c>
      <c r="M465" s="6" t="n">
        <v>64</v>
      </c>
      <c r="N465" s="6" t="n">
        <v>1</v>
      </c>
      <c r="O465" s="6" t="n"/>
      <c r="P465" s="6" t="n">
        <v>6185</v>
      </c>
      <c r="Q465" s="6" t="n">
        <v>1</v>
      </c>
      <c r="R465">
        <f>M465+IF(MAX(N465-1,0)&gt;0,IF(ISBLANK(O465),5*MAX(N465-1,0),IF(ISNUMBER(O465),O465*MAX(N465-1,0),SUM(IFERROR(VALUE(TEXTSPLIT(O465,",")),0)))),0)</f>
        <v/>
      </c>
      <c r="S465">
        <f>IFERROR(L465*MAX(N465,1)/R465*IF(ISBLANK(K464),1,K464),0)</f>
        <v/>
      </c>
      <c r="AB465" s="7" t="inlineStr">
        <is>
          <t>^Warhead_MissileAP_Light, ^Warhead_MissileAP_Medium, ^Warhead_MissileAP_Heavy</t>
        </is>
      </c>
    </row>
    <row r="466">
      <c r="B466" s="7" t="inlineStr">
        <is>
          <t xml:space="preserve">  ↳ D2K_Rocket_Trooper</t>
        </is>
      </c>
      <c r="C466" s="7" t="inlineStr">
        <is>
          <t>Armament@garrisoned</t>
        </is>
      </c>
      <c r="L466" s="6" t="n">
        <v>24000</v>
      </c>
      <c r="M466" s="6" t="n">
        <v>64</v>
      </c>
      <c r="N466" s="6" t="n">
        <v>1</v>
      </c>
      <c r="O466" s="6" t="n"/>
      <c r="P466" s="6" t="n">
        <v>6185</v>
      </c>
      <c r="Q466" s="6" t="n">
        <v>1</v>
      </c>
      <c r="R466">
        <f>M466+IF(MAX(N466-1,0)&gt;0,IF(ISBLANK(O466),5*MAX(N466-1,0),IF(ISNUMBER(O466),O466*MAX(N466-1,0),SUM(IFERROR(VALUE(TEXTSPLIT(O466,",")),0)))),0)</f>
        <v/>
      </c>
      <c r="S466">
        <f>IFERROR(L466*MAX(N466,1)/R466*IF(ISBLANK(K464),1,K464),0)</f>
        <v/>
      </c>
      <c r="AB466" s="7" t="inlineStr">
        <is>
          <t>^Warhead_MissileAP_Light, ^Warhead_MissileAP_Medium, ^Warhead_MissileAP_Heavy</t>
        </is>
      </c>
    </row>
    <row r="467">
      <c r="A467" t="inlineStr">
        <is>
          <t>d2k</t>
        </is>
      </c>
      <c r="B467" t="inlineStr">
        <is>
          <t>ixian_twinrockettrooper</t>
        </is>
      </c>
      <c r="C467" t="inlineStr">
        <is>
          <t>Twin Rocket Trooper</t>
        </is>
      </c>
      <c r="D467" s="6" t="inlineStr">
        <is>
          <t>AntiTankAntiAirInfantry</t>
        </is>
      </c>
      <c r="E467" s="6" t="n">
        <v>24000</v>
      </c>
      <c r="F467" s="6" t="n">
        <v>48</v>
      </c>
      <c r="G467" t="inlineStr">
        <is>
          <t>Flak</t>
        </is>
      </c>
      <c r="H467" s="6" t="n">
        <v>1</v>
      </c>
      <c r="I467" s="6" t="n">
        <v>0.5</v>
      </c>
      <c r="J467" s="6" t="n">
        <v>1</v>
      </c>
      <c r="P467">
        <f>MAX(P468,P469)</f>
        <v/>
      </c>
      <c r="S467">
        <f>S468+S469</f>
        <v/>
      </c>
      <c r="T467">
        <f>(E467/100000+F467/100+(P467/1000)*J467/5+S467/200)*200*I467*H467</f>
        <v/>
      </c>
      <c r="U467">
        <f>((E467*F467/25000)+((P467/1000)*J467*S467/2.5))*I467*H467</f>
        <v/>
      </c>
      <c r="V467">
        <f>(E467*F467*(P467/1000)*J467*S467*I467*H467)/12500000</f>
        <v/>
      </c>
      <c r="W467">
        <f>(T467+U467+V467)/3</f>
        <v/>
      </c>
      <c r="X467" s="6" t="n">
        <v>600</v>
      </c>
      <c r="Y467">
        <f>IFERROR(W467-X467,"")</f>
        <v/>
      </c>
      <c r="Z467">
        <f>IFERROR(ABS(Y467)/MAX(X467,1),"")</f>
        <v/>
      </c>
      <c r="AA467">
        <f>IFERROR((X467-(((E467/100000+F467/100+S467/200)*200*I467*H467)+((E467*F467/25000)*I467*H467))/3)/(((J467/5)*200*I467*H467)+((J467*S467/2.5)*I467*H467)+((E467*F467*J467*S467*I467*H467)/12500000))/3*1000,"")</f>
        <v/>
      </c>
    </row>
    <row r="468">
      <c r="B468" s="7" t="inlineStr">
        <is>
          <t xml:space="preserve">  ↳ D2K_Rocket_Trooper1</t>
        </is>
      </c>
      <c r="C468" s="7" t="inlineStr">
        <is>
          <t>Armament</t>
        </is>
      </c>
      <c r="L468" s="6" t="n">
        <v>24000</v>
      </c>
      <c r="M468" s="6" t="n">
        <v>64</v>
      </c>
      <c r="N468" s="6" t="n">
        <v>1</v>
      </c>
      <c r="O468" s="6" t="n"/>
      <c r="P468" s="6" t="n">
        <v>6502</v>
      </c>
      <c r="Q468" s="6" t="n">
        <v>1</v>
      </c>
      <c r="R468">
        <f>M468+IF(MAX(N468-1,0)&gt;0,IF(ISBLANK(O468),5*MAX(N468-1,0),IF(ISNUMBER(O468),O468*MAX(N468-1,0),SUM(IFERROR(VALUE(TEXTSPLIT(O468,",")),0)))),0)</f>
        <v/>
      </c>
      <c r="S468">
        <f>IFERROR(L468*MAX(N468,1)/R468*IF(ISBLANK(K467),1,K467),0)</f>
        <v/>
      </c>
      <c r="AB468" s="7" t="inlineStr">
        <is>
          <t>^Warhead_Flak_Medium, ^Warhead_MissileAP_Light, ^Warhead_MissileAP_Heavy</t>
        </is>
      </c>
    </row>
    <row r="469">
      <c r="B469" s="7" t="inlineStr">
        <is>
          <t xml:space="preserve">  ↳ D2K_Rocket_Trooper2</t>
        </is>
      </c>
      <c r="C469" s="7" t="inlineStr">
        <is>
          <t>Armament@SECONDARY</t>
        </is>
      </c>
      <c r="L469" s="6" t="n">
        <v>24000</v>
      </c>
      <c r="M469" s="6" t="n">
        <v>64</v>
      </c>
      <c r="N469" s="6" t="n">
        <v>1</v>
      </c>
      <c r="O469" s="6" t="n"/>
      <c r="P469" s="6" t="n">
        <v>6502</v>
      </c>
      <c r="Q469" s="6" t="n">
        <v>1</v>
      </c>
      <c r="R469">
        <f>M469+IF(MAX(N469-1,0)&gt;0,IF(ISBLANK(O469),5*MAX(N469-1,0),IF(ISNUMBER(O469),O469*MAX(N469-1,0),SUM(IFERROR(VALUE(TEXTSPLIT(O469,",")),0)))),0)</f>
        <v/>
      </c>
      <c r="S469">
        <f>IFERROR(L469*MAX(N469,1)/R469*IF(ISBLANK(K467),1,K467),0)</f>
        <v/>
      </c>
      <c r="AB469" s="7" t="inlineStr">
        <is>
          <t>^Warhead_Demolition_Light, ^Warhead_Railgun_Heavy, ^Warhead_CannonHE_Medium</t>
        </is>
      </c>
    </row>
    <row r="470">
      <c r="B470" s="7" t="inlineStr">
        <is>
          <t xml:space="preserve">  ↳ D2K_Rocket_Trooper1</t>
        </is>
      </c>
      <c r="C470" s="7" t="inlineStr">
        <is>
          <t>Armament@garrisoned</t>
        </is>
      </c>
      <c r="L470" s="6" t="n">
        <v>24000</v>
      </c>
      <c r="M470" s="6" t="n">
        <v>64</v>
      </c>
      <c r="N470" s="6" t="n">
        <v>1</v>
      </c>
      <c r="O470" s="6" t="n"/>
      <c r="P470" s="6" t="n">
        <v>6502</v>
      </c>
      <c r="Q470" s="6" t="n">
        <v>1</v>
      </c>
      <c r="R470">
        <f>M470+IF(MAX(N470-1,0)&gt;0,IF(ISBLANK(O470),5*MAX(N470-1,0),IF(ISNUMBER(O470),O470*MAX(N470-1,0),SUM(IFERROR(VALUE(TEXTSPLIT(O470,",")),0)))),0)</f>
        <v/>
      </c>
      <c r="S470">
        <f>IFERROR(L470*MAX(N470,1)/R470*IF(ISBLANK(K467),1,K467),0)</f>
        <v/>
      </c>
      <c r="AB470" s="7" t="inlineStr">
        <is>
          <t>^Warhead_Flak_Medium, ^Warhead_MissileAP_Light, ^Warhead_MissileAP_Heavy</t>
        </is>
      </c>
    </row>
    <row r="471">
      <c r="B471" s="7" t="inlineStr">
        <is>
          <t xml:space="preserve">  ↳ D2K_Rocket_Trooper2</t>
        </is>
      </c>
      <c r="C471" s="7" t="inlineStr">
        <is>
          <t>Armament@SECONDARYgarrisoned</t>
        </is>
      </c>
      <c r="L471" s="6" t="n">
        <v>24000</v>
      </c>
      <c r="M471" s="6" t="n">
        <v>64</v>
      </c>
      <c r="N471" s="6" t="n">
        <v>1</v>
      </c>
      <c r="O471" s="6" t="n"/>
      <c r="P471" s="6" t="n">
        <v>6502</v>
      </c>
      <c r="Q471" s="6" t="n">
        <v>1</v>
      </c>
      <c r="R471">
        <f>M471+IF(MAX(N471-1,0)&gt;0,IF(ISBLANK(O471),5*MAX(N471-1,0),IF(ISNUMBER(O471),O471*MAX(N471-1,0),SUM(IFERROR(VALUE(TEXTSPLIT(O471,",")),0)))),0)</f>
        <v/>
      </c>
      <c r="S471">
        <f>IFERROR(L471*MAX(N471,1)/R471*IF(ISBLANK(K467),1,K467),0)</f>
        <v/>
      </c>
      <c r="AB471" s="7" t="inlineStr">
        <is>
          <t>^Warhead_Demolition_Light, ^Warhead_Railgun_Heavy, ^Warhead_CannonHE_Medium</t>
        </is>
      </c>
    </row>
    <row r="472">
      <c r="A472" t="inlineStr">
        <is>
          <t>starcraft</t>
        </is>
      </c>
      <c r="B472" t="inlineStr">
        <is>
          <t>protoss_hightemplar</t>
        </is>
      </c>
      <c r="C472" t="inlineStr">
        <is>
          <t>High Templar</t>
        </is>
      </c>
      <c r="D472" s="6" t="inlineStr">
        <is>
          <t>AntiTankAntiAirInfantry</t>
        </is>
      </c>
      <c r="E472" s="6" t="n">
        <v>35000</v>
      </c>
      <c r="F472" s="6" t="n">
        <v>70</v>
      </c>
      <c r="G472" t="inlineStr">
        <is>
          <t>Flak</t>
        </is>
      </c>
      <c r="H472" s="6" t="n">
        <v>0.75</v>
      </c>
      <c r="I472" s="6" t="n">
        <v>0.5</v>
      </c>
      <c r="J472" s="6" t="n">
        <v>1.25</v>
      </c>
      <c r="P472">
        <f>MAX(P474,P475,P476,P477,P478,P479,P480,P481)</f>
        <v/>
      </c>
      <c r="S472">
        <f>S474+S475+S476+S477+S478+S479+S480+S481</f>
        <v/>
      </c>
      <c r="T472">
        <f>(E472/100000+F472/100+(P472/1000)*J472/5+S472/200)*200*I472*H472</f>
        <v/>
      </c>
      <c r="U472">
        <f>((E472*F472/25000)+((P472/1000)*J472*S472/2.5))*I472*H472</f>
        <v/>
      </c>
      <c r="V472">
        <f>(E472*F472*(P472/1000)*J472*S472*I472*H472)/12500000</f>
        <v/>
      </c>
      <c r="W472">
        <f>IFERROR((((E472/5000)+(F472/50)+(S472/0)+((P472/0)*J472))*500/4+(((E472/5000)*(F472/50))+(((P472/0)*J472)*(S472/0)))*500/2+((E472/5000)*(F472/50)*((P472/0)*J472)*(S472/0))*500)*(H472/1.0)/3,"")</f>
        <v/>
      </c>
      <c r="X472" s="6" t="n">
        <v>800</v>
      </c>
      <c r="Y472">
        <f>IFERROR(W472-X472,"")</f>
        <v/>
      </c>
      <c r="Z472">
        <f>IFERROR(ABS(Y472)/MAX(X472,1),"")</f>
        <v/>
      </c>
      <c r="AA472">
        <f>IFERROR(ROUND(((3*X472-(((E472/5000)+(F472/50)+(S472/0))*500/4+((E472/5000)*(F472/50))*500/2)*(H472/1.0))/(500/4+((S472/0))*500/2+((E472/5000)*(F472/50)*(S472/0))*500)*(H472/1.0)*0)/J472,-1),"")</f>
        <v/>
      </c>
    </row>
    <row r="473">
      <c r="B473" s="7" t="inlineStr">
        <is>
          <t xml:space="preserve">  ↳ PsiStormCosmetic</t>
        </is>
      </c>
      <c r="C473" s="7" t="inlineStr">
        <is>
          <t>Armament@Effect</t>
        </is>
      </c>
      <c r="M473" s="6" t="n">
        <v>64</v>
      </c>
      <c r="N473" s="6" t="n">
        <v>1</v>
      </c>
      <c r="O473" s="6" t="n"/>
      <c r="P473" s="6" t="n">
        <v>6400</v>
      </c>
      <c r="Q473" s="6" t="n">
        <v>1</v>
      </c>
      <c r="R473">
        <f>M473+IF(MAX(N473-1,0)&gt;0,IF(ISBLANK(O473),5*MAX(N473-1,0),IF(ISNUMBER(O473),O473*MAX(N473-1,0),SUM(IFERROR(VALUE(TEXTSPLIT(O473,",")),0)))),0)</f>
        <v/>
      </c>
      <c r="S473">
        <f>IFERROR(L473*MAX(N473,1)/R473*IF(ISBLANK(K472),1,K472),0)</f>
        <v/>
      </c>
      <c r="AB473" s="7" t="inlineStr"/>
    </row>
    <row r="474">
      <c r="B474" s="7" t="inlineStr">
        <is>
          <t xml:space="preserve">  ↳ PsiStorm</t>
        </is>
      </c>
      <c r="C474" s="7" t="inlineStr">
        <is>
          <t>Armament@1</t>
        </is>
      </c>
      <c r="L474" s="6" t="n">
        <v>8000</v>
      </c>
      <c r="M474" s="6" t="n">
        <v>64</v>
      </c>
      <c r="N474" s="6" t="n">
        <v>1</v>
      </c>
      <c r="O474" s="6" t="n"/>
      <c r="P474" s="6" t="n">
        <v>6400</v>
      </c>
      <c r="Q474" s="6" t="n">
        <v>1.25</v>
      </c>
      <c r="R474">
        <f>M474+IF(MAX(N474-1,0)&gt;0,IF(ISBLANK(O474),5*MAX(N474-1,0),IF(ISNUMBER(O474),O474*MAX(N474-1,0),SUM(IFERROR(VALUE(TEXTSPLIT(O474,",")),0)))),0)</f>
        <v/>
      </c>
      <c r="S474">
        <f>IFERROR(L474*MAX(N474,1)/R474*IF(ISBLANK(K472),1,K472),0)</f>
        <v/>
      </c>
      <c r="AB474" s="7" t="inlineStr">
        <is>
          <t>^Warhead_Tesla_Heavy</t>
        </is>
      </c>
    </row>
    <row r="475">
      <c r="B475" s="7" t="inlineStr">
        <is>
          <t xml:space="preserve">  ↳ PsiStorm</t>
        </is>
      </c>
      <c r="C475" s="7" t="inlineStr">
        <is>
          <t>Armament@2</t>
        </is>
      </c>
      <c r="L475" s="6" t="n">
        <v>8000</v>
      </c>
      <c r="M475" s="6" t="n">
        <v>64</v>
      </c>
      <c r="N475" s="6" t="n">
        <v>1</v>
      </c>
      <c r="O475" s="6" t="n"/>
      <c r="P475" s="6" t="n">
        <v>6400</v>
      </c>
      <c r="Q475" s="6" t="n">
        <v>1.25</v>
      </c>
      <c r="R475">
        <f>M475+IF(MAX(N475-1,0)&gt;0,IF(ISBLANK(O475),5*MAX(N475-1,0),IF(ISNUMBER(O475),O475*MAX(N475-1,0),SUM(IFERROR(VALUE(TEXTSPLIT(O475,",")),0)))),0)</f>
        <v/>
      </c>
      <c r="S475">
        <f>IFERROR(L475*MAX(N475,1)/R475*IF(ISBLANK(K472),1,K472),0)</f>
        <v/>
      </c>
      <c r="AB475" s="7" t="inlineStr">
        <is>
          <t>^Warhead_Tesla_Heavy</t>
        </is>
      </c>
    </row>
    <row r="476">
      <c r="B476" s="7" t="inlineStr">
        <is>
          <t xml:space="preserve">  ↳ PsiStorm</t>
        </is>
      </c>
      <c r="C476" s="7" t="inlineStr">
        <is>
          <t>Armament@3</t>
        </is>
      </c>
      <c r="L476" s="6" t="n">
        <v>8000</v>
      </c>
      <c r="M476" s="6" t="n">
        <v>64</v>
      </c>
      <c r="N476" s="6" t="n">
        <v>1</v>
      </c>
      <c r="O476" s="6" t="n"/>
      <c r="P476" s="6" t="n">
        <v>6400</v>
      </c>
      <c r="Q476" s="6" t="n">
        <v>1.25</v>
      </c>
      <c r="R476">
        <f>M476+IF(MAX(N476-1,0)&gt;0,IF(ISBLANK(O476),5*MAX(N476-1,0),IF(ISNUMBER(O476),O476*MAX(N476-1,0),SUM(IFERROR(VALUE(TEXTSPLIT(O476,",")),0)))),0)</f>
        <v/>
      </c>
      <c r="S476">
        <f>IFERROR(L476*MAX(N476,1)/R476*IF(ISBLANK(K472),1,K472),0)</f>
        <v/>
      </c>
      <c r="AB476" s="7" t="inlineStr">
        <is>
          <t>^Warhead_Tesla_Heavy</t>
        </is>
      </c>
    </row>
    <row r="477">
      <c r="B477" s="7" t="inlineStr">
        <is>
          <t xml:space="preserve">  ↳ PsiStorm</t>
        </is>
      </c>
      <c r="C477" s="7" t="inlineStr">
        <is>
          <t>Armament@4</t>
        </is>
      </c>
      <c r="L477" s="6" t="n">
        <v>8000</v>
      </c>
      <c r="M477" s="6" t="n">
        <v>64</v>
      </c>
      <c r="N477" s="6" t="n">
        <v>1</v>
      </c>
      <c r="O477" s="6" t="n"/>
      <c r="P477" s="6" t="n">
        <v>6400</v>
      </c>
      <c r="Q477" s="6" t="n">
        <v>1.25</v>
      </c>
      <c r="R477">
        <f>M477+IF(MAX(N477-1,0)&gt;0,IF(ISBLANK(O477),5*MAX(N477-1,0),IF(ISNUMBER(O477),O477*MAX(N477-1,0),SUM(IFERROR(VALUE(TEXTSPLIT(O477,",")),0)))),0)</f>
        <v/>
      </c>
      <c r="S477">
        <f>IFERROR(L477*MAX(N477,1)/R477*IF(ISBLANK(K472),1,K472),0)</f>
        <v/>
      </c>
      <c r="AB477" s="7" t="inlineStr">
        <is>
          <t>^Warhead_Tesla_Heavy</t>
        </is>
      </c>
    </row>
    <row r="478">
      <c r="B478" s="7" t="inlineStr">
        <is>
          <t xml:space="preserve">  ↳ PsiStorm</t>
        </is>
      </c>
      <c r="C478" s="7" t="inlineStr">
        <is>
          <t>Armament@5</t>
        </is>
      </c>
      <c r="L478" s="6" t="n">
        <v>8000</v>
      </c>
      <c r="M478" s="6" t="n">
        <v>64</v>
      </c>
      <c r="N478" s="6" t="n">
        <v>1</v>
      </c>
      <c r="O478" s="6" t="n"/>
      <c r="P478" s="6" t="n">
        <v>6400</v>
      </c>
      <c r="Q478" s="6" t="n">
        <v>1.25</v>
      </c>
      <c r="R478">
        <f>M478+IF(MAX(N478-1,0)&gt;0,IF(ISBLANK(O478),5*MAX(N478-1,0),IF(ISNUMBER(O478),O478*MAX(N478-1,0),SUM(IFERROR(VALUE(TEXTSPLIT(O478,",")),0)))),0)</f>
        <v/>
      </c>
      <c r="S478">
        <f>IFERROR(L478*MAX(N478,1)/R478*IF(ISBLANK(K472),1,K472),0)</f>
        <v/>
      </c>
      <c r="AB478" s="7" t="inlineStr">
        <is>
          <t>^Warhead_Tesla_Heavy</t>
        </is>
      </c>
    </row>
    <row r="479">
      <c r="B479" s="7" t="inlineStr">
        <is>
          <t xml:space="preserve">  ↳ PsiStorm</t>
        </is>
      </c>
      <c r="C479" s="7" t="inlineStr">
        <is>
          <t>Armament@6</t>
        </is>
      </c>
      <c r="L479" s="6" t="n">
        <v>8000</v>
      </c>
      <c r="M479" s="6" t="n">
        <v>64</v>
      </c>
      <c r="N479" s="6" t="n">
        <v>1</v>
      </c>
      <c r="O479" s="6" t="n"/>
      <c r="P479" s="6" t="n">
        <v>6400</v>
      </c>
      <c r="Q479" s="6" t="n">
        <v>1.25</v>
      </c>
      <c r="R479">
        <f>M479+IF(MAX(N479-1,0)&gt;0,IF(ISBLANK(O479),5*MAX(N479-1,0),IF(ISNUMBER(O479),O479*MAX(N479-1,0),SUM(IFERROR(VALUE(TEXTSPLIT(O479,",")),0)))),0)</f>
        <v/>
      </c>
      <c r="S479">
        <f>IFERROR(L479*MAX(N479,1)/R479*IF(ISBLANK(K472),1,K472),0)</f>
        <v/>
      </c>
      <c r="AB479" s="7" t="inlineStr">
        <is>
          <t>^Warhead_Tesla_Heavy</t>
        </is>
      </c>
    </row>
    <row r="480">
      <c r="B480" s="7" t="inlineStr">
        <is>
          <t xml:space="preserve">  ↳ PsiStorm</t>
        </is>
      </c>
      <c r="C480" s="7" t="inlineStr">
        <is>
          <t>Armament@7</t>
        </is>
      </c>
      <c r="L480" s="6" t="n">
        <v>8000</v>
      </c>
      <c r="M480" s="6" t="n">
        <v>64</v>
      </c>
      <c r="N480" s="6" t="n">
        <v>1</v>
      </c>
      <c r="O480" s="6" t="n"/>
      <c r="P480" s="6" t="n">
        <v>6400</v>
      </c>
      <c r="Q480" s="6" t="n">
        <v>1.25</v>
      </c>
      <c r="R480">
        <f>M480+IF(MAX(N480-1,0)&gt;0,IF(ISBLANK(O480),5*MAX(N480-1,0),IF(ISNUMBER(O480),O480*MAX(N480-1,0),SUM(IFERROR(VALUE(TEXTSPLIT(O480,",")),0)))),0)</f>
        <v/>
      </c>
      <c r="S480">
        <f>IFERROR(L480*MAX(N480,1)/R480*IF(ISBLANK(K472),1,K472),0)</f>
        <v/>
      </c>
      <c r="AB480" s="7" t="inlineStr">
        <is>
          <t>^Warhead_Tesla_Heavy</t>
        </is>
      </c>
    </row>
    <row r="481">
      <c r="B481" s="7" t="inlineStr">
        <is>
          <t xml:space="preserve">  ↳ PsiStorm</t>
        </is>
      </c>
      <c r="C481" s="7" t="inlineStr">
        <is>
          <t>Armament@8</t>
        </is>
      </c>
      <c r="L481" s="6" t="n">
        <v>8000</v>
      </c>
      <c r="M481" s="6" t="n">
        <v>64</v>
      </c>
      <c r="N481" s="6" t="n">
        <v>1</v>
      </c>
      <c r="O481" s="6" t="n"/>
      <c r="P481" s="6" t="n">
        <v>6400</v>
      </c>
      <c r="Q481" s="6" t="n">
        <v>1.25</v>
      </c>
      <c r="R481">
        <f>M481+IF(MAX(N481-1,0)&gt;0,IF(ISBLANK(O481),5*MAX(N481-1,0),IF(ISNUMBER(O481),O481*MAX(N481-1,0),SUM(IFERROR(VALUE(TEXTSPLIT(O481,",")),0)))),0)</f>
        <v/>
      </c>
      <c r="S481">
        <f>IFERROR(L481*MAX(N481,1)/R481*IF(ISBLANK(K472),1,K472),0)</f>
        <v/>
      </c>
      <c r="AB481" s="7" t="inlineStr">
        <is>
          <t>^Warhead_Tesla_Heavy</t>
        </is>
      </c>
    </row>
    <row r="482">
      <c r="A482" t="inlineStr">
        <is>
          <t>starcraft</t>
        </is>
      </c>
      <c r="B482" t="inlineStr">
        <is>
          <t>zerg_hydralisk</t>
        </is>
      </c>
      <c r="C482" t="inlineStr">
        <is>
          <t>Hydralisk</t>
        </is>
      </c>
      <c r="D482" s="6" t="inlineStr">
        <is>
          <t>AntiTankAntiAirInfantry</t>
        </is>
      </c>
      <c r="E482" s="6" t="n">
        <v>80000</v>
      </c>
      <c r="F482" s="6" t="n">
        <v>76</v>
      </c>
      <c r="G482" t="inlineStr">
        <is>
          <t>Flak</t>
        </is>
      </c>
      <c r="H482" s="6" t="n">
        <v>1</v>
      </c>
      <c r="I482" s="6" t="n">
        <v>0.5</v>
      </c>
      <c r="J482" s="6" t="n">
        <v>1</v>
      </c>
      <c r="K482" t="n">
        <v>0.009899999999999999</v>
      </c>
      <c r="P482">
        <f>MAX(P483)</f>
        <v/>
      </c>
      <c r="S482">
        <f>S483</f>
        <v/>
      </c>
      <c r="T482">
        <f>(E482/100000+F482/100+(P482/1000)*J482/5+S482/200)*200*I482*H482</f>
        <v/>
      </c>
      <c r="U482">
        <f>((E482*F482/25000)+((P482/1000)*J482*S482/2.5))*I482*H482</f>
        <v/>
      </c>
      <c r="V482">
        <f>(E482*F482*(P482/1000)*J482*S482*I482*H482)/12500000</f>
        <v/>
      </c>
      <c r="W482">
        <f>(T482+U482+V482)/3</f>
        <v/>
      </c>
      <c r="X482" s="6" t="n">
        <v>3314</v>
      </c>
      <c r="Y482">
        <f>IFERROR(W482-X482,"")</f>
        <v/>
      </c>
      <c r="Z482">
        <f>IFERROR(ABS(Y482)/MAX(X482,1),"")</f>
        <v/>
      </c>
      <c r="AA482">
        <f>IFERROR((X482-(((E482/100000+F482/100+S482/200)*200*I482*H482)+((E482*F482/25000)*I482*H482))/3)/(((J482/5)*200*I482*H482)+((J482*S482/2.5)*I482*H482)+((E482*F482*J482*S482*I482*H482)/12500000))/3*1000,"")</f>
        <v/>
      </c>
    </row>
    <row r="483">
      <c r="B483" s="7" t="inlineStr">
        <is>
          <t xml:space="preserve">  ↳ HydraSpit</t>
        </is>
      </c>
      <c r="C483" s="7" t="inlineStr">
        <is>
          <t>Armament@PRIMARY</t>
        </is>
      </c>
      <c r="L483" s="6" t="n">
        <v>72000</v>
      </c>
      <c r="M483" s="6" t="n">
        <v>15</v>
      </c>
      <c r="N483" s="6" t="n">
        <v>1</v>
      </c>
      <c r="O483" s="6" t="n"/>
      <c r="P483" s="6" t="n">
        <v>5979</v>
      </c>
      <c r="Q483" s="6" t="n">
        <v>1</v>
      </c>
      <c r="R483">
        <f>M483+IF(MAX(N483-1,0)&gt;0,IF(ISBLANK(O483),5*MAX(N483-1,0),IF(ISNUMBER(O483),O483*MAX(N483-1,0),SUM(IFERROR(VALUE(TEXTSPLIT(O483,",")),0)))),0)</f>
        <v/>
      </c>
      <c r="S483">
        <f>IFERROR(L483*MAX(N483,1)/R483*IF(ISBLANK(K482),1,K482),0)</f>
        <v/>
      </c>
      <c r="AB483" s="7" t="inlineStr">
        <is>
          <t>^LightChemicalWeapon, ^LightMissile, ^SmallArms, ^ArrowWeapon</t>
        </is>
      </c>
    </row>
    <row r="484">
      <c r="B484" s="7" t="inlineStr">
        <is>
          <t xml:space="preserve">  ↳ HydraSpit</t>
        </is>
      </c>
      <c r="C484" s="7" t="inlineStr">
        <is>
          <t>Armament@GARRISONED</t>
        </is>
      </c>
      <c r="L484" s="6" t="n">
        <v>72000</v>
      </c>
      <c r="M484" s="6" t="n">
        <v>15</v>
      </c>
      <c r="N484" s="6" t="n">
        <v>1</v>
      </c>
      <c r="O484" s="6" t="n"/>
      <c r="P484" s="6" t="n">
        <v>5979</v>
      </c>
      <c r="Q484" s="6" t="n">
        <v>1</v>
      </c>
      <c r="R484">
        <f>M484+IF(MAX(N484-1,0)&gt;0,IF(ISBLANK(O484),5*MAX(N484-1,0),IF(ISNUMBER(O484),O484*MAX(N484-1,0),SUM(IFERROR(VALUE(TEXTSPLIT(O484,",")),0)))),0)</f>
        <v/>
      </c>
      <c r="S484">
        <f>IFERROR(L484*MAX(N484,1)/R484*IF(ISBLANK(K482),1,K482),0)</f>
        <v/>
      </c>
      <c r="AB484" s="7" t="inlineStr">
        <is>
          <t>^LightChemicalWeapon, ^LightMissile, ^SmallArms, ^ArrowWeapon</t>
        </is>
      </c>
    </row>
    <row r="485">
      <c r="A485" t="inlineStr">
        <is>
          <t>starcraft</t>
        </is>
      </c>
      <c r="B485" t="inlineStr">
        <is>
          <t>terran_madcap</t>
        </is>
      </c>
      <c r="C485" t="inlineStr">
        <is>
          <t>Madcap</t>
        </is>
      </c>
      <c r="D485" s="6" t="inlineStr">
        <is>
          <t>AntiTankAntiAirInfantry</t>
        </is>
      </c>
      <c r="E485" s="6" t="n">
        <v>60000</v>
      </c>
      <c r="F485" s="6" t="n">
        <v>60</v>
      </c>
      <c r="G485" t="inlineStr">
        <is>
          <t>Flak</t>
        </is>
      </c>
      <c r="H485" s="6" t="n">
        <v>1</v>
      </c>
      <c r="I485" s="6" t="n">
        <v>0.5</v>
      </c>
      <c r="J485" s="6" t="n">
        <v>1.25</v>
      </c>
      <c r="K485" t="n">
        <v>0.0108</v>
      </c>
      <c r="P485">
        <f>MAX(P486)</f>
        <v/>
      </c>
      <c r="S485">
        <f>S486</f>
        <v/>
      </c>
      <c r="T485">
        <f>(E485/100000+F485/100+(P485/1000)*J485/5+S485/200)*200*I485*H485</f>
        <v/>
      </c>
      <c r="U485">
        <f>((E485*F485/25000)+((P485/1000)*J485*S485/2.5))*I485*H485</f>
        <v/>
      </c>
      <c r="V485">
        <f>(E485*F485*(P485/1000)*J485*S485*I485*H485)/12500000</f>
        <v/>
      </c>
      <c r="W485">
        <f>(T485+U485+V485)/3</f>
        <v/>
      </c>
      <c r="X485" s="6" t="n">
        <v>1003</v>
      </c>
      <c r="Y485">
        <f>IFERROR(W485-X485,"")</f>
        <v/>
      </c>
      <c r="Z485">
        <f>IFERROR(ABS(Y485)/MAX(X485,1),"")</f>
        <v/>
      </c>
      <c r="AA485">
        <f>IFERROR((X485-(((E485/100000+F485/100+S485/200)*200*I485*H485)+((E485*F485/25000)*I485*H485))/3)/(((J485/5)*200*I485*H485)+((J485*S485/2.5)*I485*H485)+((E485*F485*J485*S485*I485*H485)/12500000))/3*1000,"")</f>
        <v/>
      </c>
    </row>
    <row r="486">
      <c r="B486" s="7" t="inlineStr">
        <is>
          <t xml:space="preserve">  ↳ MadcapGun</t>
        </is>
      </c>
      <c r="C486" s="7" t="inlineStr">
        <is>
          <t>Armament@PRIMARY</t>
        </is>
      </c>
      <c r="L486" s="6" t="n">
        <v>36000</v>
      </c>
      <c r="M486" s="6" t="n">
        <v>25</v>
      </c>
      <c r="N486" s="6" t="n">
        <v>1</v>
      </c>
      <c r="O486" s="6" t="n"/>
      <c r="P486" s="6" t="n">
        <v>5542</v>
      </c>
      <c r="Q486" s="6" t="n">
        <v>1</v>
      </c>
      <c r="R486">
        <f>M486+IF(MAX(N486-1,0)&gt;0,IF(ISBLANK(O486),5*MAX(N486-1,0),IF(ISNUMBER(O486),O486*MAX(N486-1,0),SUM(IFERROR(VALUE(TEXTSPLIT(O486,",")),0)))),0)</f>
        <v/>
      </c>
      <c r="S486">
        <f>IFERROR(L486*MAX(N486,1)/R486*IF(ISBLANK(K485),1,K485),0)</f>
        <v/>
      </c>
      <c r="AB486" s="7" t="inlineStr">
        <is>
          <t>^Warhead_Bullet_Light, ^Warhead_Bullet_Medium, ^Warhead_CannonHE_Heavy</t>
        </is>
      </c>
    </row>
    <row r="487">
      <c r="B487" s="7" t="inlineStr">
        <is>
          <t xml:space="preserve">  ↳ MadcapGun</t>
        </is>
      </c>
      <c r="C487" s="7" t="inlineStr">
        <is>
          <t>Armament@GARRISONED</t>
        </is>
      </c>
      <c r="L487" s="6" t="n">
        <v>36000</v>
      </c>
      <c r="M487" s="6" t="n">
        <v>25</v>
      </c>
      <c r="N487" s="6" t="n">
        <v>1</v>
      </c>
      <c r="O487" s="6" t="n"/>
      <c r="P487" s="6" t="n">
        <v>5542</v>
      </c>
      <c r="Q487" s="6" t="n">
        <v>1</v>
      </c>
      <c r="R487">
        <f>M487+IF(MAX(N487-1,0)&gt;0,IF(ISBLANK(O487),5*MAX(N487-1,0),IF(ISNUMBER(O487),O487*MAX(N487-1,0),SUM(IFERROR(VALUE(TEXTSPLIT(O487,",")),0)))),0)</f>
        <v/>
      </c>
      <c r="S487">
        <f>IFERROR(L487*MAX(N487,1)/R487*IF(ISBLANK(K485),1,K485),0)</f>
        <v/>
      </c>
      <c r="AB487" s="7" t="inlineStr">
        <is>
          <t>^Warhead_Bullet_Light, ^Warhead_Bullet_Medium, ^Warhead_CannonHE_Heavy</t>
        </is>
      </c>
    </row>
    <row r="488">
      <c r="A488" t="inlineStr">
        <is>
          <t>starcraft</t>
        </is>
      </c>
      <c r="B488" t="inlineStr">
        <is>
          <t>terran_marine</t>
        </is>
      </c>
      <c r="C488" t="inlineStr">
        <is>
          <t>Marine</t>
        </is>
      </c>
      <c r="D488" s="6" t="inlineStr">
        <is>
          <t>AntiTankAntiAirInfantry</t>
        </is>
      </c>
      <c r="E488" s="6" t="n">
        <v>41000</v>
      </c>
      <c r="F488" s="6" t="n">
        <v>61</v>
      </c>
      <c r="G488" t="inlineStr">
        <is>
          <t>Flak</t>
        </is>
      </c>
      <c r="H488" s="6" t="n">
        <v>1</v>
      </c>
      <c r="I488" s="6" t="n">
        <v>1</v>
      </c>
      <c r="J488" s="6" t="n">
        <v>1</v>
      </c>
      <c r="K488" t="n">
        <v>0.0031</v>
      </c>
      <c r="P488">
        <f>MAX(P489)</f>
        <v/>
      </c>
      <c r="S488">
        <f>S489</f>
        <v/>
      </c>
      <c r="T488">
        <f>(E488/100000+F488/100+(P488/1000)*J488/5+S488/200)*200*I488*H488</f>
        <v/>
      </c>
      <c r="U488">
        <f>((E488*F488/25000)+((P488/1000)*J488*S488/2.5))*I488*H488</f>
        <v/>
      </c>
      <c r="V488">
        <f>(E488*F488*(P488/1000)*J488*S488*I488*H488)/12500000</f>
        <v/>
      </c>
      <c r="W488">
        <f>(T488+U488+V488)/3</f>
        <v/>
      </c>
      <c r="X488" s="6" t="n">
        <v>689</v>
      </c>
      <c r="Y488">
        <f>IFERROR(W488-X488,"")</f>
        <v/>
      </c>
      <c r="Z488">
        <f>IFERROR(ABS(Y488)/MAX(X488,1),"")</f>
        <v/>
      </c>
      <c r="AA488">
        <f>IFERROR((X488-(((E488/100000+F488/100+S488/200)*200*I488*H488)+((E488*F488/25000)*I488*H488))/3)/(((J488/5)*200*I488*H488)+((J488*S488/2.5)*I488*H488)+((E488*F488*J488*S488*I488*H488)/12500000))/3*1000,"")</f>
        <v/>
      </c>
    </row>
    <row r="489">
      <c r="B489" s="7" t="inlineStr">
        <is>
          <t xml:space="preserve">  ↳ MarineMG</t>
        </is>
      </c>
      <c r="C489" s="7" t="inlineStr">
        <is>
          <t>Armament@PRIMARY</t>
        </is>
      </c>
      <c r="L489" s="6" t="n">
        <v>36000</v>
      </c>
      <c r="M489" s="6" t="n">
        <v>26</v>
      </c>
      <c r="N489" s="6" t="n">
        <v>3</v>
      </c>
      <c r="O489" s="6" t="n">
        <v>2</v>
      </c>
      <c r="P489" s="6" t="n">
        <v>6105</v>
      </c>
      <c r="Q489" s="6" t="n">
        <v>1</v>
      </c>
      <c r="R489">
        <f>M489+IF(MAX(N489-1,0)&gt;0,IF(ISBLANK(O489),5*MAX(N489-1,0),IF(ISNUMBER(O489),O489*MAX(N489-1,0),SUM(IFERROR(VALUE(TEXTSPLIT(O489,",")),0)))),0)</f>
        <v/>
      </c>
      <c r="S489">
        <f>IFERROR(L489*MAX(N489,1)/R489*IF(ISBLANK(K488),1,K488),0)</f>
        <v/>
      </c>
      <c r="AB489" s="7" t="inlineStr">
        <is>
          <t>^Warhead_Bullet_Light, ^Warhead_Bullet_Medium, ^Warhead_CannonHE_Heavy</t>
        </is>
      </c>
    </row>
    <row r="490">
      <c r="B490" s="7" t="inlineStr">
        <is>
          <t xml:space="preserve">  ↳ MarineMG</t>
        </is>
      </c>
      <c r="C490" s="7" t="inlineStr">
        <is>
          <t>Armament@GARRISONED</t>
        </is>
      </c>
      <c r="L490" s="6" t="n">
        <v>36000</v>
      </c>
      <c r="M490" s="6" t="n">
        <v>26</v>
      </c>
      <c r="N490" s="6" t="n">
        <v>3</v>
      </c>
      <c r="O490" s="6" t="n">
        <v>2</v>
      </c>
      <c r="P490" s="6" t="n">
        <v>6105</v>
      </c>
      <c r="Q490" s="6" t="n">
        <v>1</v>
      </c>
      <c r="R490">
        <f>M490+IF(MAX(N490-1,0)&gt;0,IF(ISBLANK(O490),5*MAX(N490-1,0),IF(ISNUMBER(O490),O490*MAX(N490-1,0),SUM(IFERROR(VALUE(TEXTSPLIT(O490,",")),0)))),0)</f>
        <v/>
      </c>
      <c r="S490">
        <f>IFERROR(L490*MAX(N490,1)/R490*IF(ISBLANK(K488),1,K488),0)</f>
        <v/>
      </c>
      <c r="AB490" s="7" t="inlineStr">
        <is>
          <t>^Warhead_Bullet_Light, ^Warhead_Bullet_Medium, ^Warhead_CannonHE_Heavy</t>
        </is>
      </c>
    </row>
    <row r="491">
      <c r="A491" t="inlineStr">
        <is>
          <t>warcraft2</t>
        </is>
      </c>
      <c r="B491" t="inlineStr">
        <is>
          <t>wc2_orcs_kodobeast</t>
        </is>
      </c>
      <c r="C491" t="inlineStr">
        <is>
          <t>Kodo Beast</t>
        </is>
      </c>
      <c r="D491" s="6" t="inlineStr">
        <is>
          <t>AntiTankAntiAirInfantry</t>
        </is>
      </c>
      <c r="E491" s="6" t="n">
        <v>125000</v>
      </c>
      <c r="F491" s="6" t="n">
        <v>60</v>
      </c>
      <c r="G491" t="inlineStr">
        <is>
          <t>Flak</t>
        </is>
      </c>
      <c r="H491" s="6" t="n">
        <v>1</v>
      </c>
      <c r="I491" s="6" t="n">
        <v>0.5</v>
      </c>
      <c r="J491" s="6" t="n">
        <v>1.25</v>
      </c>
      <c r="P491">
        <f>MAX(P492)</f>
        <v/>
      </c>
      <c r="S491">
        <f>S492</f>
        <v/>
      </c>
      <c r="T491">
        <f>(E491/100000+F491/100+(P491/1000)*J491/5+S491/200)*200*I491*H491</f>
        <v/>
      </c>
      <c r="U491">
        <f>((E491*F491/25000)+((P491/1000)*J491*S491/2.5))*I491*H491</f>
        <v/>
      </c>
      <c r="V491">
        <f>(E491*F491*(P491/1000)*J491*S491*I491*H491)/12500000</f>
        <v/>
      </c>
      <c r="W491">
        <f>(T491+U491+V491)/3</f>
        <v/>
      </c>
      <c r="X491" s="6" t="n">
        <v>1000</v>
      </c>
      <c r="Y491">
        <f>IFERROR(W491-X491,"")</f>
        <v/>
      </c>
      <c r="Z491">
        <f>IFERROR(ABS(Y491)/MAX(X491,1),"")</f>
        <v/>
      </c>
      <c r="AA491">
        <f>IFERROR((X491-(((E491/100000+F491/100+S491/200)*200*I491*H491)+((E491*F491/25000)*I491*H491))/3)/(((J491/5)*200*I491*H491)+((J491*S491/2.5)*I491*H491)+((E491*F491*J491*S491*I491*H491)/12500000))/3*1000,"")</f>
        <v/>
      </c>
    </row>
    <row r="492">
      <c r="B492" s="7" t="inlineStr">
        <is>
          <t xml:space="preserve">  ↳ wc2axeFire</t>
        </is>
      </c>
      <c r="C492" s="7" t="inlineStr">
        <is>
          <t>Armament</t>
        </is>
      </c>
      <c r="L492" s="6" t="n">
        <v>24000</v>
      </c>
      <c r="M492" s="6" t="n">
        <v>38</v>
      </c>
      <c r="N492" s="6" t="n">
        <v>1</v>
      </c>
      <c r="O492" s="6" t="n"/>
      <c r="P492" s="6" t="n">
        <v>6445</v>
      </c>
      <c r="Q492" s="6" t="n">
        <v>1</v>
      </c>
      <c r="R492">
        <f>M492+IF(MAX(N492-1,0)&gt;0,IF(ISBLANK(O492),5*MAX(N492-1,0),IF(ISNUMBER(O492),O492*MAX(N492-1,0),SUM(IFERROR(VALUE(TEXTSPLIT(O492,",")),0)))),0)</f>
        <v/>
      </c>
      <c r="S492">
        <f>IFERROR(L492*MAX(N492,1)/R492*IF(ISBLANK(K491),1,K491),0)</f>
        <v/>
      </c>
      <c r="AB492" s="7" t="inlineStr">
        <is>
          <t>^Warhead_CannonHE_Medium</t>
        </is>
      </c>
    </row>
    <row r="493">
      <c r="B493" s="7" t="inlineStr">
        <is>
          <t xml:space="preserve">  ↳ wc2axeFire</t>
        </is>
      </c>
      <c r="C493" s="7" t="inlineStr">
        <is>
          <t>Armament@GARRISONED</t>
        </is>
      </c>
      <c r="L493" s="6" t="n">
        <v>24000</v>
      </c>
      <c r="M493" s="6" t="n">
        <v>38</v>
      </c>
      <c r="N493" s="6" t="n">
        <v>1</v>
      </c>
      <c r="O493" s="6" t="n"/>
      <c r="P493" s="6" t="n">
        <v>6445</v>
      </c>
      <c r="Q493" s="6" t="n">
        <v>1</v>
      </c>
      <c r="R493">
        <f>M493+IF(MAX(N493-1,0)&gt;0,IF(ISBLANK(O493),5*MAX(N493-1,0),IF(ISNUMBER(O493),O493*MAX(N493-1,0),SUM(IFERROR(VALUE(TEXTSPLIT(O493,",")),0)))),0)</f>
        <v/>
      </c>
      <c r="S493">
        <f>IFERROR(L493*MAX(N493,1)/R493*IF(ISBLANK(K491),1,K491),0)</f>
        <v/>
      </c>
      <c r="AB493" s="7" t="inlineStr">
        <is>
          <t>^Warhead_CannonHE_Medium</t>
        </is>
      </c>
    </row>
    <row r="494">
      <c r="A494" t="inlineStr">
        <is>
          <t>warcraft2</t>
        </is>
      </c>
      <c r="B494" t="inlineStr">
        <is>
          <t>wc2_orcs_trollaxethrower</t>
        </is>
      </c>
      <c r="C494" t="inlineStr">
        <is>
          <t>Troll Axethrower</t>
        </is>
      </c>
      <c r="D494" s="6" t="inlineStr">
        <is>
          <t>AntiTankAntiAirInfantry</t>
        </is>
      </c>
      <c r="E494" s="6" t="n">
        <v>30000</v>
      </c>
      <c r="F494" s="6" t="n">
        <v>60</v>
      </c>
      <c r="G494" t="inlineStr">
        <is>
          <t>Flak</t>
        </is>
      </c>
      <c r="H494" s="6" t="n">
        <v>1</v>
      </c>
      <c r="I494" s="6" t="n">
        <v>0.5</v>
      </c>
      <c r="J494" s="6" t="n">
        <v>1</v>
      </c>
      <c r="P494">
        <f>MAX(P495)</f>
        <v/>
      </c>
      <c r="S494">
        <f>S495</f>
        <v/>
      </c>
      <c r="T494">
        <f>(E494/100000+F494/100+(P494/1000)*J494/5+S494/200)*200*I494*H494</f>
        <v/>
      </c>
      <c r="U494">
        <f>((E494*F494/25000)+((P494/1000)*J494*S494/2.5))*I494*H494</f>
        <v/>
      </c>
      <c r="V494">
        <f>(E494*F494*(P494/1000)*J494*S494*I494*H494)/12500000</f>
        <v/>
      </c>
      <c r="W494">
        <f>(T494+U494+V494)/3</f>
        <v/>
      </c>
      <c r="X494" s="6" t="n">
        <v>500</v>
      </c>
      <c r="Y494">
        <f>IFERROR(W494-X494,"")</f>
        <v/>
      </c>
      <c r="Z494">
        <f>IFERROR(ABS(Y494)/MAX(X494,1),"")</f>
        <v/>
      </c>
      <c r="AA494">
        <f>IFERROR((X494-(((E494/100000+F494/100+S494/200)*200*I494*H494)+((E494*F494/25000)*I494*H494))/3)/(((J494/5)*200*I494*H494)+((J494*S494/2.5)*I494*H494)+((E494*F494*J494*S494*I494*H494)/12500000))/3*1000,"")</f>
        <v/>
      </c>
    </row>
    <row r="495">
      <c r="B495" s="7" t="inlineStr">
        <is>
          <t xml:space="preserve">  ↳ wc2axeFire</t>
        </is>
      </c>
      <c r="C495" s="7" t="inlineStr">
        <is>
          <t>Armament</t>
        </is>
      </c>
      <c r="L495" s="6" t="n">
        <v>24000</v>
      </c>
      <c r="M495" s="6" t="n">
        <v>38</v>
      </c>
      <c r="N495" s="6" t="n">
        <v>1</v>
      </c>
      <c r="O495" s="6" t="n"/>
      <c r="P495" s="6" t="n">
        <v>6445</v>
      </c>
      <c r="Q495" s="6" t="n">
        <v>1</v>
      </c>
      <c r="R495">
        <f>M495+IF(MAX(N495-1,0)&gt;0,IF(ISBLANK(O495),5*MAX(N495-1,0),IF(ISNUMBER(O495),O495*MAX(N495-1,0),SUM(IFERROR(VALUE(TEXTSPLIT(O495,",")),0)))),0)</f>
        <v/>
      </c>
      <c r="S495">
        <f>IFERROR(L495*MAX(N495,1)/R495*IF(ISBLANK(K494),1,K494),0)</f>
        <v/>
      </c>
      <c r="AB495" s="7" t="inlineStr">
        <is>
          <t>^Warhead_CannonHE_Medium</t>
        </is>
      </c>
    </row>
    <row r="496">
      <c r="B496" s="7" t="inlineStr">
        <is>
          <t xml:space="preserve">  ↳ wc2axeFire</t>
        </is>
      </c>
      <c r="C496" s="7" t="inlineStr">
        <is>
          <t>Armament@GARRISONED</t>
        </is>
      </c>
      <c r="L496" s="6" t="n">
        <v>24000</v>
      </c>
      <c r="M496" s="6" t="n">
        <v>38</v>
      </c>
      <c r="N496" s="6" t="n">
        <v>1</v>
      </c>
      <c r="O496" s="6" t="n"/>
      <c r="P496" s="6" t="n">
        <v>6445</v>
      </c>
      <c r="Q496" s="6" t="n">
        <v>1</v>
      </c>
      <c r="R496">
        <f>M496+IF(MAX(N496-1,0)&gt;0,IF(ISBLANK(O496),5*MAX(N496-1,0),IF(ISNUMBER(O496),O496*MAX(N496-1,0),SUM(IFERROR(VALUE(TEXTSPLIT(O496,",")),0)))),0)</f>
        <v/>
      </c>
      <c r="S496">
        <f>IFERROR(L496*MAX(N496,1)/R496*IF(ISBLANK(K494),1,K494),0)</f>
        <v/>
      </c>
      <c r="AB496" s="7" t="inlineStr">
        <is>
          <t>^Warhead_CannonHE_Medium</t>
        </is>
      </c>
    </row>
    <row r="497">
      <c r="A497" t="inlineStr">
        <is>
          <t>warcraft2</t>
        </is>
      </c>
      <c r="B497" t="inlineStr">
        <is>
          <t>wc2_orcs_trollberserker</t>
        </is>
      </c>
      <c r="C497" t="inlineStr">
        <is>
          <t>Troll Berserker</t>
        </is>
      </c>
      <c r="D497" s="6" t="inlineStr">
        <is>
          <t>AntiTankAntiAirInfantry</t>
        </is>
      </c>
      <c r="E497" s="6" t="n">
        <v>30000</v>
      </c>
      <c r="F497" s="6" t="n">
        <v>60</v>
      </c>
      <c r="G497" t="inlineStr">
        <is>
          <t>Flak</t>
        </is>
      </c>
      <c r="H497" s="6" t="n">
        <v>1</v>
      </c>
      <c r="I497" s="6" t="n">
        <v>1</v>
      </c>
      <c r="J497" s="6" t="n">
        <v>1</v>
      </c>
      <c r="P497">
        <f>MAX(P498)</f>
        <v/>
      </c>
      <c r="S497">
        <f>S498</f>
        <v/>
      </c>
      <c r="T497">
        <f>(E497/100000+F497/100+(P497/1000)*J497/5+S497/200)*200*I497*H497</f>
        <v/>
      </c>
      <c r="U497">
        <f>((E497*F497/25000)+((P497/1000)*J497*S497/2.5))*I497*H497</f>
        <v/>
      </c>
      <c r="V497">
        <f>(E497*F497*(P497/1000)*J497*S497*I497*H497)/12500000</f>
        <v/>
      </c>
      <c r="W497">
        <f>(T497+U497+V497)/3</f>
        <v/>
      </c>
      <c r="X497" s="6" t="n">
        <v>500</v>
      </c>
      <c r="Y497">
        <f>IFERROR(W497-X497,"")</f>
        <v/>
      </c>
      <c r="Z497">
        <f>IFERROR(ABS(Y497)/MAX(X497,1),"")</f>
        <v/>
      </c>
      <c r="AA497">
        <f>IFERROR((X497-(((E497/100000+F497/100+S497/200)*200*I497*H497)+((E497*F497/25000)*I497*H497))/3)/(((J497/5)*200*I497*H497)+((J497*S497/2.5)*I497*H497)+((E497*F497*J497*S497*I497*H497)/12500000))/3*1000,"")</f>
        <v/>
      </c>
    </row>
    <row r="498">
      <c r="B498" s="7" t="inlineStr">
        <is>
          <t xml:space="preserve">  ↳ wc2axeFire</t>
        </is>
      </c>
      <c r="C498" s="7" t="inlineStr">
        <is>
          <t>Armament</t>
        </is>
      </c>
      <c r="L498" s="6" t="n">
        <v>24000</v>
      </c>
      <c r="M498" s="6" t="n">
        <v>38</v>
      </c>
      <c r="N498" s="6" t="n">
        <v>1</v>
      </c>
      <c r="O498" s="6" t="n"/>
      <c r="P498" s="6" t="n">
        <v>6445</v>
      </c>
      <c r="Q498" s="6" t="n">
        <v>1</v>
      </c>
      <c r="R498">
        <f>M498+IF(MAX(N498-1,0)&gt;0,IF(ISBLANK(O498),5*MAX(N498-1,0),IF(ISNUMBER(O498),O498*MAX(N498-1,0),SUM(IFERROR(VALUE(TEXTSPLIT(O498,",")),0)))),0)</f>
        <v/>
      </c>
      <c r="S498">
        <f>IFERROR(L498*MAX(N498,1)/R498*IF(ISBLANK(K497),1,K497),0)</f>
        <v/>
      </c>
      <c r="AB498" s="7" t="inlineStr">
        <is>
          <t>^Warhead_CannonHE_Medium</t>
        </is>
      </c>
    </row>
    <row r="499">
      <c r="B499" s="7" t="inlineStr">
        <is>
          <t xml:space="preserve">  ↳ wc2axeFire</t>
        </is>
      </c>
      <c r="C499" s="7" t="inlineStr">
        <is>
          <t>Armament@GARRISONED</t>
        </is>
      </c>
      <c r="L499" s="6" t="n">
        <v>24000</v>
      </c>
      <c r="M499" s="6" t="n">
        <v>38</v>
      </c>
      <c r="N499" s="6" t="n">
        <v>1</v>
      </c>
      <c r="O499" s="6" t="n"/>
      <c r="P499" s="6" t="n">
        <v>6445</v>
      </c>
      <c r="Q499" s="6" t="n">
        <v>1</v>
      </c>
      <c r="R499">
        <f>M499+IF(MAX(N499-1,0)&gt;0,IF(ISBLANK(O499),5*MAX(N499-1,0),IF(ISNUMBER(O499),O499*MAX(N499-1,0),SUM(IFERROR(VALUE(TEXTSPLIT(O499,",")),0)))),0)</f>
        <v/>
      </c>
      <c r="S499">
        <f>IFERROR(L499*MAX(N499,1)/R499*IF(ISBLANK(K497),1,K497),0)</f>
        <v/>
      </c>
      <c r="AB499" s="7" t="inlineStr">
        <is>
          <t>^Warhead_CannonHE_Medium</t>
        </is>
      </c>
    </row>
    <row r="500">
      <c r="A500" t="inlineStr">
        <is>
          <t>warcraft2</t>
        </is>
      </c>
      <c r="B500" t="inlineStr">
        <is>
          <t>wc2_orcs_trollheadhunter</t>
        </is>
      </c>
      <c r="C500" t="inlineStr">
        <is>
          <t>Troll Headhunter</t>
        </is>
      </c>
      <c r="D500" s="6" t="inlineStr">
        <is>
          <t>AntiTankAntiAirInfantry</t>
        </is>
      </c>
      <c r="E500" s="6" t="n">
        <v>40000</v>
      </c>
      <c r="F500" s="6" t="n">
        <v>75</v>
      </c>
      <c r="G500" t="inlineStr">
        <is>
          <t>Flak</t>
        </is>
      </c>
      <c r="H500" s="6" t="n">
        <v>1</v>
      </c>
      <c r="I500" s="6" t="n">
        <v>1</v>
      </c>
      <c r="J500" s="6" t="n">
        <v>1</v>
      </c>
      <c r="P500">
        <f>MAX(P501)</f>
        <v/>
      </c>
      <c r="S500">
        <f>S501</f>
        <v/>
      </c>
      <c r="T500">
        <f>(E500/100000+F500/100+(P500/1000)*J500/5+S500/200)*200*I500*H500</f>
        <v/>
      </c>
      <c r="U500">
        <f>((E500*F500/25000)+((P500/1000)*J500*S500/2.5))*I500*H500</f>
        <v/>
      </c>
      <c r="V500">
        <f>(E500*F500*(P500/1000)*J500*S500*I500*H500)/12500000</f>
        <v/>
      </c>
      <c r="W500">
        <f>(T500+U500+V500)/3</f>
        <v/>
      </c>
      <c r="X500" s="6" t="n">
        <v>1000</v>
      </c>
      <c r="Y500">
        <f>IFERROR(W500-X500,"")</f>
        <v/>
      </c>
      <c r="Z500">
        <f>IFERROR(ABS(Y500)/MAX(X500,1),"")</f>
        <v/>
      </c>
      <c r="AA500">
        <f>IFERROR((X500-(((E500/100000+F500/100+S500/200)*200*I500*H500)+((E500*F500/25000)*I500*H500))/3)/(((J500/5)*200*I500*H500)+((J500*S500/2.5)*I500*H500)+((E500*F500*J500*S500*I500*H500)/12500000))/3*1000,"")</f>
        <v/>
      </c>
    </row>
    <row r="501">
      <c r="B501" s="7" t="inlineStr">
        <is>
          <t xml:space="preserve">  ↳ wc2axeFirespear</t>
        </is>
      </c>
      <c r="C501" s="7" t="inlineStr">
        <is>
          <t>Armament</t>
        </is>
      </c>
      <c r="L501" s="6" t="n">
        <v>33000</v>
      </c>
      <c r="M501" s="6" t="n">
        <v>40</v>
      </c>
      <c r="N501" s="6" t="n">
        <v>1</v>
      </c>
      <c r="O501" s="6" t="n"/>
      <c r="P501" s="6" t="n">
        <v>7711</v>
      </c>
      <c r="Q501" s="6" t="n">
        <v>1</v>
      </c>
      <c r="R501">
        <f>M501+IF(MAX(N501-1,0)&gt;0,IF(ISBLANK(O501),5*MAX(N501-1,0),IF(ISNUMBER(O501),O501*MAX(N501-1,0),SUM(IFERROR(VALUE(TEXTSPLIT(O501,",")),0)))),0)</f>
        <v/>
      </c>
      <c r="S501">
        <f>IFERROR(L501*MAX(N501,1)/R501*IF(ISBLANK(K500),1,K500),0)</f>
        <v/>
      </c>
      <c r="AB501" s="7" t="inlineStr">
        <is>
          <t>^Warhead_CannonHE_Medium</t>
        </is>
      </c>
    </row>
    <row r="502">
      <c r="B502" s="7" t="inlineStr">
        <is>
          <t xml:space="preserve">  ↳ wc2axeFirespear</t>
        </is>
      </c>
      <c r="C502" s="7" t="inlineStr">
        <is>
          <t>Armament@GARRISONED</t>
        </is>
      </c>
      <c r="L502" s="6" t="n">
        <v>33000</v>
      </c>
      <c r="M502" s="6" t="n">
        <v>40</v>
      </c>
      <c r="N502" s="6" t="n">
        <v>1</v>
      </c>
      <c r="O502" s="6" t="n"/>
      <c r="P502" s="6" t="n">
        <v>7711</v>
      </c>
      <c r="Q502" s="6" t="n">
        <v>1</v>
      </c>
      <c r="R502">
        <f>M502+IF(MAX(N502-1,0)&gt;0,IF(ISBLANK(O502),5*MAX(N502-1,0),IF(ISNUMBER(O502),O502*MAX(N502-1,0),SUM(IFERROR(VALUE(TEXTSPLIT(O502,",")),0)))),0)</f>
        <v/>
      </c>
      <c r="S502">
        <f>IFERROR(L502*MAX(N502,1)/R502*IF(ISBLANK(K500),1,K500),0)</f>
        <v/>
      </c>
      <c r="AB502" s="7" t="inlineStr">
        <is>
          <t>^Warhead_CannonHE_Medium</t>
        </is>
      </c>
    </row>
    <row r="503">
      <c r="A503" t="inlineStr">
        <is>
          <t>warcraft2</t>
        </is>
      </c>
      <c r="B503" t="inlineStr">
        <is>
          <t>wc2_humans_elvenarcher</t>
        </is>
      </c>
      <c r="C503" t="inlineStr">
        <is>
          <t>Elven Archer</t>
        </is>
      </c>
      <c r="D503" s="6" t="inlineStr">
        <is>
          <t>AntiTankAntiAirInfantry</t>
        </is>
      </c>
      <c r="E503" s="6" t="n">
        <v>25000</v>
      </c>
      <c r="F503" s="6" t="n">
        <v>75</v>
      </c>
      <c r="G503" t="inlineStr">
        <is>
          <t>Flak</t>
        </is>
      </c>
      <c r="H503" s="6" t="n">
        <v>1</v>
      </c>
      <c r="I503" s="6" t="n">
        <v>0.5</v>
      </c>
      <c r="J503" s="6" t="n">
        <v>1</v>
      </c>
      <c r="K503" t="n">
        <v>0.0075</v>
      </c>
      <c r="P503">
        <f>MAX(P504)</f>
        <v/>
      </c>
      <c r="S503">
        <f>S504</f>
        <v/>
      </c>
      <c r="T503">
        <f>(E503/100000+F503/100+(P503/1000)*J503/5+S503/200)*200*I503*H503</f>
        <v/>
      </c>
      <c r="U503">
        <f>((E503*F503/25000)+((P503/1000)*J503*S503/2.5))*I503*H503</f>
        <v/>
      </c>
      <c r="V503">
        <f>(E503*F503*(P503/1000)*J503*S503*I503*H503)/12500000</f>
        <v/>
      </c>
      <c r="W503">
        <f>IFERROR((((E503/20000)+(F503/70)+(S503/200)+((P503/7000)*J503))*500/4+(((E503/20000)*(F503/70))+(((P503/7000)*J503)*(S503/200)))*500/2+((E503/20000)*(F503/70)*((P503/7000)*J503)*(S503/200))*500)*(H503/1.0)/3,"")</f>
        <v/>
      </c>
      <c r="X503" s="6" t="n">
        <v>600</v>
      </c>
      <c r="Y503">
        <f>IFERROR(W503-X503,"")</f>
        <v/>
      </c>
      <c r="Z503">
        <f>IFERROR(ABS(Y503)/MAX(X503,1),"")</f>
        <v/>
      </c>
      <c r="AA503">
        <f>IFERROR(ROUND(((3*X503-(((E503/20000)+(F503/70)+(S503/200))*500/4+((E503/20000)*(F503/70))*500/2)*(H503/1.0))/(500/4+((S503/200))*500/2+((E503/20000)*(F503/70)*(S503/200))*500)*(H503/1.0)*7000)/J503,-1),"")</f>
        <v/>
      </c>
    </row>
    <row r="504">
      <c r="B504" s="7" t="inlineStr">
        <is>
          <t xml:space="preserve">  ↳ wc2arrowFire</t>
        </is>
      </c>
      <c r="C504" s="7" t="inlineStr">
        <is>
          <t>Armament</t>
        </is>
      </c>
      <c r="L504" s="6" t="n">
        <v>24000</v>
      </c>
      <c r="M504" s="6" t="n">
        <v>25</v>
      </c>
      <c r="N504" s="6" t="n">
        <v>1</v>
      </c>
      <c r="O504" s="6" t="n"/>
      <c r="P504" s="6" t="n">
        <v>6973</v>
      </c>
      <c r="Q504" s="6" t="n">
        <v>1</v>
      </c>
      <c r="R504">
        <f>M504+IF(MAX(N504-1,0)&gt;0,IF(ISBLANK(O504),5*MAX(N504-1,0),IF(ISNUMBER(O504),O504*MAX(N504-1,0),SUM(IFERROR(VALUE(TEXTSPLIT(O504,",")),0)))),0)</f>
        <v/>
      </c>
      <c r="S504">
        <f>IFERROR(L504*MAX(N504,1)/R504*IF(ISBLANK(K503),1,K503),0)</f>
        <v/>
      </c>
      <c r="AB504" s="7" t="inlineStr">
        <is>
          <t>^Warhead_CannonHE_Medium</t>
        </is>
      </c>
    </row>
    <row r="505">
      <c r="B505" s="7" t="inlineStr">
        <is>
          <t xml:space="preserve">  ↳ wc2arrowFire</t>
        </is>
      </c>
      <c r="C505" s="7" t="inlineStr">
        <is>
          <t>Armament@GARRISONED</t>
        </is>
      </c>
      <c r="L505" s="6" t="n">
        <v>24000</v>
      </c>
      <c r="M505" s="6" t="n">
        <v>25</v>
      </c>
      <c r="N505" s="6" t="n">
        <v>1</v>
      </c>
      <c r="O505" s="6" t="n"/>
      <c r="P505" s="6" t="n">
        <v>6973</v>
      </c>
      <c r="Q505" s="6" t="n">
        <v>1</v>
      </c>
      <c r="R505">
        <f>M505+IF(MAX(N505-1,0)&gt;0,IF(ISBLANK(O505),5*MAX(N505-1,0),IF(ISNUMBER(O505),O505*MAX(N505-1,0),SUM(IFERROR(VALUE(TEXTSPLIT(O505,",")),0)))),0)</f>
        <v/>
      </c>
      <c r="S505">
        <f>IFERROR(L505*MAX(N505,1)/R505*IF(ISBLANK(K503),1,K503),0)</f>
        <v/>
      </c>
      <c r="AB505" s="7" t="inlineStr">
        <is>
          <t>^Warhead_CannonHE_Medium</t>
        </is>
      </c>
    </row>
    <row r="506">
      <c r="A506" t="inlineStr">
        <is>
          <t>warcraft2</t>
        </is>
      </c>
      <c r="B506" t="inlineStr">
        <is>
          <t>wc2_humans_elvenranger</t>
        </is>
      </c>
      <c r="C506" t="inlineStr">
        <is>
          <t>Elven Ranger</t>
        </is>
      </c>
      <c r="D506" s="6" t="inlineStr">
        <is>
          <t>AntiTankAntiAirInfantry</t>
        </is>
      </c>
      <c r="E506" s="6" t="n">
        <v>25000</v>
      </c>
      <c r="F506" s="6" t="n">
        <v>75</v>
      </c>
      <c r="G506" t="inlineStr">
        <is>
          <t>Flak</t>
        </is>
      </c>
      <c r="H506" s="6" t="n">
        <v>1</v>
      </c>
      <c r="I506" s="6" t="n">
        <v>1</v>
      </c>
      <c r="J506" s="6" t="n">
        <v>1</v>
      </c>
      <c r="P506">
        <f>MAX(P507)</f>
        <v/>
      </c>
      <c r="S506">
        <f>S507</f>
        <v/>
      </c>
      <c r="T506">
        <f>(E506/100000+F506/100+(P506/1000)*J506/5+S506/200)*200*I506*H506</f>
        <v/>
      </c>
      <c r="U506">
        <f>((E506*F506/25000)+((P506/1000)*J506*S506/2.5))*I506*H506</f>
        <v/>
      </c>
      <c r="V506">
        <f>(E506*F506*(P506/1000)*J506*S506*I506*H506)/12500000</f>
        <v/>
      </c>
      <c r="W506">
        <f>(T506+U506+V506)/3</f>
        <v/>
      </c>
      <c r="X506" s="6" t="n">
        <v>600</v>
      </c>
      <c r="Y506">
        <f>IFERROR(W506-X506,"")</f>
        <v/>
      </c>
      <c r="Z506">
        <f>IFERROR(ABS(Y506)/MAX(X506,1),"")</f>
        <v/>
      </c>
      <c r="AA506">
        <f>IFERROR((X506-(((E506/100000+F506/100+S506/200)*200*I506*H506)+((E506*F506/25000)*I506*H506))/3)/(((J506/5)*200*I506*H506)+((J506*S506/2.5)*I506*H506)+((E506*F506*J506*S506*I506*H506)/12500000))/3*1000,"")</f>
        <v/>
      </c>
    </row>
    <row r="507">
      <c r="B507" s="7" t="inlineStr">
        <is>
          <t xml:space="preserve">  ↳ wc2arrowFire</t>
        </is>
      </c>
      <c r="C507" s="7" t="inlineStr">
        <is>
          <t>Armament</t>
        </is>
      </c>
      <c r="L507" s="6" t="n">
        <v>24000</v>
      </c>
      <c r="M507" s="6" t="n">
        <v>25</v>
      </c>
      <c r="N507" s="6" t="n">
        <v>1</v>
      </c>
      <c r="O507" s="6" t="n"/>
      <c r="P507" s="6" t="n">
        <v>6973</v>
      </c>
      <c r="Q507" s="6" t="n">
        <v>1</v>
      </c>
      <c r="R507">
        <f>M507+IF(MAX(N507-1,0)&gt;0,IF(ISBLANK(O507),5*MAX(N507-1,0),IF(ISNUMBER(O507),O507*MAX(N507-1,0),SUM(IFERROR(VALUE(TEXTSPLIT(O507,",")),0)))),0)</f>
        <v/>
      </c>
      <c r="S507">
        <f>IFERROR(L507*MAX(N507,1)/R507*IF(ISBLANK(K506),1,K506),0)</f>
        <v/>
      </c>
      <c r="AB507" s="7" t="inlineStr">
        <is>
          <t>^Warhead_CannonHE_Medium</t>
        </is>
      </c>
    </row>
    <row r="508">
      <c r="B508" s="7" t="inlineStr">
        <is>
          <t xml:space="preserve">  ↳ wc2arrowFire</t>
        </is>
      </c>
      <c r="C508" s="7" t="inlineStr">
        <is>
          <t>Armament@GARRISONED</t>
        </is>
      </c>
      <c r="L508" s="6" t="n">
        <v>24000</v>
      </c>
      <c r="M508" s="6" t="n">
        <v>25</v>
      </c>
      <c r="N508" s="6" t="n">
        <v>1</v>
      </c>
      <c r="O508" s="6" t="n"/>
      <c r="P508" s="6" t="n">
        <v>6973</v>
      </c>
      <c r="Q508" s="6" t="n">
        <v>1</v>
      </c>
      <c r="R508">
        <f>M508+IF(MAX(N508-1,0)&gt;0,IF(ISBLANK(O508),5*MAX(N508-1,0),IF(ISNUMBER(O508),O508*MAX(N508-1,0),SUM(IFERROR(VALUE(TEXTSPLIT(O508,",")),0)))),0)</f>
        <v/>
      </c>
      <c r="S508">
        <f>IFERROR(L508*MAX(N508,1)/R508*IF(ISBLANK(K506),1,K506),0)</f>
        <v/>
      </c>
      <c r="AB508" s="7" t="inlineStr">
        <is>
          <t>^Warhead_CannonHE_Medium</t>
        </is>
      </c>
    </row>
    <row r="509">
      <c r="A509" t="inlineStr">
        <is>
          <t>warcraft2</t>
        </is>
      </c>
      <c r="B509" t="inlineStr">
        <is>
          <t>wc2_humans_highelvenarcher</t>
        </is>
      </c>
      <c r="C509" t="inlineStr">
        <is>
          <t>High Elven Archer</t>
        </is>
      </c>
      <c r="D509" s="6" t="inlineStr">
        <is>
          <t>AntiTankAntiAirInfantry</t>
        </is>
      </c>
      <c r="E509" s="6" t="n">
        <v>35000</v>
      </c>
      <c r="F509" s="6" t="n">
        <v>85</v>
      </c>
      <c r="G509" t="inlineStr">
        <is>
          <t>Flak</t>
        </is>
      </c>
      <c r="H509" s="6" t="n">
        <v>1</v>
      </c>
      <c r="I509" s="6" t="n">
        <v>1</v>
      </c>
      <c r="J509" s="6" t="n">
        <v>1</v>
      </c>
      <c r="P509">
        <f>MAX(P510)</f>
        <v/>
      </c>
      <c r="S509">
        <f>S510</f>
        <v/>
      </c>
      <c r="T509">
        <f>(E509/100000+F509/100+(P509/1000)*J509/5+S509/200)*200*I509*H509</f>
        <v/>
      </c>
      <c r="U509">
        <f>((E509*F509/25000)+((P509/1000)*J509*S509/2.5))*I509*H509</f>
        <v/>
      </c>
      <c r="V509">
        <f>(E509*F509*(P509/1000)*J509*S509*I509*H509)/12500000</f>
        <v/>
      </c>
      <c r="W509">
        <f>IFERROR((((E509/20000)+(F509/70)+(S509/200)+((P509/7000)*J509))*500/4+(((E509/20000)*(F509/70))+(((P509/7000)*J509)*(S509/200)))*500/2+((E509/20000)*(F509/70)*((P509/7000)*J509)*(S509/200))*500)*(H509/1.0)/3,"")</f>
        <v/>
      </c>
      <c r="X509" s="6" t="n">
        <v>1100</v>
      </c>
      <c r="Y509">
        <f>IFERROR(W509-X509,"")</f>
        <v/>
      </c>
      <c r="Z509">
        <f>IFERROR(ABS(Y509)/MAX(X509,1),"")</f>
        <v/>
      </c>
      <c r="AA509">
        <f>IFERROR(ROUND(((3*X509-(((E509/20000)+(F509/70)+(S509/200))*500/4+((E509/20000)*(F509/70))*500/2)*(H509/1.0))/(500/4+((S509/200))*500/2+((E509/20000)*(F509/70)*(S509/200))*500)*(H509/1.0)*7000)/J509,-1),"")</f>
        <v/>
      </c>
    </row>
    <row r="510">
      <c r="B510" s="7" t="inlineStr">
        <is>
          <t xml:space="preserve">  ↳ wc2highArrowFire</t>
        </is>
      </c>
      <c r="C510" s="7" t="inlineStr">
        <is>
          <t>Armament</t>
        </is>
      </c>
      <c r="L510" s="6" t="n">
        <v>33000</v>
      </c>
      <c r="M510" s="6" t="n">
        <v>35</v>
      </c>
      <c r="N510" s="6" t="n">
        <v>1</v>
      </c>
      <c r="O510" s="6" t="n"/>
      <c r="P510" s="6" t="n">
        <v>7487</v>
      </c>
      <c r="Q510" s="6" t="n">
        <v>1</v>
      </c>
      <c r="R510">
        <f>M510+IF(MAX(N510-1,0)&gt;0,IF(ISBLANK(O510),5*MAX(N510-1,0),IF(ISNUMBER(O510),O510*MAX(N510-1,0),SUM(IFERROR(VALUE(TEXTSPLIT(O510,",")),0)))),0)</f>
        <v/>
      </c>
      <c r="S510">
        <f>IFERROR(L510*MAX(N510,1)/R510*IF(ISBLANK(K509),1,K509),0)</f>
        <v/>
      </c>
      <c r="AB510" s="7" t="inlineStr">
        <is>
          <t>^Warhead_CannonHE_Medium</t>
        </is>
      </c>
    </row>
    <row r="511">
      <c r="B511" s="7" t="inlineStr">
        <is>
          <t xml:space="preserve">  ↳ wc2highArrowFire</t>
        </is>
      </c>
      <c r="C511" s="7" t="inlineStr">
        <is>
          <t>Armament@GARRISONED</t>
        </is>
      </c>
      <c r="L511" s="6" t="n">
        <v>33000</v>
      </c>
      <c r="M511" s="6" t="n">
        <v>35</v>
      </c>
      <c r="N511" s="6" t="n">
        <v>1</v>
      </c>
      <c r="O511" s="6" t="n"/>
      <c r="P511" s="6" t="n">
        <v>7487</v>
      </c>
      <c r="Q511" s="6" t="n">
        <v>1</v>
      </c>
      <c r="R511">
        <f>M511+IF(MAX(N511-1,0)&gt;0,IF(ISBLANK(O511),5*MAX(N511-1,0),IF(ISNUMBER(O511),O511*MAX(N511-1,0),SUM(IFERROR(VALUE(TEXTSPLIT(O511,",")),0)))),0)</f>
        <v/>
      </c>
      <c r="S511">
        <f>IFERROR(L511*MAX(N511,1)/R511*IF(ISBLANK(K509),1,K509),0)</f>
        <v/>
      </c>
      <c r="AB511" s="7" t="inlineStr">
        <is>
          <t>^Warhead_CannonHE_Medium</t>
        </is>
      </c>
    </row>
    <row r="512">
      <c r="A512" s="4" t="inlineStr">
        <is>
          <t>SpecialForcesInfantry</t>
        </is>
      </c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  <c r="AB512" s="5" t="n"/>
    </row>
    <row r="513">
      <c r="A513" t="inlineStr">
        <is>
          <t>tiberiandawn</t>
        </is>
      </c>
      <c r="B513" t="inlineStr">
        <is>
          <t>td_nod_lasertrooper</t>
        </is>
      </c>
      <c r="C513" t="inlineStr">
        <is>
          <t>Laser Trooper</t>
        </is>
      </c>
      <c r="D513" s="6" t="inlineStr">
        <is>
          <t>SpecialForcesInfantry</t>
        </is>
      </c>
      <c r="E513" s="6" t="n">
        <v>59000</v>
      </c>
      <c r="F513" s="6" t="n">
        <v>51</v>
      </c>
      <c r="G513" t="inlineStr">
        <is>
          <t>Flak</t>
        </is>
      </c>
      <c r="H513" s="6" t="n">
        <v>0.5</v>
      </c>
      <c r="I513" s="6" t="n">
        <v>0.8</v>
      </c>
      <c r="J513" s="6" t="n">
        <v>1</v>
      </c>
      <c r="K513" t="n">
        <v>0.0108</v>
      </c>
      <c r="P513">
        <f>MAX(P514)</f>
        <v/>
      </c>
      <c r="S513">
        <f>S514</f>
        <v/>
      </c>
      <c r="T513">
        <f>(E513/100000+F513/100+(P513/1000)*J513/5+S513/200)*200*I513*H513</f>
        <v/>
      </c>
      <c r="U513">
        <f>((E513*F513/25000)+((P513/1000)*J513*S513/2.5))*I513*H513</f>
        <v/>
      </c>
      <c r="V513">
        <f>(E513*F513*(P513/1000)*J513*S513*I513*H513)/12500000</f>
        <v/>
      </c>
      <c r="W513">
        <f>IFERROR((((E513/15000)+(F513/50)+(S513/240)+((P513/6000)*J513))*200/4+(((E513/15000)*(F513/50))+(((P513/6000)*J513)*(S513/240)))*200/2+((E513/15000)*(F513/50)*((P513/6000)*J513)*(S513/240))*200)*(H513/1.0)/3,"")</f>
        <v/>
      </c>
      <c r="X513" s="6" t="n">
        <v>750</v>
      </c>
      <c r="Y513">
        <f>IFERROR(W513-X513,"")</f>
        <v/>
      </c>
      <c r="Z513">
        <f>IFERROR(ABS(Y513)/MAX(X513,1),"")</f>
        <v/>
      </c>
      <c r="AA513">
        <f>IFERROR(ROUND(((3*X513-(((E513/15000)+(F513/50)+(S513/240))*200/4+((E513/15000)*(F513/50))*200/2)*(H513/1.0))/(200/4+((S513/240))*200/2+((E513/15000)*(F513/50)*(S513/240))*200)*(H513/1.0)*6000)/J513,-1),"")</f>
        <v/>
      </c>
    </row>
    <row r="514">
      <c r="B514" s="7" t="inlineStr">
        <is>
          <t xml:space="preserve">  ↳ BlackHandLaser</t>
        </is>
      </c>
      <c r="C514" s="7" t="inlineStr">
        <is>
          <t>Armament@PRIMARY</t>
        </is>
      </c>
      <c r="L514" s="6" t="n">
        <v>144000</v>
      </c>
      <c r="M514" s="6" t="n">
        <v>50</v>
      </c>
      <c r="N514" s="6" t="n">
        <v>1</v>
      </c>
      <c r="O514" s="6" t="n"/>
      <c r="P514" s="6" t="n">
        <v>5524</v>
      </c>
      <c r="Q514" s="6" t="n">
        <v>1</v>
      </c>
      <c r="R514">
        <f>M514+IF(MAX(N514-1,0)&gt;0,IF(ISBLANK(O514),5*MAX(N514-1,0),IF(ISNUMBER(O514),O514*MAX(N514-1,0),SUM(IFERROR(VALUE(TEXTSPLIT(O514,",")),0)))),0)</f>
        <v/>
      </c>
      <c r="S514">
        <f>IFERROR(L514*MAX(N514,1)/R514*IF(ISBLANK(K513),1,K513),0)</f>
        <v/>
      </c>
      <c r="AB514" s="7" t="inlineStr">
        <is>
          <t>^TankDestroyerCannon, ^FlakWeapon, ^LaserWeapon</t>
        </is>
      </c>
    </row>
    <row r="515">
      <c r="B515" s="7" t="inlineStr">
        <is>
          <t xml:space="preserve">  ↳ BlackHandLaser</t>
        </is>
      </c>
      <c r="C515" s="7" t="inlineStr">
        <is>
          <t>Armament@Garrison</t>
        </is>
      </c>
      <c r="L515" s="6" t="n">
        <v>144000</v>
      </c>
      <c r="M515" s="6" t="n">
        <v>50</v>
      </c>
      <c r="N515" s="6" t="n">
        <v>1</v>
      </c>
      <c r="O515" s="6" t="n"/>
      <c r="P515" s="6" t="n">
        <v>5524</v>
      </c>
      <c r="Q515" s="6" t="n">
        <v>1</v>
      </c>
      <c r="R515">
        <f>M515+IF(MAX(N515-1,0)&gt;0,IF(ISBLANK(O515),5*MAX(N515-1,0),IF(ISNUMBER(O515),O515*MAX(N515-1,0),SUM(IFERROR(VALUE(TEXTSPLIT(O515,",")),0)))),0)</f>
        <v/>
      </c>
      <c r="S515">
        <f>IFERROR(L515*MAX(N515,1)/R515*IF(ISBLANK(K513),1,K513),0)</f>
        <v/>
      </c>
      <c r="AB515" s="7" t="inlineStr">
        <is>
          <t>^TankDestroyerCannon, ^FlakWeapon, ^LaserWeapon</t>
        </is>
      </c>
    </row>
    <row r="516">
      <c r="A516" t="inlineStr">
        <is>
          <t>redalert</t>
        </is>
      </c>
      <c r="B516" t="inlineStr">
        <is>
          <t>japan_imperialscoutsman</t>
        </is>
      </c>
      <c r="C516" t="inlineStr">
        <is>
          <t>Imperial Scoutsman</t>
        </is>
      </c>
      <c r="D516" s="6" t="inlineStr">
        <is>
          <t>SpecialForcesInfantry</t>
        </is>
      </c>
      <c r="E516" s="6" t="n">
        <v>15000</v>
      </c>
      <c r="F516" s="6" t="n">
        <v>50</v>
      </c>
      <c r="G516" t="inlineStr">
        <is>
          <t>Flak</t>
        </is>
      </c>
      <c r="H516" s="6" t="n">
        <v>1</v>
      </c>
      <c r="I516" s="6" t="n">
        <v>1</v>
      </c>
      <c r="J516" s="6" t="n">
        <v>1</v>
      </c>
      <c r="K516" t="n">
        <v>0.01</v>
      </c>
      <c r="P516">
        <f>MAX(P517,P519)</f>
        <v/>
      </c>
      <c r="S516">
        <f>S517+S519</f>
        <v/>
      </c>
      <c r="T516">
        <f>(E516/100000+F516/100+(P516/1000)*J516/5+S516/200)*200*I516*H516</f>
        <v/>
      </c>
      <c r="U516">
        <f>((E516*F516/25000)+((P516/1000)*J516*S516/2.5))*I516*H516</f>
        <v/>
      </c>
      <c r="V516">
        <f>(E516*F516*(P516/1000)*J516*S516*I516*H516)/12500000</f>
        <v/>
      </c>
      <c r="W516">
        <f>IFERROR((((E516/15000)+(F516/50)+(S516/240)+((P516/6000)*J516))*200/4+(((E516/15000)*(F516/50))+(((P516/6000)*J516)*(S516/240)))*200/2+((E516/15000)*(F516/50)*((P516/6000)*J516)*(S516/240))*200)*(H516/1.0)/3,"")</f>
        <v/>
      </c>
      <c r="X516" s="6" t="n">
        <v>200</v>
      </c>
      <c r="Y516">
        <f>IFERROR(W516-X516,"")</f>
        <v/>
      </c>
      <c r="Z516">
        <f>IFERROR(ABS(Y516)/MAX(X516,1),"")</f>
        <v/>
      </c>
      <c r="AA516">
        <f>IFERROR(ROUND(((3*X516-(((E516/15000)+(F516/50)+(S516/240))*200/4+((E516/15000)*(F516/50))*200/2)*(H516/1.0))/(200/4+((S516/240))*200/2+((E516/15000)*(F516/50)*(S516/240))*200)*(H516/1.0)*6000)/J516,-1),"")</f>
        <v/>
      </c>
    </row>
    <row r="517">
      <c r="B517" s="7" t="inlineStr">
        <is>
          <t xml:space="preserve">  ↳ japan_imperialscoutsman_rifle</t>
        </is>
      </c>
      <c r="C517" s="7" t="inlineStr">
        <is>
          <t>Armament@PRIMARY</t>
        </is>
      </c>
      <c r="L517" s="6" t="n">
        <v>12000</v>
      </c>
      <c r="M517" s="6" t="n">
        <v>50</v>
      </c>
      <c r="N517" s="6" t="n">
        <v>1</v>
      </c>
      <c r="O517" s="6" t="n"/>
      <c r="P517" s="6" t="n">
        <v>6000</v>
      </c>
      <c r="Q517" s="6" t="n">
        <v>1</v>
      </c>
      <c r="R517">
        <f>M517+IF(MAX(N517-1,0)&gt;0,IF(ISBLANK(O517),5*MAX(N517-1,0),IF(ISNUMBER(O517),O517*MAX(N517-1,0),SUM(IFERROR(VALUE(TEXTSPLIT(O517,",")),0)))),0)</f>
        <v/>
      </c>
      <c r="S517">
        <f>IFERROR(L517*MAX(N517,1)/R517*IF(ISBLANK(K516),1,K516),0)</f>
        <v/>
      </c>
      <c r="AB517" s="7" t="inlineStr">
        <is>
          <t>^RailgunWeapon, ^Chaingun, ^SmallArms</t>
        </is>
      </c>
    </row>
    <row r="518">
      <c r="B518" s="7" t="inlineStr">
        <is>
          <t xml:space="preserve">  ↳ japan_imperialscoutsman_rifle</t>
        </is>
      </c>
      <c r="C518" s="7" t="inlineStr">
        <is>
          <t>Armament@GARRISONED</t>
        </is>
      </c>
      <c r="L518" s="6" t="n">
        <v>12000</v>
      </c>
      <c r="M518" s="6" t="n">
        <v>50</v>
      </c>
      <c r="N518" s="6" t="n">
        <v>1</v>
      </c>
      <c r="O518" s="6" t="n"/>
      <c r="P518" s="6" t="n">
        <v>6000</v>
      </c>
      <c r="Q518" s="6" t="n">
        <v>1</v>
      </c>
      <c r="R518">
        <f>M518+IF(MAX(N518-1,0)&gt;0,IF(ISBLANK(O518),5*MAX(N518-1,0),IF(ISNUMBER(O518),O518*MAX(N518-1,0),SUM(IFERROR(VALUE(TEXTSPLIT(O518,",")),0)))),0)</f>
        <v/>
      </c>
      <c r="S518">
        <f>IFERROR(L518*MAX(N518,1)/R518*IF(ISBLANK(K516),1,K516),0)</f>
        <v/>
      </c>
      <c r="AB518" s="7" t="inlineStr">
        <is>
          <t>^RailgunWeapon, ^Chaingun, ^SmallArms</t>
        </is>
      </c>
    </row>
    <row r="519">
      <c r="B519" s="7" t="inlineStr">
        <is>
          <t xml:space="preserve">  ↳ japan_imperialscoutsman_rifle_waveforce</t>
        </is>
      </c>
      <c r="C519" s="7" t="inlineStr">
        <is>
          <t>Armament@Upgrade</t>
        </is>
      </c>
      <c r="L519" s="6" t="n">
        <v>14000</v>
      </c>
      <c r="M519" s="6" t="n">
        <v>50</v>
      </c>
      <c r="N519" s="6" t="n">
        <v>1</v>
      </c>
      <c r="O519" s="6" t="n"/>
      <c r="P519" s="6" t="n">
        <v>6000</v>
      </c>
      <c r="Q519" s="6" t="n">
        <v>1</v>
      </c>
      <c r="R519">
        <f>M519+IF(MAX(N519-1,0)&gt;0,IF(ISBLANK(O519),5*MAX(N519-1,0),IF(ISNUMBER(O519),O519*MAX(N519-1,0),SUM(IFERROR(VALUE(TEXTSPLIT(O519,",")),0)))),0)</f>
        <v/>
      </c>
      <c r="S519">
        <f>IFERROR(L519*MAX(N519,1)/R519*IF(ISBLANK(K516),1,K516),0)</f>
        <v/>
      </c>
      <c r="AB519" s="7" t="inlineStr">
        <is>
          <t>^Warhead_Railgun_Heavy</t>
        </is>
      </c>
    </row>
    <row r="520">
      <c r="B520" s="7" t="inlineStr">
        <is>
          <t xml:space="preserve">  ↳ japan_imperialscoutsman_rifle_waveforce</t>
        </is>
      </c>
      <c r="C520" s="7" t="inlineStr">
        <is>
          <t>Armament@UpgradeGARRISONED</t>
        </is>
      </c>
      <c r="L520" s="6" t="n">
        <v>14000</v>
      </c>
      <c r="M520" s="6" t="n">
        <v>50</v>
      </c>
      <c r="N520" s="6" t="n">
        <v>1</v>
      </c>
      <c r="O520" s="6" t="n"/>
      <c r="P520" s="6" t="n">
        <v>6000</v>
      </c>
      <c r="Q520" s="6" t="n">
        <v>1</v>
      </c>
      <c r="R520">
        <f>M520+IF(MAX(N520-1,0)&gt;0,IF(ISBLANK(O520),5*MAX(N520-1,0),IF(ISNUMBER(O520),O520*MAX(N520-1,0),SUM(IFERROR(VALUE(TEXTSPLIT(O520,",")),0)))),0)</f>
        <v/>
      </c>
      <c r="S520">
        <f>IFERROR(L520*MAX(N520,1)/R520*IF(ISBLANK(K516),1,K516),0)</f>
        <v/>
      </c>
      <c r="AB520" s="7" t="inlineStr">
        <is>
          <t>^Warhead_Railgun_Heavy</t>
        </is>
      </c>
    </row>
    <row r="521">
      <c r="A521" t="inlineStr">
        <is>
          <t>redalert2mod</t>
        </is>
      </c>
      <c r="B521" t="inlineStr">
        <is>
          <t>schwarzermond_lunarsoldier</t>
        </is>
      </c>
      <c r="C521" t="inlineStr">
        <is>
          <t>Lunar Soldier</t>
        </is>
      </c>
      <c r="D521" s="6" t="inlineStr">
        <is>
          <t>SpecialForcesInfantry</t>
        </is>
      </c>
      <c r="E521" s="6" t="n">
        <v>30000</v>
      </c>
      <c r="F521" s="6" t="n">
        <v>50</v>
      </c>
      <c r="G521" t="inlineStr">
        <is>
          <t>Flak</t>
        </is>
      </c>
      <c r="H521" s="6" t="n">
        <v>1</v>
      </c>
      <c r="I521" s="6" t="n">
        <v>0.5</v>
      </c>
      <c r="J521" s="6" t="n">
        <v>1</v>
      </c>
      <c r="K521" t="n">
        <v>0.01</v>
      </c>
      <c r="P521">
        <f>MAX(P522,P523,P524,P525,P526,P527)</f>
        <v/>
      </c>
      <c r="S521">
        <f>S522+S523+S524+S525+S526+S527</f>
        <v/>
      </c>
      <c r="T521">
        <f>(E521/100000+F521/100+(P521/1000)*J521/5+S521/200)*200*I521*H521</f>
        <v/>
      </c>
      <c r="U521">
        <f>((E521*F521/25000)+((P521/1000)*J521*S521/2.5))*I521*H521</f>
        <v/>
      </c>
      <c r="V521">
        <f>(E521*F521*(P521/1000)*J521*S521*I521*H521)/12500000</f>
        <v/>
      </c>
      <c r="W521">
        <f>IFERROR((((E521/15000)+(F521/50)+(S521/240)+((P521/6000)*J521))*200/4+(((E521/15000)*(F521/50))+(((P521/6000)*J521)*(S521/240)))*200/2+((E521/15000)*(F521/50)*((P521/6000)*J521)*(S521/240))*200)*(H521/1.0)/3,"")</f>
        <v/>
      </c>
      <c r="X521" s="6" t="n">
        <v>500</v>
      </c>
      <c r="Y521">
        <f>IFERROR(W521-X521,"")</f>
        <v/>
      </c>
      <c r="Z521">
        <f>IFERROR(ABS(Y521)/MAX(X521,1),"")</f>
        <v/>
      </c>
      <c r="AA521">
        <f>IFERROR(ROUND(((3*X521-(((E521/15000)+(F521/50)+(S521/240))*200/4+((E521/15000)*(F521/50))*200/2)*(H521/1.0))/(200/4+((S521/240))*200/2+((E521/15000)*(F521/50)*(S521/240))*200)*(H521/1.0)*6000)/J521,-1),"")</f>
        <v/>
      </c>
    </row>
    <row r="522">
      <c r="B522" s="7" t="inlineStr">
        <is>
          <t xml:space="preserve">  ↳ schwarzermond_lunarsoldier_rifle</t>
        </is>
      </c>
      <c r="C522" s="7" t="inlineStr">
        <is>
          <t>Armament@PRIMARY</t>
        </is>
      </c>
      <c r="L522" s="6" t="n">
        <v>24000</v>
      </c>
      <c r="M522" s="6" t="n">
        <v>50</v>
      </c>
      <c r="N522" s="6" t="n">
        <v>1</v>
      </c>
      <c r="O522" s="6" t="n"/>
      <c r="P522" s="6" t="n">
        <v>6000</v>
      </c>
      <c r="Q522" s="6" t="n">
        <v>1</v>
      </c>
      <c r="R522">
        <f>M522+IF(MAX(N522-1,0)&gt;0,IF(ISBLANK(O522),5*MAX(N522-1,0),IF(ISNUMBER(O522),O522*MAX(N522-1,0),SUM(IFERROR(VALUE(TEXTSPLIT(O522,",")),0)))),0)</f>
        <v/>
      </c>
      <c r="S522">
        <f>IFERROR(L522*MAX(N522,1)/R522*IF(ISBLANK(K521),1,K521),0)</f>
        <v/>
      </c>
      <c r="AB522" s="7" t="inlineStr">
        <is>
          <t>^Warhead_Bullet_Medium, ^Warhead_Bullet_Light, ^Warhead_Laser_Heavy</t>
        </is>
      </c>
    </row>
    <row r="523">
      <c r="B523" s="7" t="inlineStr">
        <is>
          <t xml:space="preserve">  ↳ schwarzermond_lunarsoldier_rifle_elite</t>
        </is>
      </c>
      <c r="C523" s="7" t="inlineStr">
        <is>
          <t>Armament@ELITE</t>
        </is>
      </c>
      <c r="L523" s="6" t="n">
        <v>24000</v>
      </c>
      <c r="M523" s="6" t="n">
        <v>50</v>
      </c>
      <c r="N523" s="6" t="n">
        <v>2</v>
      </c>
      <c r="O523" s="6" t="n">
        <v>3</v>
      </c>
      <c r="P523" s="6" t="n">
        <v>5500</v>
      </c>
      <c r="Q523" s="6" t="n">
        <v>1</v>
      </c>
      <c r="R523">
        <f>M523+IF(MAX(N523-1,0)&gt;0,IF(ISBLANK(O523),5*MAX(N523-1,0),IF(ISNUMBER(O523),O523*MAX(N523-1,0),SUM(IFERROR(VALUE(TEXTSPLIT(O523,",")),0)))),0)</f>
        <v/>
      </c>
      <c r="S523">
        <f>IFERROR(L523*MAX(N523,1)/R523*IF(ISBLANK(K521),1,K521),0)</f>
        <v/>
      </c>
      <c r="AB523" s="7" t="inlineStr">
        <is>
          <t>^Warhead_Bullet_Medium, ^Warhead_Bullet_Light, ^Warhead_Laser_Heavy</t>
        </is>
      </c>
    </row>
    <row r="524">
      <c r="B524" s="7" t="inlineStr">
        <is>
          <t xml:space="preserve">  ↳ schwarzermond_lunarsoldier_rifle_yellow</t>
        </is>
      </c>
      <c r="C524" s="7" t="inlineStr">
        <is>
          <t>Armament@PRIMARY_UP</t>
        </is>
      </c>
      <c r="L524" s="6" t="n">
        <v>24000</v>
      </c>
      <c r="M524" s="6" t="n">
        <v>50</v>
      </c>
      <c r="N524" s="6" t="n">
        <v>2</v>
      </c>
      <c r="O524" s="6" t="n">
        <v>3</v>
      </c>
      <c r="P524" s="6" t="n">
        <v>6000</v>
      </c>
      <c r="Q524" s="6" t="n">
        <v>1</v>
      </c>
      <c r="R524">
        <f>M524+IF(MAX(N524-1,0)&gt;0,IF(ISBLANK(O524),5*MAX(N524-1,0),IF(ISNUMBER(O524),O524*MAX(N524-1,0),SUM(IFERROR(VALUE(TEXTSPLIT(O524,",")),0)))),0)</f>
        <v/>
      </c>
      <c r="S524">
        <f>IFERROR(L524*MAX(N524,1)/R524*IF(ISBLANK(K521),1,K521),0)</f>
        <v/>
      </c>
      <c r="AB524" s="7" t="inlineStr">
        <is>
          <t>^Warhead_Bullet_Medium, ^Warhead_Bullet_Light, ^Warhead_Laser_Heavy</t>
        </is>
      </c>
    </row>
    <row r="525">
      <c r="B525" s="7" t="inlineStr">
        <is>
          <t xml:space="preserve">  ↳ schwarzermond_lunarsoldier_rifle_yellow_elite</t>
        </is>
      </c>
      <c r="C525" s="7" t="inlineStr">
        <is>
          <t>Armament@ELITE_UP</t>
        </is>
      </c>
      <c r="L525" s="6" t="n">
        <v>24000</v>
      </c>
      <c r="M525" s="6" t="n">
        <v>50</v>
      </c>
      <c r="N525" s="6" t="n">
        <v>4</v>
      </c>
      <c r="O525" s="6" t="n">
        <v>3</v>
      </c>
      <c r="P525" s="6" t="n">
        <v>5500</v>
      </c>
      <c r="Q525" s="6" t="n">
        <v>1</v>
      </c>
      <c r="R525">
        <f>M525+IF(MAX(N525-1,0)&gt;0,IF(ISBLANK(O525),5*MAX(N525-1,0),IF(ISNUMBER(O525),O525*MAX(N525-1,0),SUM(IFERROR(VALUE(TEXTSPLIT(O525,",")),0)))),0)</f>
        <v/>
      </c>
      <c r="S525">
        <f>IFERROR(L525*MAX(N525,1)/R525*IF(ISBLANK(K521),1,K521),0)</f>
        <v/>
      </c>
      <c r="AB525" s="7" t="inlineStr">
        <is>
          <t>^Warhead_Bullet_Medium, ^Warhead_Bullet_Light, ^Warhead_Laser_Heavy</t>
        </is>
      </c>
    </row>
    <row r="526">
      <c r="B526" s="7" t="inlineStr">
        <is>
          <t xml:space="preserve">  ↳ schwarzermond_lunarsoldier_rifle_amplified</t>
        </is>
      </c>
      <c r="C526" s="7" t="inlineStr">
        <is>
          <t>Armament@PRIMARY_AMP</t>
        </is>
      </c>
      <c r="L526" s="6" t="n">
        <v>24000</v>
      </c>
      <c r="M526" s="6" t="n">
        <v>50</v>
      </c>
      <c r="N526" s="6" t="n">
        <v>3</v>
      </c>
      <c r="O526" s="6" t="n">
        <v>3</v>
      </c>
      <c r="P526" s="6" t="n">
        <v>6000</v>
      </c>
      <c r="Q526" s="6" t="n">
        <v>1</v>
      </c>
      <c r="R526">
        <f>M526+IF(MAX(N526-1,0)&gt;0,IF(ISBLANK(O526),5*MAX(N526-1,0),IF(ISNUMBER(O526),O526*MAX(N526-1,0),SUM(IFERROR(VALUE(TEXTSPLIT(O526,",")),0)))),0)</f>
        <v/>
      </c>
      <c r="S526">
        <f>IFERROR(L526*MAX(N526,1)/R526*IF(ISBLANK(K521),1,K521),0)</f>
        <v/>
      </c>
      <c r="AB526" s="7" t="inlineStr">
        <is>
          <t>^Warhead_Bullet_Medium, ^Warhead_Bullet_Light, ^Warhead_Laser_Heavy</t>
        </is>
      </c>
    </row>
    <row r="527">
      <c r="B527" s="7" t="inlineStr">
        <is>
          <t xml:space="preserve">  ↳ schwarzermond_lunarsoldier_rifle_amplified_elite</t>
        </is>
      </c>
      <c r="C527" s="7" t="inlineStr">
        <is>
          <t>Armament@ELITE_AMP</t>
        </is>
      </c>
      <c r="L527" s="6" t="n">
        <v>24000</v>
      </c>
      <c r="M527" s="6" t="n">
        <v>50</v>
      </c>
      <c r="N527" s="6" t="n">
        <v>6</v>
      </c>
      <c r="O527" s="6" t="n">
        <v>3</v>
      </c>
      <c r="P527" s="6" t="n">
        <v>5500</v>
      </c>
      <c r="Q527" s="6" t="n">
        <v>1</v>
      </c>
      <c r="R527">
        <f>M527+IF(MAX(N527-1,0)&gt;0,IF(ISBLANK(O527),5*MAX(N527-1,0),IF(ISNUMBER(O527),O527*MAX(N527-1,0),SUM(IFERROR(VALUE(TEXTSPLIT(O527,",")),0)))),0)</f>
        <v/>
      </c>
      <c r="S527">
        <f>IFERROR(L527*MAX(N527,1)/R527*IF(ISBLANK(K521),1,K521),0)</f>
        <v/>
      </c>
      <c r="AB527" s="7" t="inlineStr">
        <is>
          <t>^Warhead_Bullet_Medium, ^Warhead_Bullet_Light, ^Warhead_Laser_Heavy</t>
        </is>
      </c>
    </row>
    <row r="528">
      <c r="B528" s="7" t="inlineStr">
        <is>
          <t xml:space="preserve">  ↳ schwarzermond_lunarsoldier_rifle</t>
        </is>
      </c>
      <c r="C528" s="7" t="inlineStr">
        <is>
          <t>Armament@GARRISONED</t>
        </is>
      </c>
      <c r="L528" s="6" t="n">
        <v>24000</v>
      </c>
      <c r="M528" s="6" t="n">
        <v>50</v>
      </c>
      <c r="N528" s="6" t="n">
        <v>1</v>
      </c>
      <c r="O528" s="6" t="n"/>
      <c r="P528" s="6" t="n">
        <v>6000</v>
      </c>
      <c r="Q528" s="6" t="n">
        <v>1</v>
      </c>
      <c r="R528">
        <f>M528+IF(MAX(N528-1,0)&gt;0,IF(ISBLANK(O528),5*MAX(N528-1,0),IF(ISNUMBER(O528),O528*MAX(N528-1,0),SUM(IFERROR(VALUE(TEXTSPLIT(O528,",")),0)))),0)</f>
        <v/>
      </c>
      <c r="S528">
        <f>IFERROR(L528*MAX(N528,1)/R528*IF(ISBLANK(K521),1,K521),0)</f>
        <v/>
      </c>
      <c r="AB528" s="7" t="inlineStr">
        <is>
          <t>^Warhead_Bullet_Medium, ^Warhead_Bullet_Light, ^Warhead_Laser_Heavy</t>
        </is>
      </c>
    </row>
    <row r="529">
      <c r="B529" s="7" t="inlineStr">
        <is>
          <t xml:space="preserve">  ↳ schwarzermond_lunarsoldier_rifle_elite</t>
        </is>
      </c>
      <c r="C529" s="7" t="inlineStr">
        <is>
          <t>Armament@GARRISONEDELITE</t>
        </is>
      </c>
      <c r="L529" s="6" t="n">
        <v>24000</v>
      </c>
      <c r="M529" s="6" t="n">
        <v>50</v>
      </c>
      <c r="N529" s="6" t="n">
        <v>2</v>
      </c>
      <c r="O529" s="6" t="n">
        <v>3</v>
      </c>
      <c r="P529" s="6" t="n">
        <v>5500</v>
      </c>
      <c r="Q529" s="6" t="n">
        <v>1</v>
      </c>
      <c r="R529">
        <f>M529+IF(MAX(N529-1,0)&gt;0,IF(ISBLANK(O529),5*MAX(N529-1,0),IF(ISNUMBER(O529),O529*MAX(N529-1,0),SUM(IFERROR(VALUE(TEXTSPLIT(O529,",")),0)))),0)</f>
        <v/>
      </c>
      <c r="S529">
        <f>IFERROR(L529*MAX(N529,1)/R529*IF(ISBLANK(K521),1,K521),0)</f>
        <v/>
      </c>
      <c r="AB529" s="7" t="inlineStr">
        <is>
          <t>^Warhead_Bullet_Medium, ^Warhead_Bullet_Light, ^Warhead_Laser_Heavy</t>
        </is>
      </c>
    </row>
    <row r="530">
      <c r="B530" s="7" t="inlineStr">
        <is>
          <t xml:space="preserve">  ↳ schwarzermond_lunarsoldier_rifle_yellow</t>
        </is>
      </c>
      <c r="C530" s="7" t="inlineStr">
        <is>
          <t>Armament@GARRISONED_UP</t>
        </is>
      </c>
      <c r="L530" s="6" t="n">
        <v>24000</v>
      </c>
      <c r="M530" s="6" t="n">
        <v>50</v>
      </c>
      <c r="N530" s="6" t="n">
        <v>2</v>
      </c>
      <c r="O530" s="6" t="n">
        <v>3</v>
      </c>
      <c r="P530" s="6" t="n">
        <v>6000</v>
      </c>
      <c r="Q530" s="6" t="n">
        <v>1</v>
      </c>
      <c r="R530">
        <f>M530+IF(MAX(N530-1,0)&gt;0,IF(ISBLANK(O530),5*MAX(N530-1,0),IF(ISNUMBER(O530),O530*MAX(N530-1,0),SUM(IFERROR(VALUE(TEXTSPLIT(O530,",")),0)))),0)</f>
        <v/>
      </c>
      <c r="S530">
        <f>IFERROR(L530*MAX(N530,1)/R530*IF(ISBLANK(K521),1,K521),0)</f>
        <v/>
      </c>
      <c r="AB530" s="7" t="inlineStr">
        <is>
          <t>^Warhead_Bullet_Medium, ^Warhead_Bullet_Light, ^Warhead_Laser_Heavy</t>
        </is>
      </c>
    </row>
    <row r="531">
      <c r="B531" s="7" t="inlineStr">
        <is>
          <t xml:space="preserve">  ↳ schwarzermond_lunarsoldier_rifle_yellow_elite</t>
        </is>
      </c>
      <c r="C531" s="7" t="inlineStr">
        <is>
          <t>Armament@GARRISONEDELITE_UP</t>
        </is>
      </c>
      <c r="L531" s="6" t="n">
        <v>24000</v>
      </c>
      <c r="M531" s="6" t="n">
        <v>50</v>
      </c>
      <c r="N531" s="6" t="n">
        <v>4</v>
      </c>
      <c r="O531" s="6" t="n">
        <v>3</v>
      </c>
      <c r="P531" s="6" t="n">
        <v>5500</v>
      </c>
      <c r="Q531" s="6" t="n">
        <v>1</v>
      </c>
      <c r="R531">
        <f>M531+IF(MAX(N531-1,0)&gt;0,IF(ISBLANK(O531),5*MAX(N531-1,0),IF(ISNUMBER(O531),O531*MAX(N531-1,0),SUM(IFERROR(VALUE(TEXTSPLIT(O531,",")),0)))),0)</f>
        <v/>
      </c>
      <c r="S531">
        <f>IFERROR(L531*MAX(N531,1)/R531*IF(ISBLANK(K521),1,K521),0)</f>
        <v/>
      </c>
      <c r="AB531" s="7" t="inlineStr">
        <is>
          <t>^Warhead_Bullet_Medium, ^Warhead_Bullet_Light, ^Warhead_Laser_Heavy</t>
        </is>
      </c>
    </row>
    <row r="532">
      <c r="B532" s="7" t="inlineStr">
        <is>
          <t xml:space="preserve">  ↳ schwarzermond_lunarsoldier_rifle_amplified</t>
        </is>
      </c>
      <c r="C532" s="7" t="inlineStr">
        <is>
          <t>Armament@GARRISONED_AMP</t>
        </is>
      </c>
      <c r="L532" s="6" t="n">
        <v>24000</v>
      </c>
      <c r="M532" s="6" t="n">
        <v>50</v>
      </c>
      <c r="N532" s="6" t="n">
        <v>3</v>
      </c>
      <c r="O532" s="6" t="n">
        <v>3</v>
      </c>
      <c r="P532" s="6" t="n">
        <v>6000</v>
      </c>
      <c r="Q532" s="6" t="n">
        <v>1</v>
      </c>
      <c r="R532">
        <f>M532+IF(MAX(N532-1,0)&gt;0,IF(ISBLANK(O532),5*MAX(N532-1,0),IF(ISNUMBER(O532),O532*MAX(N532-1,0),SUM(IFERROR(VALUE(TEXTSPLIT(O532,",")),0)))),0)</f>
        <v/>
      </c>
      <c r="S532">
        <f>IFERROR(L532*MAX(N532,1)/R532*IF(ISBLANK(K521),1,K521),0)</f>
        <v/>
      </c>
      <c r="AB532" s="7" t="inlineStr">
        <is>
          <t>^Warhead_Bullet_Medium, ^Warhead_Bullet_Light, ^Warhead_Laser_Heavy</t>
        </is>
      </c>
    </row>
    <row r="533">
      <c r="B533" s="7" t="inlineStr">
        <is>
          <t xml:space="preserve">  ↳ schwarzermond_lunarsoldier_rifle_amplified_elite</t>
        </is>
      </c>
      <c r="C533" s="7" t="inlineStr">
        <is>
          <t>Armament@GARRISONEDELITE_AMP</t>
        </is>
      </c>
      <c r="L533" s="6" t="n">
        <v>24000</v>
      </c>
      <c r="M533" s="6" t="n">
        <v>50</v>
      </c>
      <c r="N533" s="6" t="n">
        <v>6</v>
      </c>
      <c r="O533" s="6" t="n">
        <v>3</v>
      </c>
      <c r="P533" s="6" t="n">
        <v>5500</v>
      </c>
      <c r="Q533" s="6" t="n">
        <v>1</v>
      </c>
      <c r="R533">
        <f>M533+IF(MAX(N533-1,0)&gt;0,IF(ISBLANK(O533),5*MAX(N533-1,0),IF(ISNUMBER(O533),O533*MAX(N533-1,0),SUM(IFERROR(VALUE(TEXTSPLIT(O533,",")),0)))),0)</f>
        <v/>
      </c>
      <c r="S533">
        <f>IFERROR(L533*MAX(N533,1)/R533*IF(ISBLANK(K521),1,K521),0)</f>
        <v/>
      </c>
      <c r="AB533" s="7" t="inlineStr">
        <is>
          <t>^Warhead_Bullet_Medium, ^Warhead_Bullet_Light, ^Warhead_Laser_Heavy</t>
        </is>
      </c>
    </row>
    <row r="534">
      <c r="A534" t="inlineStr">
        <is>
          <t>redalert2mod</t>
        </is>
      </c>
      <c r="B534" t="inlineStr">
        <is>
          <t>tkm_trooper</t>
        </is>
      </c>
      <c r="C534" t="inlineStr">
        <is>
          <t>Trooper</t>
        </is>
      </c>
      <c r="D534" s="6" t="inlineStr">
        <is>
          <t>SpecialForcesInfantry</t>
        </is>
      </c>
      <c r="E534" s="6" t="n">
        <v>33000</v>
      </c>
      <c r="F534" s="6" t="n">
        <v>59</v>
      </c>
      <c r="G534" t="inlineStr">
        <is>
          <t>Flak</t>
        </is>
      </c>
      <c r="H534" s="6" t="n">
        <v>1</v>
      </c>
      <c r="I534" s="6" t="n">
        <v>1</v>
      </c>
      <c r="J534" s="6" t="n">
        <v>1</v>
      </c>
      <c r="K534" t="n">
        <v>0.0037</v>
      </c>
      <c r="P534">
        <f>MAX(P535,P537)</f>
        <v/>
      </c>
      <c r="S534">
        <f>S535+S537</f>
        <v/>
      </c>
      <c r="T534">
        <f>(E534/100000+F534/100+(P534/1000)*J534/5+S534/200)*200*I534*H534</f>
        <v/>
      </c>
      <c r="U534">
        <f>((E534*F534/25000)+((P534/1000)*J534*S534/2.5))*I534*H534</f>
        <v/>
      </c>
      <c r="V534">
        <f>(E534*F534*(P534/1000)*J534*S534*I534*H534)/12500000</f>
        <v/>
      </c>
      <c r="W534">
        <f>IFERROR((((E534/15000)+(F534/50)+(S534/240)+((P534/6000)*J534))*200/4+(((E534/15000)*(F534/50))+(((P534/6000)*J534)*(S534/240)))*200/2+((E534/15000)*(F534/50)*((P534/6000)*J534)*(S534/240))*200)*(H534/1.0)/3,"")</f>
        <v/>
      </c>
      <c r="X534" s="6" t="n">
        <v>200</v>
      </c>
      <c r="Y534">
        <f>IFERROR(W534-X534,"")</f>
        <v/>
      </c>
      <c r="Z534">
        <f>IFERROR(ABS(Y534)/MAX(X534,1),"")</f>
        <v/>
      </c>
      <c r="AA534">
        <f>IFERROR(ROUND(((3*X534-(((E534/15000)+(F534/50)+(S534/240))*200/4+((E534/15000)*(F534/50))*200/2)*(H534/1.0))/(200/4+((S534/240))*200/2+((E534/15000)*(F534/50)*(S534/240))*200)*(H534/1.0)*6000)/J534,-1),"")</f>
        <v/>
      </c>
    </row>
    <row r="535">
      <c r="B535" s="7" t="inlineStr">
        <is>
          <t xml:space="preserve">  ↳ tkm_trooper_ak</t>
        </is>
      </c>
      <c r="C535" s="7" t="inlineStr">
        <is>
          <t>Armament@PRIMARY</t>
        </is>
      </c>
      <c r="L535" s="6" t="n">
        <v>2000</v>
      </c>
      <c r="M535" s="6" t="n">
        <v>31</v>
      </c>
      <c r="N535" s="6" t="n">
        <v>5</v>
      </c>
      <c r="O535" s="6" t="n">
        <v>1</v>
      </c>
      <c r="P535" s="6" t="n">
        <v>5191</v>
      </c>
      <c r="Q535" s="6" t="n">
        <v>1</v>
      </c>
      <c r="R535">
        <f>M535+IF(MAX(N535-1,0)&gt;0,IF(ISBLANK(O535),5*MAX(N535-1,0),IF(ISNUMBER(O535),O535*MAX(N535-1,0),SUM(IFERROR(VALUE(TEXTSPLIT(O535,",")),0)))),0)</f>
        <v/>
      </c>
      <c r="S535">
        <f>IFERROR(L535*MAX(N535,1)/R535*IF(ISBLANK(K534),1,K534),0)</f>
        <v/>
      </c>
      <c r="AB535" s="7" t="inlineStr">
        <is>
          <t>^Warhead_Bullet_Light</t>
        </is>
      </c>
    </row>
    <row r="536">
      <c r="B536" s="7" t="inlineStr">
        <is>
          <t xml:space="preserve">  ↳ tkm_trooper_ak</t>
        </is>
      </c>
      <c r="C536" s="7" t="inlineStr">
        <is>
          <t>Armament@GARRISONED</t>
        </is>
      </c>
      <c r="L536" s="6" t="n">
        <v>2000</v>
      </c>
      <c r="M536" s="6" t="n">
        <v>31</v>
      </c>
      <c r="N536" s="6" t="n">
        <v>5</v>
      </c>
      <c r="O536" s="6" t="n">
        <v>1</v>
      </c>
      <c r="P536" s="6" t="n">
        <v>5191</v>
      </c>
      <c r="Q536" s="6" t="n">
        <v>1</v>
      </c>
      <c r="R536">
        <f>M536+IF(MAX(N536-1,0)&gt;0,IF(ISBLANK(O536),5*MAX(N536-1,0),IF(ISNUMBER(O536),O536*MAX(N536-1,0),SUM(IFERROR(VALUE(TEXTSPLIT(O536,",")),0)))),0)</f>
        <v/>
      </c>
      <c r="S536">
        <f>IFERROR(L536*MAX(N536,1)/R536*IF(ISBLANK(K534),1,K534),0)</f>
        <v/>
      </c>
      <c r="AB536" s="7" t="inlineStr">
        <is>
          <t>^Warhead_Bullet_Light</t>
        </is>
      </c>
    </row>
    <row r="537">
      <c r="B537" s="7" t="inlineStr">
        <is>
          <t xml:space="preserve">  ↳ tkm_trooper_gp25</t>
        </is>
      </c>
      <c r="C537" s="7" t="inlineStr">
        <is>
          <t>Armament@gp25</t>
        </is>
      </c>
      <c r="L537" s="6" t="n">
        <v>12000</v>
      </c>
      <c r="M537" s="6" t="n">
        <v>80</v>
      </c>
      <c r="N537" s="6" t="n">
        <v>1</v>
      </c>
      <c r="O537" s="6" t="n"/>
      <c r="P537" s="6" t="n">
        <v>5500</v>
      </c>
      <c r="Q537" s="6" t="n">
        <v>1</v>
      </c>
      <c r="R537">
        <f>M537+IF(MAX(N537-1,0)&gt;0,IF(ISBLANK(O537),5*MAX(N537-1,0),IF(ISNUMBER(O537),O537*MAX(N537-1,0),SUM(IFERROR(VALUE(TEXTSPLIT(O537,",")),0)))),0)</f>
        <v/>
      </c>
      <c r="S537">
        <f>IFERROR(L537*MAX(N537,1)/R537*IF(ISBLANK(K534),1,K534),0)</f>
        <v/>
      </c>
      <c r="AB537" s="7" t="inlineStr">
        <is>
          <t>^Warhead_Demolition_Light, ^Warhead_Flame_Light</t>
        </is>
      </c>
    </row>
    <row r="538">
      <c r="B538" s="7" t="inlineStr">
        <is>
          <t xml:space="preserve">  ↳ tkm_trooper_gp25</t>
        </is>
      </c>
      <c r="C538" s="7" t="inlineStr">
        <is>
          <t>Armament@GARRISONEDM203</t>
        </is>
      </c>
      <c r="L538" s="6" t="n">
        <v>12000</v>
      </c>
      <c r="M538" s="6" t="n">
        <v>80</v>
      </c>
      <c r="N538" s="6" t="n">
        <v>1</v>
      </c>
      <c r="O538" s="6" t="n"/>
      <c r="P538" s="6" t="n">
        <v>5500</v>
      </c>
      <c r="Q538" s="6" t="n">
        <v>1</v>
      </c>
      <c r="R538">
        <f>M538+IF(MAX(N538-1,0)&gt;0,IF(ISBLANK(O538),5*MAX(N538-1,0),IF(ISNUMBER(O538),O538*MAX(N538-1,0),SUM(IFERROR(VALUE(TEXTSPLIT(O538,",")),0)))),0)</f>
        <v/>
      </c>
      <c r="S538">
        <f>IFERROR(L538*MAX(N538,1)/R538*IF(ISBLANK(K534),1,K534),0)</f>
        <v/>
      </c>
      <c r="AB538" s="7" t="inlineStr">
        <is>
          <t>^Warhead_Demolition_Light, ^Warhead_Flame_Light</t>
        </is>
      </c>
    </row>
    <row r="539">
      <c r="A539" s="4" t="inlineStr">
        <is>
          <t>HeavyInfantry</t>
        </is>
      </c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  <c r="AB539" s="5" t="n"/>
    </row>
    <row r="540">
      <c r="A540" t="inlineStr">
        <is>
          <t>tiberiandawn</t>
        </is>
      </c>
      <c r="B540" t="inlineStr">
        <is>
          <t>td_gdi_officer</t>
        </is>
      </c>
      <c r="C540" t="inlineStr">
        <is>
          <t>GDI Officer</t>
        </is>
      </c>
      <c r="D540" s="6" t="inlineStr">
        <is>
          <t>HeavyInfantry</t>
        </is>
      </c>
      <c r="E540" s="6" t="n">
        <v>32000</v>
      </c>
      <c r="F540" s="6" t="n">
        <v>79</v>
      </c>
      <c r="G540" t="inlineStr">
        <is>
          <t>Plate</t>
        </is>
      </c>
      <c r="H540" s="6" t="n">
        <v>0.75</v>
      </c>
      <c r="I540" s="6" t="n">
        <v>0.8</v>
      </c>
      <c r="J540" s="6" t="n">
        <v>1.25</v>
      </c>
      <c r="K540" t="n">
        <v>0.0108</v>
      </c>
      <c r="P540">
        <f>MAX(P541,P543)</f>
        <v/>
      </c>
      <c r="S540">
        <f>S541+S543</f>
        <v/>
      </c>
      <c r="T540">
        <f>(E540/100000+F540/100+(P540/1000)*J540/5+S540/200)*200*I540*H540</f>
        <v/>
      </c>
      <c r="U540">
        <f>((E540*F540/25000)+((P540/1000)*J540*S540/2.5))*I540*H540</f>
        <v/>
      </c>
      <c r="V540">
        <f>(E540*F540*(P540/1000)*J540*S540*I540*H540)/12500000</f>
        <v/>
      </c>
      <c r="W540">
        <f>IFERROR((((E540/15000)+(F540/50)+(S540/240)+((P540/6000)*J540))*200/4+(((E540/15000)*(F540/50))+(((P540/6000)*J540)*(S540/240)))*200/2+((E540/15000)*(F540/50)*((P540/6000)*J540)*(S540/240))*200)*(H540/1.0)/3,"")</f>
        <v/>
      </c>
      <c r="X540" s="6" t="n">
        <v>1532</v>
      </c>
      <c r="Y540">
        <f>IFERROR(W540-X540,"")</f>
        <v/>
      </c>
      <c r="Z540">
        <f>IFERROR(ABS(Y540)/MAX(X540,1),"")</f>
        <v/>
      </c>
      <c r="AA540">
        <f>IFERROR(ROUND(((3*X540-(((E540/15000)+(F540/50)+(S540/240))*200/4+((E540/15000)*(F540/50))*200/2)*(H540/1.0))/(200/4+((S540/240))*200/2+((E540/15000)*(F540/50)*(S540/240))*200)*(H540/1.0)*6000)/J540,-1),"")</f>
        <v/>
      </c>
    </row>
    <row r="541">
      <c r="B541" s="7" t="inlineStr">
        <is>
          <t xml:space="preserve">  ↳ OfficerMachineGun</t>
        </is>
      </c>
      <c r="C541" s="7" t="inlineStr">
        <is>
          <t>Armament@PRIMARY</t>
        </is>
      </c>
      <c r="L541" s="6" t="n">
        <v>16000</v>
      </c>
      <c r="M541" s="6" t="n">
        <v>20</v>
      </c>
      <c r="N541" s="6" t="n">
        <v>4</v>
      </c>
      <c r="O541" s="6" t="n">
        <v>4</v>
      </c>
      <c r="P541" s="6" t="n">
        <v>5596</v>
      </c>
      <c r="Q541" s="6" t="n">
        <v>0.875</v>
      </c>
      <c r="R541">
        <f>M541+IF(MAX(N541-1,0)&gt;0,IF(ISBLANK(O541),5*MAX(N541-1,0),IF(ISNUMBER(O541),O541*MAX(N541-1,0),SUM(IFERROR(VALUE(TEXTSPLIT(O541,",")),0)))),0)</f>
        <v/>
      </c>
      <c r="S541">
        <f>IFERROR(L541*MAX(N541,1)/R541*IF(ISBLANK(K540),1,K540),0)</f>
        <v/>
      </c>
      <c r="AB541" s="7" t="inlineStr">
        <is>
          <t>^Warhead_Bullet_Light, ^Warhead_Bullet_Medium</t>
        </is>
      </c>
    </row>
    <row r="542">
      <c r="B542" s="7" t="inlineStr">
        <is>
          <t xml:space="preserve">  ↳ OfficerMachineGun</t>
        </is>
      </c>
      <c r="C542" s="7" t="inlineStr">
        <is>
          <t>Armament@GARRISONED</t>
        </is>
      </c>
      <c r="L542" s="6" t="n">
        <v>16000</v>
      </c>
      <c r="M542" s="6" t="n">
        <v>20</v>
      </c>
      <c r="N542" s="6" t="n">
        <v>4</v>
      </c>
      <c r="O542" s="6" t="n">
        <v>4</v>
      </c>
      <c r="P542" s="6" t="n">
        <v>5596</v>
      </c>
      <c r="Q542" s="6" t="n">
        <v>0.875</v>
      </c>
      <c r="R542">
        <f>M542+IF(MAX(N542-1,0)&gt;0,IF(ISBLANK(O542),5*MAX(N542-1,0),IF(ISNUMBER(O542),O542*MAX(N542-1,0),SUM(IFERROR(VALUE(TEXTSPLIT(O542,",")),0)))),0)</f>
        <v/>
      </c>
      <c r="S542">
        <f>IFERROR(L542*MAX(N542,1)/R542*IF(ISBLANK(K540),1,K540),0)</f>
        <v/>
      </c>
      <c r="AB542" s="7" t="inlineStr">
        <is>
          <t>^Warhead_Bullet_Light, ^Warhead_Bullet_Medium</t>
        </is>
      </c>
    </row>
    <row r="543">
      <c r="B543" s="7" t="inlineStr">
        <is>
          <t xml:space="preserve">  ↳ OfficerMachineGunAP</t>
        </is>
      </c>
      <c r="C543" s="7" t="inlineStr">
        <is>
          <t>Armament@Upgrade</t>
        </is>
      </c>
      <c r="L543" s="6" t="n">
        <v>4000</v>
      </c>
      <c r="M543" s="6" t="n">
        <v>20</v>
      </c>
      <c r="N543" s="6" t="n">
        <v>4</v>
      </c>
      <c r="O543" s="6" t="n">
        <v>4</v>
      </c>
      <c r="P543" s="6" t="n">
        <v>4888</v>
      </c>
      <c r="Q543" s="6" t="n">
        <v>1</v>
      </c>
      <c r="R543">
        <f>M543+IF(MAX(N543-1,0)&gt;0,IF(ISBLANK(O543),5*MAX(N543-1,0),IF(ISNUMBER(O543),O543*MAX(N543-1,0),SUM(IFERROR(VALUE(TEXTSPLIT(O543,",")),0)))),0)</f>
        <v/>
      </c>
      <c r="S543">
        <f>IFERROR(L543*MAX(N543,1)/R543*IF(ISBLANK(K540),1,K540),0)</f>
        <v/>
      </c>
      <c r="AB543" s="7" t="inlineStr">
        <is>
          <t>^Warhead_Bullet_Medium</t>
        </is>
      </c>
    </row>
    <row r="544">
      <c r="B544" s="7" t="inlineStr">
        <is>
          <t xml:space="preserve">  ↳ OfficerMachineGunAP</t>
        </is>
      </c>
      <c r="C544" s="7" t="inlineStr">
        <is>
          <t>Armament@UpgradeGARRISONED</t>
        </is>
      </c>
      <c r="L544" s="6" t="n">
        <v>4000</v>
      </c>
      <c r="M544" s="6" t="n">
        <v>20</v>
      </c>
      <c r="N544" s="6" t="n">
        <v>4</v>
      </c>
      <c r="O544" s="6" t="n">
        <v>4</v>
      </c>
      <c r="P544" s="6" t="n">
        <v>4888</v>
      </c>
      <c r="Q544" s="6" t="n">
        <v>1</v>
      </c>
      <c r="R544">
        <f>M544+IF(MAX(N544-1,0)&gt;0,IF(ISBLANK(O544),5*MAX(N544-1,0),IF(ISNUMBER(O544),O544*MAX(N544-1,0),SUM(IFERROR(VALUE(TEXTSPLIT(O544,",")),0)))),0)</f>
        <v/>
      </c>
      <c r="S544">
        <f>IFERROR(L544*MAX(N544,1)/R544*IF(ISBLANK(K540),1,K540),0)</f>
        <v/>
      </c>
      <c r="AB544" s="7" t="inlineStr">
        <is>
          <t>^Warhead_Bullet_Medium</t>
        </is>
      </c>
    </row>
    <row r="545">
      <c r="A545" t="inlineStr">
        <is>
          <t>tiberiandawn</t>
        </is>
      </c>
      <c r="B545" t="inlineStr">
        <is>
          <t>td_gdi_sonicmissilesoldier</t>
        </is>
      </c>
      <c r="C545" t="inlineStr">
        <is>
          <t>Sonic Missile Soldier</t>
        </is>
      </c>
      <c r="D545" s="6" t="inlineStr">
        <is>
          <t>HeavyInfantry</t>
        </is>
      </c>
      <c r="E545" s="6" t="n">
        <v>25000</v>
      </c>
      <c r="F545" s="6" t="n">
        <v>50</v>
      </c>
      <c r="G545" t="inlineStr">
        <is>
          <t>Plate</t>
        </is>
      </c>
      <c r="H545" s="6" t="n">
        <v>1</v>
      </c>
      <c r="I545" s="6" t="n">
        <v>0.5</v>
      </c>
      <c r="J545" s="6" t="n">
        <v>1</v>
      </c>
      <c r="P545">
        <f>MAX(P546)</f>
        <v/>
      </c>
      <c r="S545">
        <f>S546</f>
        <v/>
      </c>
      <c r="T545">
        <f>(E545/100000+F545/100+(P545/1000)*J545/5+S545/200)*200*I545*H545</f>
        <v/>
      </c>
      <c r="U545">
        <f>((E545*F545/25000)+((P545/1000)*J545*S545/2.5))*I545*H545</f>
        <v/>
      </c>
      <c r="V545">
        <f>(E545*F545*(P545/1000)*J545*S545*I545*H545)/12500000</f>
        <v/>
      </c>
      <c r="W545">
        <f>(T545+U545+V545)/3</f>
        <v/>
      </c>
      <c r="X545" s="6" t="n">
        <v>400</v>
      </c>
      <c r="Y545">
        <f>IFERROR(W545-X545,"")</f>
        <v/>
      </c>
      <c r="Z545">
        <f>IFERROR(ABS(Y545)/MAX(X545,1),"")</f>
        <v/>
      </c>
      <c r="AA545">
        <f>IFERROR((X545-(((E545/100000+F545/100+S545/200)*200*I545*H545)+((E545*F545/25000)*I545*H545))/3)/(((J545/5)*200*I545*H545)+((J545*S545/2.5)*I545*H545)+((E545*F545*J545*S545*I545*H545)/12500000))/3*1000,"")</f>
        <v/>
      </c>
    </row>
    <row r="546">
      <c r="B546" s="7" t="inlineStr">
        <is>
          <t xml:space="preserve">  ↳ MissileSoldierWeapon</t>
        </is>
      </c>
      <c r="C546" s="7" t="inlineStr">
        <is>
          <t>Armament@PRIMARY</t>
        </is>
      </c>
      <c r="L546" s="6" t="n">
        <v>50000</v>
      </c>
      <c r="M546" s="6" t="n">
        <v>125</v>
      </c>
      <c r="N546" s="6" t="n">
        <v>1</v>
      </c>
      <c r="O546" s="6" t="n"/>
      <c r="P546" s="6" t="n">
        <v>7500</v>
      </c>
      <c r="Q546" s="6" t="n">
        <v>1</v>
      </c>
      <c r="R546">
        <f>M546+IF(MAX(N546-1,0)&gt;0,IF(ISBLANK(O546),5*MAX(N546-1,0),IF(ISNUMBER(O546),O546*MAX(N546-1,0),SUM(IFERROR(VALUE(TEXTSPLIT(O546,",")),0)))),0)</f>
        <v/>
      </c>
      <c r="S546">
        <f>IFERROR(L546*MAX(N546,1)/R546*IF(ISBLANK(K545),1,K545),0)</f>
        <v/>
      </c>
      <c r="AB546" s="7" t="inlineStr">
        <is>
          <t>^TankDestroyerCannon, ^LightChemicalWeapon, ^ShrapnelWeapon, ^RailgunWeapon, ^HeavyMissile</t>
        </is>
      </c>
    </row>
    <row r="547">
      <c r="B547" s="7" t="inlineStr">
        <is>
          <t xml:space="preserve">  ↳ MissileSoldierWeapon</t>
        </is>
      </c>
      <c r="C547" s="7" t="inlineStr">
        <is>
          <t>Armament@GARRISONED</t>
        </is>
      </c>
      <c r="L547" s="6" t="n">
        <v>50000</v>
      </c>
      <c r="M547" s="6" t="n">
        <v>125</v>
      </c>
      <c r="N547" s="6" t="n">
        <v>1</v>
      </c>
      <c r="O547" s="6" t="n"/>
      <c r="P547" s="6" t="n">
        <v>7500</v>
      </c>
      <c r="Q547" s="6" t="n">
        <v>1</v>
      </c>
      <c r="R547">
        <f>M547+IF(MAX(N547-1,0)&gt;0,IF(ISBLANK(O547),5*MAX(N547-1,0),IF(ISNUMBER(O547),O547*MAX(N547-1,0),SUM(IFERROR(VALUE(TEXTSPLIT(O547,",")),0)))),0)</f>
        <v/>
      </c>
      <c r="S547">
        <f>IFERROR(L547*MAX(N547,1)/R547*IF(ISBLANK(K545),1,K545),0)</f>
        <v/>
      </c>
      <c r="AB547" s="7" t="inlineStr">
        <is>
          <t>^TankDestroyerCannon, ^LightChemicalWeapon, ^ShrapnelWeapon, ^RailgunWeapon, ^HeavyMissile</t>
        </is>
      </c>
    </row>
    <row r="548">
      <c r="A548" t="inlineStr">
        <is>
          <t>tiberiandawn</t>
        </is>
      </c>
      <c r="B548" t="inlineStr">
        <is>
          <t>td_nod_blackhandflamer</t>
        </is>
      </c>
      <c r="C548" t="inlineStr">
        <is>
          <t>Black Hand Flamer</t>
        </is>
      </c>
      <c r="D548" s="6" t="inlineStr">
        <is>
          <t>HeavyInfantry</t>
        </is>
      </c>
      <c r="E548" s="6" t="n">
        <v>36000</v>
      </c>
      <c r="F548" s="6" t="n">
        <v>66</v>
      </c>
      <c r="G548" t="inlineStr">
        <is>
          <t>Plate</t>
        </is>
      </c>
      <c r="H548" s="6" t="n">
        <v>1</v>
      </c>
      <c r="I548" s="6" t="n">
        <v>0.8</v>
      </c>
      <c r="J548" s="6" t="n">
        <v>1.25</v>
      </c>
      <c r="P548">
        <f>MAX(P549)</f>
        <v/>
      </c>
      <c r="S548">
        <f>S549</f>
        <v/>
      </c>
      <c r="T548">
        <f>(E548/100000+F548/100+(P548/1000)*J548/5+S548/200)*200*I548*H548</f>
        <v/>
      </c>
      <c r="U548">
        <f>((E548*F548/25000)+((P548/1000)*J548*S548/2.5))*I548*H548</f>
        <v/>
      </c>
      <c r="V548">
        <f>(E548*F548*(P548/1000)*J548*S548*I548*H548)/12500000</f>
        <v/>
      </c>
      <c r="W548">
        <f>(T548+U548+V548)/3</f>
        <v/>
      </c>
      <c r="X548" s="6" t="n">
        <v>600</v>
      </c>
      <c r="Y548">
        <f>IFERROR(W548-X548,"")</f>
        <v/>
      </c>
      <c r="Z548">
        <f>IFERROR(ABS(Y548)/MAX(X548,1),"")</f>
        <v/>
      </c>
      <c r="AA548">
        <f>IFERROR((X548-(((E548/100000+F548/100+S548/200)*200*I548*H548)+((E548*F548/25000)*I548*H548))/3)/(((J548/5)*200*I548*H548)+((J548*S548/2.5)*I548*H548)+((E548*F548*J548*S548*I548*H548)/12500000))/3*1000,"")</f>
        <v/>
      </c>
    </row>
    <row r="549">
      <c r="B549" s="7" t="inlineStr">
        <is>
          <t xml:space="preserve">  ↳ BlackHandFlamer</t>
        </is>
      </c>
      <c r="C549" s="7" t="inlineStr">
        <is>
          <t>Armament@PRIMARY</t>
        </is>
      </c>
      <c r="L549" s="6" t="n">
        <v>4000</v>
      </c>
      <c r="M549" s="6" t="n">
        <v>46</v>
      </c>
      <c r="N549" s="6" t="n">
        <v>6</v>
      </c>
      <c r="O549" s="6" t="n">
        <v>4</v>
      </c>
      <c r="P549" s="6" t="n">
        <v>4988</v>
      </c>
      <c r="Q549" s="6" t="n">
        <v>1</v>
      </c>
      <c r="R549">
        <f>M549+IF(MAX(N549-1,0)&gt;0,IF(ISBLANK(O549),5*MAX(N549-1,0),IF(ISNUMBER(O549),O549*MAX(N549-1,0),SUM(IFERROR(VALUE(TEXTSPLIT(O549,",")),0)))),0)</f>
        <v/>
      </c>
      <c r="S549">
        <f>IFERROR(L549*MAX(N549,1)/R549*IF(ISBLANK(K548),1,K548),0)</f>
        <v/>
      </c>
      <c r="AB549" s="7" t="inlineStr">
        <is>
          <t>^Warhead_Flame_Medium</t>
        </is>
      </c>
    </row>
    <row r="550">
      <c r="B550" s="7" t="inlineStr">
        <is>
          <t xml:space="preserve">  ↳ BlackHandFlamer</t>
        </is>
      </c>
      <c r="C550" s="7" t="inlineStr">
        <is>
          <t>Armament@Garrison</t>
        </is>
      </c>
      <c r="L550" s="6" t="n">
        <v>4000</v>
      </c>
      <c r="M550" s="6" t="n">
        <v>46</v>
      </c>
      <c r="N550" s="6" t="n">
        <v>6</v>
      </c>
      <c r="O550" s="6" t="n">
        <v>4</v>
      </c>
      <c r="P550" s="6" t="n">
        <v>4988</v>
      </c>
      <c r="Q550" s="6" t="n">
        <v>1</v>
      </c>
      <c r="R550">
        <f>M550+IF(MAX(N550-1,0)&gt;0,IF(ISBLANK(O550),5*MAX(N550-1,0),IF(ISNUMBER(O550),O550*MAX(N550-1,0),SUM(IFERROR(VALUE(TEXTSPLIT(O550,",")),0)))),0)</f>
        <v/>
      </c>
      <c r="S550">
        <f>IFERROR(L550*MAX(N550,1)/R550*IF(ISBLANK(K548),1,K548),0)</f>
        <v/>
      </c>
      <c r="AB550" s="7" t="inlineStr">
        <is>
          <t>^Warhead_Flame_Medium</t>
        </is>
      </c>
    </row>
    <row r="551">
      <c r="A551" t="inlineStr">
        <is>
          <t>tiberiandawn</t>
        </is>
      </c>
      <c r="B551" t="inlineStr">
        <is>
          <t>td_nod_stealthsoldier</t>
        </is>
      </c>
      <c r="C551" t="inlineStr">
        <is>
          <t>Stealth Soldier</t>
        </is>
      </c>
      <c r="D551" s="6" t="inlineStr">
        <is>
          <t>HeavyInfantry</t>
        </is>
      </c>
      <c r="E551" s="6" t="n">
        <v>25000</v>
      </c>
      <c r="F551" s="6" t="n">
        <v>72</v>
      </c>
      <c r="G551" t="inlineStr">
        <is>
          <t>Plate</t>
        </is>
      </c>
      <c r="H551" s="6" t="n">
        <v>0.75</v>
      </c>
      <c r="I551" s="6" t="n">
        <v>0.8</v>
      </c>
      <c r="J551" s="6" t="n">
        <v>1.5</v>
      </c>
      <c r="K551" t="n">
        <v>0.008100000000000001</v>
      </c>
      <c r="P551">
        <f>MAX(P552)</f>
        <v/>
      </c>
      <c r="S551">
        <f>S552</f>
        <v/>
      </c>
      <c r="T551">
        <f>(E551/100000+F551/100+(P551/1000)*J551/5+S551/200)*200*I551*H551</f>
        <v/>
      </c>
      <c r="U551">
        <f>((E551*F551/25000)+((P551/1000)*J551*S551/2.5))*I551*H551</f>
        <v/>
      </c>
      <c r="V551">
        <f>(E551*F551*(P551/1000)*J551*S551*I551*H551)/12500000</f>
        <v/>
      </c>
      <c r="W551">
        <f>IFERROR((((E551/15000)+(F551/50)+(S551/240)+((P551/6000)*J551))*200/4+(((E551/15000)*(F551/50))+(((P551/6000)*J551)*(S551/240)))*200/2+((E551/15000)*(F551/50)*((P551/6000)*J551)*(S551/240))*200)*(H551/1.0)/3,"")</f>
        <v/>
      </c>
      <c r="X551" s="6" t="n">
        <v>753</v>
      </c>
      <c r="Y551">
        <f>IFERROR(W551-X551,"")</f>
        <v/>
      </c>
      <c r="Z551">
        <f>IFERROR(ABS(Y551)/MAX(X551,1),"")</f>
        <v/>
      </c>
      <c r="AA551">
        <f>IFERROR(ROUND(((3*X551-(((E551/15000)+(F551/50)+(S551/240))*200/4+((E551/15000)*(F551/50))*200/2)*(H551/1.0))/(200/4+((S551/240))*200/2+((E551/15000)*(F551/50)*(S551/240))*200)*(H551/1.0)*6000)/J551,-1),"")</f>
        <v/>
      </c>
    </row>
    <row r="552">
      <c r="B552" s="7" t="inlineStr">
        <is>
          <t xml:space="preserve">  ↳ BHRedDarts</t>
        </is>
      </c>
      <c r="C552" s="7" t="inlineStr">
        <is>
          <t>Armament@PRIMARY</t>
        </is>
      </c>
      <c r="L552" s="6" t="n">
        <v>20000</v>
      </c>
      <c r="M552" s="6" t="n">
        <v>90</v>
      </c>
      <c r="N552" s="6" t="n">
        <v>4</v>
      </c>
      <c r="O552" s="6" t="n">
        <v>5</v>
      </c>
      <c r="P552" s="6" t="n">
        <v>6480</v>
      </c>
      <c r="Q552" s="6" t="n">
        <v>1</v>
      </c>
      <c r="R552">
        <f>M552+IF(MAX(N552-1,0)&gt;0,IF(ISBLANK(O552),5*MAX(N552-1,0),IF(ISNUMBER(O552),O552*MAX(N552-1,0),SUM(IFERROR(VALUE(TEXTSPLIT(O552,",")),0)))),0)</f>
        <v/>
      </c>
      <c r="S552">
        <f>IFERROR(L552*MAX(N552,1)/R552*IF(ISBLANK(K551),1,K551),0)</f>
        <v/>
      </c>
      <c r="AB552" s="7" t="inlineStr">
        <is>
          <t>^TeslaChargedWeapon, ^TankDestroyerCannon, ^Chaingun, ^ShrapnelWeapon, ^MediumMissile</t>
        </is>
      </c>
    </row>
    <row r="553">
      <c r="B553" s="7" t="inlineStr">
        <is>
          <t xml:space="preserve">  ↳ BHRedDarts</t>
        </is>
      </c>
      <c r="C553" s="7" t="inlineStr">
        <is>
          <t>Armament@Garrison</t>
        </is>
      </c>
      <c r="L553" s="6" t="n">
        <v>20000</v>
      </c>
      <c r="M553" s="6" t="n">
        <v>90</v>
      </c>
      <c r="N553" s="6" t="n">
        <v>4</v>
      </c>
      <c r="O553" s="6" t="n">
        <v>5</v>
      </c>
      <c r="P553" s="6" t="n">
        <v>6480</v>
      </c>
      <c r="Q553" s="6" t="n">
        <v>1</v>
      </c>
      <c r="R553">
        <f>M553+IF(MAX(N553-1,0)&gt;0,IF(ISBLANK(O553),5*MAX(N553-1,0),IF(ISNUMBER(O553),O553*MAX(N553-1,0),SUM(IFERROR(VALUE(TEXTSPLIT(O553,",")),0)))),0)</f>
        <v/>
      </c>
      <c r="S553">
        <f>IFERROR(L553*MAX(N553,1)/R553*IF(ISBLANK(K551),1,K551),0)</f>
        <v/>
      </c>
      <c r="AB553" s="7" t="inlineStr">
        <is>
          <t>^TeslaChargedWeapon, ^TankDestroyerCannon, ^Chaingun, ^ShrapnelWeapon, ^MediumMissile</t>
        </is>
      </c>
    </row>
    <row r="554">
      <c r="A554" t="inlineStr">
        <is>
          <t>redalert</t>
        </is>
      </c>
      <c r="B554" t="inlineStr">
        <is>
          <t>japan_japaneseflamethrower</t>
        </is>
      </c>
      <c r="C554" t="inlineStr">
        <is>
          <t>Japanese Flamethrower</t>
        </is>
      </c>
      <c r="D554" s="6" t="inlineStr">
        <is>
          <t>HeavyInfantry</t>
        </is>
      </c>
      <c r="E554" s="6" t="n">
        <v>15000</v>
      </c>
      <c r="F554" s="6" t="n">
        <v>50</v>
      </c>
      <c r="G554" t="inlineStr">
        <is>
          <t>Plate</t>
        </is>
      </c>
      <c r="H554" s="6" t="n">
        <v>1</v>
      </c>
      <c r="I554" s="6" t="n">
        <v>0.4</v>
      </c>
      <c r="J554" s="6" t="n">
        <v>1</v>
      </c>
      <c r="P554">
        <f>MAX(P555,P557)</f>
        <v/>
      </c>
      <c r="S554">
        <f>S555+S557</f>
        <v/>
      </c>
      <c r="T554">
        <f>(E554/100000+F554/100+(P554/1000)*J554/5+S554/200)*200*I554*H554</f>
        <v/>
      </c>
      <c r="U554">
        <f>((E554*F554/25000)+((P554/1000)*J554*S554/2.5))*I554*H554</f>
        <v/>
      </c>
      <c r="V554">
        <f>(E554*F554*(P554/1000)*J554*S554*I554*H554)/12500000</f>
        <v/>
      </c>
      <c r="W554">
        <f>(T554+U554+V554)/3</f>
        <v/>
      </c>
      <c r="X554" s="6" t="n">
        <v>200</v>
      </c>
      <c r="Y554">
        <f>IFERROR(W554-X554,"")</f>
        <v/>
      </c>
      <c r="Z554">
        <f>IFERROR(ABS(Y554)/MAX(X554,1),"")</f>
        <v/>
      </c>
      <c r="AA554">
        <f>IFERROR((X554-(((E554/100000+F554/100+S554/200)*200*I554*H554)+((E554*F554/25000)*I554*H554))/3)/(((J554/5)*200*I554*H554)+((J554*S554/2.5)*I554*H554)+((E554*F554*J554*S554*I554*H554)/12500000))/3*1000,"")</f>
        <v/>
      </c>
    </row>
    <row r="555">
      <c r="B555" s="7" t="inlineStr">
        <is>
          <t xml:space="preserve">  ↳ Flamer</t>
        </is>
      </c>
      <c r="C555" s="7" t="inlineStr">
        <is>
          <t>Armament</t>
        </is>
      </c>
      <c r="L555" s="6" t="n">
        <v>2000</v>
      </c>
      <c r="M555" s="6" t="n">
        <v>35</v>
      </c>
      <c r="N555" s="6" t="n">
        <v>15</v>
      </c>
      <c r="O555" s="6" t="n">
        <v>1</v>
      </c>
      <c r="P555" s="6" t="n">
        <v>3603</v>
      </c>
      <c r="Q555" s="6" t="n">
        <v>0.75</v>
      </c>
      <c r="R555">
        <f>M555+IF(MAX(N555-1,0)&gt;0,IF(ISBLANK(O555),5*MAX(N555-1,0),IF(ISNUMBER(O555),O555*MAX(N555-1,0),SUM(IFERROR(VALUE(TEXTSPLIT(O555,",")),0)))),0)</f>
        <v/>
      </c>
      <c r="S555">
        <f>IFERROR(L555*MAX(N555,1)/R555*IF(ISBLANK(K554),1,K554),0)</f>
        <v/>
      </c>
      <c r="AB555" s="7" t="inlineStr">
        <is>
          <t>^Warhead_Flame_Light</t>
        </is>
      </c>
    </row>
    <row r="556">
      <c r="B556" s="7" t="inlineStr">
        <is>
          <t xml:space="preserve">  ↳ Flamer</t>
        </is>
      </c>
      <c r="C556" s="7" t="inlineStr">
        <is>
          <t>Armament@GARRISONED</t>
        </is>
      </c>
      <c r="L556" s="6" t="n">
        <v>2000</v>
      </c>
      <c r="M556" s="6" t="n">
        <v>35</v>
      </c>
      <c r="N556" s="6" t="n">
        <v>15</v>
      </c>
      <c r="O556" s="6" t="n">
        <v>1</v>
      </c>
      <c r="P556" s="6" t="n">
        <v>3603</v>
      </c>
      <c r="Q556" s="6" t="n">
        <v>0.75</v>
      </c>
      <c r="R556">
        <f>M556+IF(MAX(N556-1,0)&gt;0,IF(ISBLANK(O556),5*MAX(N556-1,0),IF(ISNUMBER(O556),O556*MAX(N556-1,0),SUM(IFERROR(VALUE(TEXTSPLIT(O556,",")),0)))),0)</f>
        <v/>
      </c>
      <c r="S556">
        <f>IFERROR(L556*MAX(N556,1)/R556*IF(ISBLANK(K554),1,K554),0)</f>
        <v/>
      </c>
      <c r="AB556" s="7" t="inlineStr">
        <is>
          <t>^Warhead_Flame_Light</t>
        </is>
      </c>
    </row>
    <row r="557">
      <c r="B557" s="7" t="inlineStr">
        <is>
          <t xml:space="preserve">  ↳ PlasmaFlamer</t>
        </is>
      </c>
      <c r="C557" s="7" t="inlineStr">
        <is>
          <t>Armament@Upgrade</t>
        </is>
      </c>
      <c r="L557" s="6" t="n">
        <v>4000</v>
      </c>
      <c r="M557" s="6" t="n">
        <v>35</v>
      </c>
      <c r="N557" s="6" t="n">
        <v>15</v>
      </c>
      <c r="O557" s="6" t="n">
        <v>1</v>
      </c>
      <c r="P557" s="6" t="n">
        <v>3603</v>
      </c>
      <c r="Q557" s="6" t="n">
        <v>1</v>
      </c>
      <c r="R557">
        <f>M557+IF(MAX(N557-1,0)&gt;0,IF(ISBLANK(O557),5*MAX(N557-1,0),IF(ISNUMBER(O557),O557*MAX(N557-1,0),SUM(IFERROR(VALUE(TEXTSPLIT(O557,",")),0)))),0)</f>
        <v/>
      </c>
      <c r="S557">
        <f>IFERROR(L557*MAX(N557,1)/R557*IF(ISBLANK(K554),1,K554),0)</f>
        <v/>
      </c>
      <c r="AB557" s="7" t="inlineStr">
        <is>
          <t>^MediumFlameWeapon, ^MediumChemicalWeapon</t>
        </is>
      </c>
    </row>
    <row r="558">
      <c r="B558" s="7" t="inlineStr">
        <is>
          <t xml:space="preserve">  ↳ PlasmaFlamer</t>
        </is>
      </c>
      <c r="C558" s="7" t="inlineStr">
        <is>
          <t>Armament@UpgradeGARRISONED</t>
        </is>
      </c>
      <c r="L558" s="6" t="n">
        <v>4000</v>
      </c>
      <c r="M558" s="6" t="n">
        <v>35</v>
      </c>
      <c r="N558" s="6" t="n">
        <v>15</v>
      </c>
      <c r="O558" s="6" t="n">
        <v>1</v>
      </c>
      <c r="P558" s="6" t="n">
        <v>3603</v>
      </c>
      <c r="Q558" s="6" t="n">
        <v>1</v>
      </c>
      <c r="R558">
        <f>M558+IF(MAX(N558-1,0)&gt;0,IF(ISBLANK(O558),5*MAX(N558-1,0),IF(ISNUMBER(O558),O558*MAX(N558-1,0),SUM(IFERROR(VALUE(TEXTSPLIT(O558,",")),0)))),0)</f>
        <v/>
      </c>
      <c r="S558">
        <f>IFERROR(L558*MAX(N558,1)/R558*IF(ISBLANK(K554),1,K554),0)</f>
        <v/>
      </c>
      <c r="AB558" s="7" t="inlineStr">
        <is>
          <t>^MediumFlameWeapon, ^MediumChemicalWeapon</t>
        </is>
      </c>
    </row>
    <row r="559">
      <c r="A559" t="inlineStr">
        <is>
          <t>redalert</t>
        </is>
      </c>
      <c r="B559" t="inlineStr">
        <is>
          <t>japan_tankbuster</t>
        </is>
      </c>
      <c r="C559" t="inlineStr">
        <is>
          <t>Tank Buster</t>
        </is>
      </c>
      <c r="D559" s="6" t="inlineStr">
        <is>
          <t>HeavyInfantry</t>
        </is>
      </c>
      <c r="E559" s="6" t="n">
        <v>48000</v>
      </c>
      <c r="F559" s="6" t="n">
        <v>48</v>
      </c>
      <c r="G559" t="inlineStr">
        <is>
          <t>Plate</t>
        </is>
      </c>
      <c r="H559" s="6" t="n">
        <v>1</v>
      </c>
      <c r="I559" s="6" t="n">
        <v>0.8</v>
      </c>
      <c r="J559" s="6" t="n">
        <v>1</v>
      </c>
      <c r="P559">
        <f>MAX(P560,P562)</f>
        <v/>
      </c>
      <c r="S559">
        <f>S560+S562</f>
        <v/>
      </c>
      <c r="T559">
        <f>(E559/100000+F559/100+(P559/1000)*J559/5+S559/200)*200*I559*H559</f>
        <v/>
      </c>
      <c r="U559">
        <f>((E559*F559/25000)+((P559/1000)*J559*S559/2.5))*I559*H559</f>
        <v/>
      </c>
      <c r="V559">
        <f>(E559*F559*(P559/1000)*J559*S559*I559*H559)/12500000</f>
        <v/>
      </c>
      <c r="W559">
        <f>(T559+U559+V559)/3</f>
        <v/>
      </c>
      <c r="X559" s="6" t="n">
        <v>400</v>
      </c>
      <c r="Y559">
        <f>IFERROR(W559-X559,"")</f>
        <v/>
      </c>
      <c r="Z559">
        <f>IFERROR(ABS(Y559)/MAX(X559,1),"")</f>
        <v/>
      </c>
      <c r="AA559">
        <f>IFERROR((X559-(((E559/100000+F559/100+S559/200)*200*I559*H559)+((E559*F559/25000)*I559*H559))/3)/(((J559/5)*200*I559*H559)+((J559*S559/2.5)*I559*H559)+((E559*F559*J559*S559*I559*H559)/12500000))/3*1000,"")</f>
        <v/>
      </c>
    </row>
    <row r="560">
      <c r="B560" s="7" t="inlineStr">
        <is>
          <t xml:space="preserve">  ↳ TankBusterBeamCannon</t>
        </is>
      </c>
      <c r="C560" s="7" t="inlineStr">
        <is>
          <t>Armament@PRIMARY</t>
        </is>
      </c>
      <c r="L560" s="6" t="n">
        <v>24000</v>
      </c>
      <c r="M560" s="6" t="n">
        <v>96</v>
      </c>
      <c r="N560" s="6" t="n">
        <v>1</v>
      </c>
      <c r="O560" s="6" t="n"/>
      <c r="P560" s="6" t="n">
        <v>5190</v>
      </c>
      <c r="Q560" s="6" t="n">
        <v>1</v>
      </c>
      <c r="R560">
        <f>M560+IF(MAX(N560-1,0)&gt;0,IF(ISBLANK(O560),5*MAX(N560-1,0),IF(ISNUMBER(O560),O560*MAX(N560-1,0),SUM(IFERROR(VALUE(TEXTSPLIT(O560,",")),0)))),0)</f>
        <v/>
      </c>
      <c r="S560">
        <f>IFERROR(L560*MAX(N560,1)/R560*IF(ISBLANK(K559),1,K559),0)</f>
        <v/>
      </c>
      <c r="AB560" s="7" t="inlineStr">
        <is>
          <t>^TankDestroyerCannon, ^MediumCannon, ^RailgunWeapon</t>
        </is>
      </c>
    </row>
    <row r="561">
      <c r="B561" s="7" t="inlineStr">
        <is>
          <t xml:space="preserve">  ↳ TankBusterBeamCannon</t>
        </is>
      </c>
      <c r="C561" s="7" t="inlineStr">
        <is>
          <t>Armament@GARRISONED</t>
        </is>
      </c>
      <c r="L561" s="6" t="n">
        <v>24000</v>
      </c>
      <c r="M561" s="6" t="n">
        <v>96</v>
      </c>
      <c r="N561" s="6" t="n">
        <v>1</v>
      </c>
      <c r="O561" s="6" t="n"/>
      <c r="P561" s="6" t="n">
        <v>5190</v>
      </c>
      <c r="Q561" s="6" t="n">
        <v>1</v>
      </c>
      <c r="R561">
        <f>M561+IF(MAX(N561-1,0)&gt;0,IF(ISBLANK(O561),5*MAX(N561-1,0),IF(ISNUMBER(O561),O561*MAX(N561-1,0),SUM(IFERROR(VALUE(TEXTSPLIT(O561,",")),0)))),0)</f>
        <v/>
      </c>
      <c r="S561">
        <f>IFERROR(L561*MAX(N561,1)/R561*IF(ISBLANK(K559),1,K559),0)</f>
        <v/>
      </c>
      <c r="AB561" s="7" t="inlineStr">
        <is>
          <t>^TankDestroyerCannon, ^MediumCannon, ^RailgunWeapon</t>
        </is>
      </c>
    </row>
    <row r="562">
      <c r="B562" s="7" t="inlineStr">
        <is>
          <t xml:space="preserve">  ↳ TankBusterBeamCannonCharged</t>
        </is>
      </c>
      <c r="C562" s="7" t="inlineStr">
        <is>
          <t>Armament@Upgrade</t>
        </is>
      </c>
      <c r="L562" s="6" t="n">
        <v>24000</v>
      </c>
      <c r="M562" s="6" t="n">
        <v>96</v>
      </c>
      <c r="N562" s="6" t="n">
        <v>1</v>
      </c>
      <c r="O562" s="6" t="n"/>
      <c r="P562" s="6" t="n">
        <v>5190</v>
      </c>
      <c r="Q562" s="6" t="n">
        <v>1.25</v>
      </c>
      <c r="R562">
        <f>M562+IF(MAX(N562-1,0)&gt;0,IF(ISBLANK(O562),5*MAX(N562-1,0),IF(ISNUMBER(O562),O562*MAX(N562-1,0),SUM(IFERROR(VALUE(TEXTSPLIT(O562,",")),0)))),0)</f>
        <v/>
      </c>
      <c r="S562">
        <f>IFERROR(L562*MAX(N562,1)/R562*IF(ISBLANK(K559),1,K559),0)</f>
        <v/>
      </c>
      <c r="AB562" s="7" t="inlineStr">
        <is>
          <t>^Warhead_Laser_Heavy</t>
        </is>
      </c>
    </row>
    <row r="563">
      <c r="B563" s="7" t="inlineStr">
        <is>
          <t xml:space="preserve">  ↳ TankBusterBeamCannonCharged</t>
        </is>
      </c>
      <c r="C563" s="7" t="inlineStr">
        <is>
          <t>Armament@UpgradeGARRISONED</t>
        </is>
      </c>
      <c r="L563" s="6" t="n">
        <v>24000</v>
      </c>
      <c r="M563" s="6" t="n">
        <v>96</v>
      </c>
      <c r="N563" s="6" t="n">
        <v>1</v>
      </c>
      <c r="O563" s="6" t="n"/>
      <c r="P563" s="6" t="n">
        <v>5190</v>
      </c>
      <c r="Q563" s="6" t="n">
        <v>1.25</v>
      </c>
      <c r="R563">
        <f>M563+IF(MAX(N563-1,0)&gt;0,IF(ISBLANK(O563),5*MAX(N563-1,0),IF(ISNUMBER(O563),O563*MAX(N563-1,0),SUM(IFERROR(VALUE(TEXTSPLIT(O563,",")),0)))),0)</f>
        <v/>
      </c>
      <c r="S563">
        <f>IFERROR(L563*MAX(N563,1)/R563*IF(ISBLANK(K559),1,K559),0)</f>
        <v/>
      </c>
      <c r="AB563" s="7" t="inlineStr">
        <is>
          <t>^Warhead_Laser_Heavy</t>
        </is>
      </c>
    </row>
    <row r="564">
      <c r="A564" t="inlineStr">
        <is>
          <t>redalert</t>
        </is>
      </c>
      <c r="B564" t="inlineStr">
        <is>
          <t>ra1_soviets_flamethrower</t>
        </is>
      </c>
      <c r="C564" t="inlineStr">
        <is>
          <t>Soviet Flamethrower</t>
        </is>
      </c>
      <c r="D564" s="6" t="inlineStr">
        <is>
          <t>HeavyInfantry</t>
        </is>
      </c>
      <c r="E564" s="6" t="n">
        <v>16000</v>
      </c>
      <c r="F564" s="6" t="n">
        <v>56</v>
      </c>
      <c r="G564" t="inlineStr">
        <is>
          <t>Plate</t>
        </is>
      </c>
      <c r="H564" s="6" t="n">
        <v>1</v>
      </c>
      <c r="I564" s="6" t="n">
        <v>0.4</v>
      </c>
      <c r="J564" s="6" t="n">
        <v>1</v>
      </c>
      <c r="P564">
        <f>MAX(P565,P567)</f>
        <v/>
      </c>
      <c r="S564">
        <f>S565+S567</f>
        <v/>
      </c>
      <c r="T564">
        <f>(E564/100000+F564/100+(P564/1000)*J564/5+S564/200)*200*I564*H564</f>
        <v/>
      </c>
      <c r="U564">
        <f>((E564*F564/25000)+((P564/1000)*J564*S564/2.5))*I564*H564</f>
        <v/>
      </c>
      <c r="V564">
        <f>(E564*F564*(P564/1000)*J564*S564*I564*H564)/12500000</f>
        <v/>
      </c>
      <c r="W564">
        <f>(T564+U564+V564)/3</f>
        <v/>
      </c>
      <c r="X564" s="6" t="n">
        <v>200</v>
      </c>
      <c r="Y564">
        <f>IFERROR(W564-X564,"")</f>
        <v/>
      </c>
      <c r="Z564">
        <f>IFERROR(ABS(Y564)/MAX(X564,1),"")</f>
        <v/>
      </c>
      <c r="AA564">
        <f>IFERROR((X564-(((E564/100000+F564/100+S564/200)*200*I564*H564)+((E564*F564/25000)*I564*H564))/3)/(((J564/5)*200*I564*H564)+((J564*S564/2.5)*I564*H564)+((E564*F564*J564*S564*I564*H564)/12500000))/3*1000,"")</f>
        <v/>
      </c>
    </row>
    <row r="565">
      <c r="B565" s="7" t="inlineStr">
        <is>
          <t xml:space="preserve">  ↳ FireballGun</t>
        </is>
      </c>
      <c r="C565" s="7" t="inlineStr">
        <is>
          <t>Armament</t>
        </is>
      </c>
      <c r="L565" s="6" t="n">
        <v>8000</v>
      </c>
      <c r="M565" s="6" t="n">
        <v>24</v>
      </c>
      <c r="N565" s="6" t="n">
        <v>1</v>
      </c>
      <c r="O565" s="6" t="n"/>
      <c r="P565" s="6" t="n">
        <v>5004</v>
      </c>
      <c r="Q565" s="6" t="n">
        <v>1</v>
      </c>
      <c r="R565">
        <f>M565+IF(MAX(N565-1,0)&gt;0,IF(ISBLANK(O565),5*MAX(N565-1,0),IF(ISNUMBER(O565),O565*MAX(N565-1,0),SUM(IFERROR(VALUE(TEXTSPLIT(O565,",")),0)))),0)</f>
        <v/>
      </c>
      <c r="S565">
        <f>IFERROR(L565*MAX(N565,1)/R565*IF(ISBLANK(K564),1,K564),0)</f>
        <v/>
      </c>
      <c r="AB565" s="7" t="inlineStr">
        <is>
          <t>^Warhead_Flame_Medium</t>
        </is>
      </c>
    </row>
    <row r="566">
      <c r="B566" s="7" t="inlineStr">
        <is>
          <t xml:space="preserve">  ↳ FireballGun</t>
        </is>
      </c>
      <c r="C566" s="7" t="inlineStr">
        <is>
          <t>Armament@GARRISONED</t>
        </is>
      </c>
      <c r="L566" s="6" t="n">
        <v>8000</v>
      </c>
      <c r="M566" s="6" t="n">
        <v>24</v>
      </c>
      <c r="N566" s="6" t="n">
        <v>1</v>
      </c>
      <c r="O566" s="6" t="n"/>
      <c r="P566" s="6" t="n">
        <v>5004</v>
      </c>
      <c r="Q566" s="6" t="n">
        <v>1</v>
      </c>
      <c r="R566">
        <f>M566+IF(MAX(N566-1,0)&gt;0,IF(ISBLANK(O566),5*MAX(N566-1,0),IF(ISNUMBER(O566),O566*MAX(N566-1,0),SUM(IFERROR(VALUE(TEXTSPLIT(O566,",")),0)))),0)</f>
        <v/>
      </c>
      <c r="S566">
        <f>IFERROR(L566*MAX(N566,1)/R566*IF(ISBLANK(K564),1,K564),0)</f>
        <v/>
      </c>
      <c r="AB566" s="7" t="inlineStr">
        <is>
          <t>^Warhead_Flame_Medium</t>
        </is>
      </c>
    </row>
    <row r="567">
      <c r="B567" s="7" t="inlineStr">
        <is>
          <t xml:space="preserve">  ↳ FireballGunThermobaric</t>
        </is>
      </c>
      <c r="C567" s="7" t="inlineStr">
        <is>
          <t>Armament@Upgrade</t>
        </is>
      </c>
      <c r="L567" s="6" t="n">
        <v>8000</v>
      </c>
      <c r="M567" s="6" t="n">
        <v>24</v>
      </c>
      <c r="N567" s="6" t="n">
        <v>1</v>
      </c>
      <c r="O567" s="6" t="n"/>
      <c r="P567" s="6" t="n">
        <v>5004</v>
      </c>
      <c r="Q567" s="6" t="n">
        <v>1</v>
      </c>
      <c r="R567">
        <f>M567+IF(MAX(N567-1,0)&gt;0,IF(ISBLANK(O567),5*MAX(N567-1,0),IF(ISNUMBER(O567),O567*MAX(N567-1,0),SUM(IFERROR(VALUE(TEXTSPLIT(O567,",")),0)))),0)</f>
        <v/>
      </c>
      <c r="S567">
        <f>IFERROR(L567*MAX(N567,1)/R567*IF(ISBLANK(K564),1,K564),0)</f>
        <v/>
      </c>
      <c r="AB567" s="7" t="inlineStr">
        <is>
          <t>^Warhead_Flame_Medium</t>
        </is>
      </c>
    </row>
    <row r="568">
      <c r="B568" s="7" t="inlineStr">
        <is>
          <t xml:space="preserve">  ↳ FireballGunThermobaric</t>
        </is>
      </c>
      <c r="C568" s="7" t="inlineStr">
        <is>
          <t>Armament@UpgradeGARRISONED</t>
        </is>
      </c>
      <c r="L568" s="6" t="n">
        <v>8000</v>
      </c>
      <c r="M568" s="6" t="n">
        <v>24</v>
      </c>
      <c r="N568" s="6" t="n">
        <v>1</v>
      </c>
      <c r="O568" s="6" t="n"/>
      <c r="P568" s="6" t="n">
        <v>5004</v>
      </c>
      <c r="Q568" s="6" t="n">
        <v>1</v>
      </c>
      <c r="R568">
        <f>M568+IF(MAX(N568-1,0)&gt;0,IF(ISBLANK(O568),5*MAX(N568-1,0),IF(ISNUMBER(O568),O568*MAX(N568-1,0),SUM(IFERROR(VALUE(TEXTSPLIT(O568,",")),0)))),0)</f>
        <v/>
      </c>
      <c r="S568">
        <f>IFERROR(L568*MAX(N568,1)/R568*IF(ISBLANK(K564),1,K564),0)</f>
        <v/>
      </c>
      <c r="AB568" s="7" t="inlineStr">
        <is>
          <t>^Warhead_Flame_Medium</t>
        </is>
      </c>
    </row>
    <row r="569">
      <c r="A569" t="inlineStr">
        <is>
          <t>redalert</t>
        </is>
      </c>
      <c r="B569" t="inlineStr">
        <is>
          <t>ra1_soviets_shocktrooper</t>
        </is>
      </c>
      <c r="C569" t="inlineStr">
        <is>
          <t>Shock Trooper</t>
        </is>
      </c>
      <c r="D569" s="6" t="inlineStr">
        <is>
          <t>HeavyInfantry</t>
        </is>
      </c>
      <c r="E569" s="6" t="n">
        <v>40000</v>
      </c>
      <c r="F569" s="6" t="n">
        <v>40</v>
      </c>
      <c r="G569" t="inlineStr">
        <is>
          <t>Plate</t>
        </is>
      </c>
      <c r="H569" s="6" t="n">
        <v>0.75</v>
      </c>
      <c r="I569" s="6" t="n">
        <v>0.8</v>
      </c>
      <c r="J569" s="6" t="n">
        <v>1.25</v>
      </c>
      <c r="P569">
        <f>MAX(P570,P571,P572)</f>
        <v/>
      </c>
      <c r="S569">
        <f>S570+S571+S572</f>
        <v/>
      </c>
      <c r="T569">
        <f>(E569/100000+F569/100+(P569/1000)*J569/5+S569/200)*200*I569*H569</f>
        <v/>
      </c>
      <c r="U569">
        <f>((E569*F569/25000)+((P569/1000)*J569*S569/2.5))*I569*H569</f>
        <v/>
      </c>
      <c r="V569">
        <f>(E569*F569*(P569/1000)*J569*S569*I569*H569)/12500000</f>
        <v/>
      </c>
      <c r="W569">
        <f>(T569+U569+V569)/3</f>
        <v/>
      </c>
      <c r="X569" s="6" t="n">
        <v>600</v>
      </c>
      <c r="Y569">
        <f>IFERROR(W569-X569,"")</f>
        <v/>
      </c>
      <c r="Z569">
        <f>IFERROR(ABS(Y569)/MAX(X569,1),"")</f>
        <v/>
      </c>
      <c r="AA569">
        <f>IFERROR((X569-(((E569/100000+F569/100+S569/200)*200*I569*H569)+((E569*F569/25000)*I569*H569))/3)/(((J569/5)*200*I569*H569)+((J569*S569/2.5)*I569*H569)+((E569*F569*J569*S569*I569*H569)/12500000))/3*1000,"")</f>
        <v/>
      </c>
    </row>
    <row r="570">
      <c r="B570" s="7" t="inlineStr">
        <is>
          <t xml:space="preserve">  ↳ PortaTesla</t>
        </is>
      </c>
      <c r="C570" s="7" t="inlineStr">
        <is>
          <t>Armament@PRIMARY</t>
        </is>
      </c>
      <c r="L570" s="6" t="n">
        <v>20000</v>
      </c>
      <c r="M570" s="6" t="n">
        <v>40</v>
      </c>
      <c r="N570" s="6" t="n">
        <v>1</v>
      </c>
      <c r="O570" s="6" t="n"/>
      <c r="P570" s="6" t="n">
        <v>4652</v>
      </c>
      <c r="Q570" s="6" t="n">
        <v>1.25</v>
      </c>
      <c r="R570">
        <f>M570+IF(MAX(N570-1,0)&gt;0,IF(ISBLANK(O570),5*MAX(N570-1,0),IF(ISNUMBER(O570),O570*MAX(N570-1,0),SUM(IFERROR(VALUE(TEXTSPLIT(O570,",")),0)))),0)</f>
        <v/>
      </c>
      <c r="S570">
        <f>IFERROR(L570*MAX(N570,1)/R570*IF(ISBLANK(K569),1,K569),0)</f>
        <v/>
      </c>
      <c r="AB570" s="7" t="inlineStr">
        <is>
          <t>^Warhead_Tesla_Heavy</t>
        </is>
      </c>
    </row>
    <row r="571">
      <c r="B571" s="7" t="inlineStr">
        <is>
          <t xml:space="preserve">  ↳ PortaTesla_EMP</t>
        </is>
      </c>
      <c r="C571" s="7" t="inlineStr">
        <is>
          <t>Armament@Upgrade1</t>
        </is>
      </c>
      <c r="L571" s="6" t="n">
        <v>20000</v>
      </c>
      <c r="M571" s="6" t="n">
        <v>40</v>
      </c>
      <c r="N571" s="6" t="n">
        <v>1</v>
      </c>
      <c r="O571" s="6" t="n"/>
      <c r="P571" s="6" t="n">
        <v>4652</v>
      </c>
      <c r="Q571" s="6" t="n">
        <v>1.25</v>
      </c>
      <c r="R571">
        <f>M571+IF(MAX(N571-1,0)&gt;0,IF(ISBLANK(O571),5*MAX(N571-1,0),IF(ISNUMBER(O571),O571*MAX(N571-1,0),SUM(IFERROR(VALUE(TEXTSPLIT(O571,",")),0)))),0)</f>
        <v/>
      </c>
      <c r="S571">
        <f>IFERROR(L571*MAX(N571,1)/R571*IF(ISBLANK(K569),1,K569),0)</f>
        <v/>
      </c>
      <c r="AB571" s="7" t="inlineStr">
        <is>
          <t>^Warhead_Tesla_Heavy</t>
        </is>
      </c>
    </row>
    <row r="572">
      <c r="B572" s="7" t="inlineStr">
        <is>
          <t xml:space="preserve">  ↳ PortaTeslaArc_EMP</t>
        </is>
      </c>
      <c r="C572" s="7" t="inlineStr">
        <is>
          <t>Armament@Upgrade2</t>
        </is>
      </c>
      <c r="L572" s="6" t="n">
        <v>20000</v>
      </c>
      <c r="M572" s="6" t="n">
        <v>40</v>
      </c>
      <c r="N572" s="6" t="n">
        <v>1</v>
      </c>
      <c r="O572" s="6" t="n"/>
      <c r="P572" s="6" t="n">
        <v>4652</v>
      </c>
      <c r="Q572" s="6" t="n">
        <v>1.25</v>
      </c>
      <c r="R572">
        <f>M572+IF(MAX(N572-1,0)&gt;0,IF(ISBLANK(O572),5*MAX(N572-1,0),IF(ISNUMBER(O572),O572*MAX(N572-1,0),SUM(IFERROR(VALUE(TEXTSPLIT(O572,",")),0)))),0)</f>
        <v/>
      </c>
      <c r="S572">
        <f>IFERROR(L572*MAX(N572,1)/R572*IF(ISBLANK(K569),1,K569),0)</f>
        <v/>
      </c>
      <c r="AB572" s="7" t="inlineStr">
        <is>
          <t>^Warhead_Tesla_Heavy</t>
        </is>
      </c>
    </row>
    <row r="573">
      <c r="B573" s="7" t="inlineStr">
        <is>
          <t xml:space="preserve">  ↳ PortaTesla</t>
        </is>
      </c>
      <c r="C573" s="7" t="inlineStr">
        <is>
          <t>Armament@GARRISONED</t>
        </is>
      </c>
      <c r="L573" s="6" t="n">
        <v>20000</v>
      </c>
      <c r="M573" s="6" t="n">
        <v>40</v>
      </c>
      <c r="N573" s="6" t="n">
        <v>1</v>
      </c>
      <c r="O573" s="6" t="n"/>
      <c r="P573" s="6" t="n">
        <v>4652</v>
      </c>
      <c r="Q573" s="6" t="n">
        <v>1.25</v>
      </c>
      <c r="R573">
        <f>M573+IF(MAX(N573-1,0)&gt;0,IF(ISBLANK(O573),5*MAX(N573-1,0),IF(ISNUMBER(O573),O573*MAX(N573-1,0),SUM(IFERROR(VALUE(TEXTSPLIT(O573,",")),0)))),0)</f>
        <v/>
      </c>
      <c r="S573">
        <f>IFERROR(L573*MAX(N573,1)/R573*IF(ISBLANK(K569),1,K569),0)</f>
        <v/>
      </c>
      <c r="AB573" s="7" t="inlineStr">
        <is>
          <t>^Warhead_Tesla_Heavy</t>
        </is>
      </c>
    </row>
    <row r="574">
      <c r="B574" s="7" t="inlineStr">
        <is>
          <t xml:space="preserve">  ↳ PortaTesla_EMP</t>
        </is>
      </c>
      <c r="C574" s="7" t="inlineStr">
        <is>
          <t>Armament@Upgrade1GARRISONED</t>
        </is>
      </c>
      <c r="L574" s="6" t="n">
        <v>20000</v>
      </c>
      <c r="M574" s="6" t="n">
        <v>40</v>
      </c>
      <c r="N574" s="6" t="n">
        <v>1</v>
      </c>
      <c r="O574" s="6" t="n"/>
      <c r="P574" s="6" t="n">
        <v>4652</v>
      </c>
      <c r="Q574" s="6" t="n">
        <v>1.25</v>
      </c>
      <c r="R574">
        <f>M574+IF(MAX(N574-1,0)&gt;0,IF(ISBLANK(O574),5*MAX(N574-1,0),IF(ISNUMBER(O574),O574*MAX(N574-1,0),SUM(IFERROR(VALUE(TEXTSPLIT(O574,",")),0)))),0)</f>
        <v/>
      </c>
      <c r="S574">
        <f>IFERROR(L574*MAX(N574,1)/R574*IF(ISBLANK(K569),1,K569),0)</f>
        <v/>
      </c>
      <c r="AB574" s="7" t="inlineStr">
        <is>
          <t>^Warhead_Tesla_Heavy</t>
        </is>
      </c>
    </row>
    <row r="575">
      <c r="B575" s="7" t="inlineStr">
        <is>
          <t xml:space="preserve">  ↳ PortaTeslaArc_EMP</t>
        </is>
      </c>
      <c r="C575" s="7" t="inlineStr">
        <is>
          <t>Armament@Upgrade2GARRISONED</t>
        </is>
      </c>
      <c r="L575" s="6" t="n">
        <v>20000</v>
      </c>
      <c r="M575" s="6" t="n">
        <v>40</v>
      </c>
      <c r="N575" s="6" t="n">
        <v>1</v>
      </c>
      <c r="O575" s="6" t="n"/>
      <c r="P575" s="6" t="n">
        <v>4652</v>
      </c>
      <c r="Q575" s="6" t="n">
        <v>1.25</v>
      </c>
      <c r="R575">
        <f>M575+IF(MAX(N575-1,0)&gt;0,IF(ISBLANK(O575),5*MAX(N575-1,0),IF(ISNUMBER(O575),O575*MAX(N575-1,0),SUM(IFERROR(VALUE(TEXTSPLIT(O575,",")),0)))),0)</f>
        <v/>
      </c>
      <c r="S575">
        <f>IFERROR(L575*MAX(N575,1)/R575*IF(ISBLANK(K569),1,K569),0)</f>
        <v/>
      </c>
      <c r="AB575" s="7" t="inlineStr">
        <is>
          <t>^Warhead_Tesla_Heavy</t>
        </is>
      </c>
    </row>
    <row r="576">
      <c r="A576" t="inlineStr">
        <is>
          <t>redalert</t>
        </is>
      </c>
      <c r="B576" t="inlineStr">
        <is>
          <t>ra1_soviets_zapper</t>
        </is>
      </c>
      <c r="C576" t="inlineStr">
        <is>
          <t>Zapper</t>
        </is>
      </c>
      <c r="D576" s="6" t="inlineStr">
        <is>
          <t>HeavyInfantry</t>
        </is>
      </c>
      <c r="E576" s="6" t="n">
        <v>60000</v>
      </c>
      <c r="F576" s="6" t="n">
        <v>30</v>
      </c>
      <c r="G576" t="inlineStr">
        <is>
          <t>Plate</t>
        </is>
      </c>
      <c r="H576" s="6" t="n">
        <v>0.75</v>
      </c>
      <c r="I576" s="6" t="n">
        <v>0.8</v>
      </c>
      <c r="J576" s="6" t="n">
        <v>1.25</v>
      </c>
      <c r="P576">
        <f>MAX(P577,P578)</f>
        <v/>
      </c>
      <c r="S576">
        <f>S577+S578</f>
        <v/>
      </c>
      <c r="T576">
        <f>(E576/100000+F576/100+(P576/1000)*J576/5+S576/200)*200*I576*H576</f>
        <v/>
      </c>
      <c r="U576">
        <f>((E576*F576/25000)+((P576/1000)*J576*S576/2.5))*I576*H576</f>
        <v/>
      </c>
      <c r="V576">
        <f>(E576*F576*(P576/1000)*J576*S576*I576*H576)/12500000</f>
        <v/>
      </c>
      <c r="W576">
        <f>(T576+U576+V576)/3</f>
        <v/>
      </c>
      <c r="X576" s="6" t="n">
        <v>1200</v>
      </c>
      <c r="Y576">
        <f>IFERROR(W576-X576,"")</f>
        <v/>
      </c>
      <c r="Z576">
        <f>IFERROR(ABS(Y576)/MAX(X576,1),"")</f>
        <v/>
      </c>
      <c r="AA576">
        <f>IFERROR((X576-(((E576/100000+F576/100+S576/200)*200*I576*H576)+((E576*F576/25000)*I576*H576))/3)/(((J576/5)*200*I576*H576)+((J576*S576/2.5)*I576*H576)+((E576*F576*J576*S576*I576*H576)/12500000))/3*1000,"")</f>
        <v/>
      </c>
    </row>
    <row r="577">
      <c r="B577" s="7" t="inlineStr">
        <is>
          <t xml:space="preserve">  ↳ ZapperPortaTesla</t>
        </is>
      </c>
      <c r="C577" s="7" t="inlineStr">
        <is>
          <t>Armament@PRIMARY</t>
        </is>
      </c>
      <c r="L577" s="6" t="n">
        <v>32000</v>
      </c>
      <c r="M577" s="6" t="n">
        <v>32</v>
      </c>
      <c r="N577" s="6" t="n">
        <v>1</v>
      </c>
      <c r="O577" s="6" t="n"/>
      <c r="P577" s="6" t="n">
        <v>5000</v>
      </c>
      <c r="Q577" s="6" t="n">
        <v>1.25</v>
      </c>
      <c r="R577">
        <f>M577+IF(MAX(N577-1,0)&gt;0,IF(ISBLANK(O577),5*MAX(N577-1,0),IF(ISNUMBER(O577),O577*MAX(N577-1,0),SUM(IFERROR(VALUE(TEXTSPLIT(O577,",")),0)))),0)</f>
        <v/>
      </c>
      <c r="S577">
        <f>IFERROR(L577*MAX(N577,1)/R577*IF(ISBLANK(K576),1,K576),0)</f>
        <v/>
      </c>
      <c r="AB577" s="7" t="inlineStr">
        <is>
          <t>^Warhead_Tesla_Heavy</t>
        </is>
      </c>
    </row>
    <row r="578">
      <c r="B578" s="7" t="inlineStr">
        <is>
          <t xml:space="preserve">  ↳ ZapperPortaTeslaArc</t>
        </is>
      </c>
      <c r="C578" s="7" t="inlineStr">
        <is>
          <t>Armament@Upgrade</t>
        </is>
      </c>
      <c r="L578" s="6" t="n">
        <v>32000</v>
      </c>
      <c r="M578" s="6" t="n">
        <v>32</v>
      </c>
      <c r="N578" s="6" t="n">
        <v>1</v>
      </c>
      <c r="O578" s="6" t="n"/>
      <c r="P578" s="6" t="n">
        <v>5000</v>
      </c>
      <c r="Q578" s="6" t="n">
        <v>1.25</v>
      </c>
      <c r="R578">
        <f>M578+IF(MAX(N578-1,0)&gt;0,IF(ISBLANK(O578),5*MAX(N578-1,0),IF(ISNUMBER(O578),O578*MAX(N578-1,0),SUM(IFERROR(VALUE(TEXTSPLIT(O578,",")),0)))),0)</f>
        <v/>
      </c>
      <c r="S578">
        <f>IFERROR(L578*MAX(N578,1)/R578*IF(ISBLANK(K576),1,K576),0)</f>
        <v/>
      </c>
      <c r="AB578" s="7" t="inlineStr">
        <is>
          <t>^Warhead_Tesla_Heavy</t>
        </is>
      </c>
    </row>
    <row r="579">
      <c r="B579" s="7" t="inlineStr">
        <is>
          <t xml:space="preserve">  ↳ ZapperPortaTesla</t>
        </is>
      </c>
      <c r="C579" s="7" t="inlineStr">
        <is>
          <t>Armament@GARRISONED</t>
        </is>
      </c>
      <c r="L579" s="6" t="n">
        <v>32000</v>
      </c>
      <c r="M579" s="6" t="n">
        <v>32</v>
      </c>
      <c r="N579" s="6" t="n">
        <v>1</v>
      </c>
      <c r="O579" s="6" t="n"/>
      <c r="P579" s="6" t="n">
        <v>5000</v>
      </c>
      <c r="Q579" s="6" t="n">
        <v>1.25</v>
      </c>
      <c r="R579">
        <f>M579+IF(MAX(N579-1,0)&gt;0,IF(ISBLANK(O579),5*MAX(N579-1,0),IF(ISNUMBER(O579),O579*MAX(N579-1,0),SUM(IFERROR(VALUE(TEXTSPLIT(O579,",")),0)))),0)</f>
        <v/>
      </c>
      <c r="S579">
        <f>IFERROR(L579*MAX(N579,1)/R579*IF(ISBLANK(K576),1,K576),0)</f>
        <v/>
      </c>
      <c r="AB579" s="7" t="inlineStr">
        <is>
          <t>^Warhead_Tesla_Heavy</t>
        </is>
      </c>
    </row>
    <row r="580">
      <c r="B580" s="7" t="inlineStr">
        <is>
          <t xml:space="preserve">  ↳ ZapperPortaTeslaArc</t>
        </is>
      </c>
      <c r="C580" s="7" t="inlineStr">
        <is>
          <t>Armament@UpgradeGARRISONED</t>
        </is>
      </c>
      <c r="L580" s="6" t="n">
        <v>32000</v>
      </c>
      <c r="M580" s="6" t="n">
        <v>32</v>
      </c>
      <c r="N580" s="6" t="n">
        <v>1</v>
      </c>
      <c r="O580" s="6" t="n"/>
      <c r="P580" s="6" t="n">
        <v>5000</v>
      </c>
      <c r="Q580" s="6" t="n">
        <v>1.25</v>
      </c>
      <c r="R580">
        <f>M580+IF(MAX(N580-1,0)&gt;0,IF(ISBLANK(O580),5*MAX(N580-1,0),IF(ISNUMBER(O580),O580*MAX(N580-1,0),SUM(IFERROR(VALUE(TEXTSPLIT(O580,",")),0)))),0)</f>
        <v/>
      </c>
      <c r="S580">
        <f>IFERROR(L580*MAX(N580,1)/R580*IF(ISBLANK(K576),1,K576),0)</f>
        <v/>
      </c>
      <c r="AB580" s="7" t="inlineStr">
        <is>
          <t>^Warhead_Tesla_Heavy</t>
        </is>
      </c>
    </row>
    <row r="581">
      <c r="A581" t="inlineStr">
        <is>
          <t>redalert</t>
        </is>
      </c>
      <c r="B581" t="inlineStr">
        <is>
          <t>ra1_allies_machinegunner</t>
        </is>
      </c>
      <c r="C581" t="inlineStr">
        <is>
          <t>Machine Gunner</t>
        </is>
      </c>
      <c r="D581" s="6" t="inlineStr">
        <is>
          <t>HeavyInfantry</t>
        </is>
      </c>
      <c r="E581" s="6" t="n">
        <v>19000</v>
      </c>
      <c r="F581" s="6" t="n">
        <v>49</v>
      </c>
      <c r="G581" t="inlineStr">
        <is>
          <t>Plate</t>
        </is>
      </c>
      <c r="H581" s="6" t="n">
        <v>1</v>
      </c>
      <c r="I581" s="6" t="n">
        <v>0.8</v>
      </c>
      <c r="J581" s="6" t="n">
        <v>1</v>
      </c>
      <c r="K581" t="n">
        <v>0.009300000000000001</v>
      </c>
      <c r="P581">
        <f>MAX(P582,P584)</f>
        <v/>
      </c>
      <c r="S581">
        <f>S582+S584</f>
        <v/>
      </c>
      <c r="T581">
        <f>(E581/100000+F581/100+(P581/1000)*J581/5+S581/200)*200*I581*H581</f>
        <v/>
      </c>
      <c r="U581">
        <f>((E581*F581/25000)+((P581/1000)*J581*S581/2.5))*I581*H581</f>
        <v/>
      </c>
      <c r="V581">
        <f>(E581*F581*(P581/1000)*J581*S581*I581*H581)/12500000</f>
        <v/>
      </c>
      <c r="W581">
        <f>IFERROR((((E581/15000)+(F581/50)+(S581/240)+((P581/6000)*J581))*200/4+(((E581/15000)*(F581/50))+(((P581/6000)*J581)*(S581/240)))*200/2+((E581/15000)*(F581/50)*((P581/6000)*J581)*(S581/240))*200)*(H581/1.0)/3,"")</f>
        <v/>
      </c>
      <c r="X581" s="6" t="n">
        <v>557</v>
      </c>
      <c r="Y581">
        <f>IFERROR(W581-X581,"")</f>
        <v/>
      </c>
      <c r="Z581">
        <f>IFERROR(ABS(Y581)/MAX(X581,1),"")</f>
        <v/>
      </c>
      <c r="AA581">
        <f>IFERROR(ROUND(((3*X581-(((E581/15000)+(F581/50)+(S581/240))*200/4+((E581/15000)*(F581/50))*200/2)*(H581/1.0))/(200/4+((S581/240))*200/2+((E581/15000)*(F581/50)*(S581/240))*200)*(H581/1.0)*6000)/J581,-1),"")</f>
        <v/>
      </c>
    </row>
    <row r="582">
      <c r="B582" s="7" t="inlineStr">
        <is>
          <t xml:space="preserve">  ↳ RAVulcan</t>
        </is>
      </c>
      <c r="C582" s="7" t="inlineStr">
        <is>
          <t>Armament@PRIMARY</t>
        </is>
      </c>
      <c r="L582" s="6" t="n">
        <v>16000</v>
      </c>
      <c r="M582" s="6" t="n">
        <v>48</v>
      </c>
      <c r="N582" s="6" t="n">
        <v>5</v>
      </c>
      <c r="O582" s="6" t="n">
        <v>3</v>
      </c>
      <c r="P582" s="6" t="n">
        <v>6500</v>
      </c>
      <c r="Q582" s="6" t="n">
        <v>0.875</v>
      </c>
      <c r="R582">
        <f>M582+IF(MAX(N582-1,0)&gt;0,IF(ISBLANK(O582),5*MAX(N582-1,0),IF(ISNUMBER(O582),O582*MAX(N582-1,0),SUM(IFERROR(VALUE(TEXTSPLIT(O582,",")),0)))),0)</f>
        <v/>
      </c>
      <c r="S582">
        <f>IFERROR(L582*MAX(N582,1)/R582*IF(ISBLANK(K581),1,K581),0)</f>
        <v/>
      </c>
      <c r="AB582" s="7" t="inlineStr">
        <is>
          <t>^Warhead_Bullet_Light, ^Warhead_Bullet_Medium</t>
        </is>
      </c>
    </row>
    <row r="583">
      <c r="B583" s="7" t="inlineStr">
        <is>
          <t xml:space="preserve">  ↳ RAVulcan</t>
        </is>
      </c>
      <c r="C583" s="7" t="inlineStr">
        <is>
          <t>Armament@GARRISONED</t>
        </is>
      </c>
      <c r="L583" s="6" t="n">
        <v>16000</v>
      </c>
      <c r="M583" s="6" t="n">
        <v>48</v>
      </c>
      <c r="N583" s="6" t="n">
        <v>5</v>
      </c>
      <c r="O583" s="6" t="n">
        <v>3</v>
      </c>
      <c r="P583" s="6" t="n">
        <v>6500</v>
      </c>
      <c r="Q583" s="6" t="n">
        <v>0.875</v>
      </c>
      <c r="R583">
        <f>M583+IF(MAX(N583-1,0)&gt;0,IF(ISBLANK(O583),5*MAX(N583-1,0),IF(ISNUMBER(O583),O583*MAX(N583-1,0),SUM(IFERROR(VALUE(TEXTSPLIT(O583,",")),0)))),0)</f>
        <v/>
      </c>
      <c r="S583">
        <f>IFERROR(L583*MAX(N583,1)/R583*IF(ISBLANK(K581),1,K581),0)</f>
        <v/>
      </c>
      <c r="AB583" s="7" t="inlineStr">
        <is>
          <t>^Warhead_Bullet_Light, ^Warhead_Bullet_Medium</t>
        </is>
      </c>
    </row>
    <row r="584">
      <c r="B584" s="7" t="inlineStr">
        <is>
          <t xml:space="preserve">  ↳ RAVulcanCryo</t>
        </is>
      </c>
      <c r="C584" s="7" t="inlineStr">
        <is>
          <t>Armament@PRIMARYCryo</t>
        </is>
      </c>
      <c r="L584" s="6" t="n">
        <v>16000</v>
      </c>
      <c r="M584" s="6" t="n">
        <v>48</v>
      </c>
      <c r="N584" s="6" t="n">
        <v>5</v>
      </c>
      <c r="O584" s="6" t="n">
        <v>3</v>
      </c>
      <c r="P584" s="6" t="n">
        <v>6500</v>
      </c>
      <c r="Q584" s="6" t="n">
        <v>1</v>
      </c>
      <c r="R584">
        <f>M584+IF(MAX(N584-1,0)&gt;0,IF(ISBLANK(O584),5*MAX(N584-1,0),IF(ISNUMBER(O584),O584*MAX(N584-1,0),SUM(IFERROR(VALUE(TEXTSPLIT(O584,",")),0)))),0)</f>
        <v/>
      </c>
      <c r="S584">
        <f>IFERROR(L584*MAX(N584,1)/R584*IF(ISBLANK(K581),1,K581),0)</f>
        <v/>
      </c>
      <c r="AB584" s="7" t="inlineStr">
        <is>
          <t>^Warhead_BulletCryo_Medium</t>
        </is>
      </c>
    </row>
    <row r="585">
      <c r="B585" s="7" t="inlineStr">
        <is>
          <t xml:space="preserve">  ↳ RAVulcanCryo</t>
        </is>
      </c>
      <c r="C585" s="7" t="inlineStr">
        <is>
          <t>Armament@GARRISONEDCryo</t>
        </is>
      </c>
      <c r="L585" s="6" t="n">
        <v>16000</v>
      </c>
      <c r="M585" s="6" t="n">
        <v>48</v>
      </c>
      <c r="N585" s="6" t="n">
        <v>5</v>
      </c>
      <c r="O585" s="6" t="n">
        <v>3</v>
      </c>
      <c r="P585" s="6" t="n">
        <v>6500</v>
      </c>
      <c r="Q585" s="6" t="n">
        <v>1</v>
      </c>
      <c r="R585">
        <f>M585+IF(MAX(N585-1,0)&gt;0,IF(ISBLANK(O585),5*MAX(N585-1,0),IF(ISNUMBER(O585),O585*MAX(N585-1,0),SUM(IFERROR(VALUE(TEXTSPLIT(O585,",")),0)))),0)</f>
        <v/>
      </c>
      <c r="S585">
        <f>IFERROR(L585*MAX(N585,1)/R585*IF(ISBLANK(K581),1,K581),0)</f>
        <v/>
      </c>
      <c r="AB585" s="7" t="inlineStr">
        <is>
          <t>^Warhead_BulletCryo_Medium</t>
        </is>
      </c>
    </row>
    <row r="586">
      <c r="A586" t="inlineStr">
        <is>
          <t>tiberiansun</t>
        </is>
      </c>
      <c r="B586" t="inlineStr">
        <is>
          <t>cabal_cyborgcommando</t>
        </is>
      </c>
      <c r="C586" t="inlineStr">
        <is>
          <t>Cyborg Commando</t>
        </is>
      </c>
      <c r="D586" s="6" t="inlineStr">
        <is>
          <t>HeavyInfantry</t>
        </is>
      </c>
      <c r="E586" s="6" t="n">
        <v>250000</v>
      </c>
      <c r="F586" s="6" t="n">
        <v>40</v>
      </c>
      <c r="G586" t="inlineStr">
        <is>
          <t>Heroic</t>
        </is>
      </c>
      <c r="H586" s="6" t="n">
        <v>0.75</v>
      </c>
      <c r="I586" s="6" t="n">
        <v>1</v>
      </c>
      <c r="J586" s="6" t="n">
        <v>1</v>
      </c>
      <c r="P586">
        <f>MAX(P587,P588)</f>
        <v/>
      </c>
      <c r="S586">
        <f>S587+S588</f>
        <v/>
      </c>
      <c r="T586">
        <f>(E586/100000+F586/100+(P586/1000)*J586/5+S586/200)*200*I586*H586</f>
        <v/>
      </c>
      <c r="U586">
        <f>((E586*F586/25000)+((P586/1000)*J586*S586/2.5))*I586*H586</f>
        <v/>
      </c>
      <c r="V586">
        <f>(E586*F586*(P586/1000)*J586*S586*I586*H586)/12500000</f>
        <v/>
      </c>
      <c r="W586">
        <f>(T586+U586+V586)/3</f>
        <v/>
      </c>
      <c r="X586" s="6" t="n">
        <v>5000</v>
      </c>
      <c r="Y586">
        <f>IFERROR(W586-X586,"")</f>
        <v/>
      </c>
      <c r="Z586">
        <f>IFERROR(ABS(Y586)/MAX(X586,1),"")</f>
        <v/>
      </c>
      <c r="AA586">
        <f>IFERROR((X586-(((E586/100000+F586/100+S586/200)*200*I586*H586)+((E586*F586/25000)*I586*H586))/3)/(((J586/5)*200*I586*H586)+((J586*S586/2.5)*I586*H586)+((E586*F586*J586*S586*I586*H586)/12500000))/3*1000,"")</f>
        <v/>
      </c>
    </row>
    <row r="587">
      <c r="B587" s="7" t="inlineStr">
        <is>
          <t xml:space="preserve">  ↳ CabalCommandoPlasma</t>
        </is>
      </c>
      <c r="C587" s="7" t="inlineStr">
        <is>
          <t>Armament@PRIMARY</t>
        </is>
      </c>
      <c r="L587" s="6" t="n">
        <v>150000</v>
      </c>
      <c r="M587" s="6" t="n">
        <v>90</v>
      </c>
      <c r="N587" s="6" t="n">
        <v>1</v>
      </c>
      <c r="O587" s="6" t="n"/>
      <c r="P587" s="6" t="n">
        <v>5219</v>
      </c>
      <c r="Q587" s="6" t="n">
        <v>1</v>
      </c>
      <c r="R587">
        <f>M587+IF(MAX(N587-1,0)&gt;0,IF(ISBLANK(O587),5*MAX(N587-1,0),IF(ISNUMBER(O587),O587*MAX(N587-1,0),SUM(IFERROR(VALUE(TEXTSPLIT(O587,",")),0)))),0)</f>
        <v/>
      </c>
      <c r="S587">
        <f>IFERROR(L587*MAX(N587,1)/R587*IF(ISBLANK(K586),1,K586),0)</f>
        <v/>
      </c>
      <c r="AB587" s="7" t="inlineStr">
        <is>
          <t>^HeavyCannon, ^MediumFlameWeapon, ^MediumChemicalWeapon</t>
        </is>
      </c>
    </row>
    <row r="588">
      <c r="B588" s="7" t="inlineStr">
        <is>
          <t xml:space="preserve">  ↳ CabalCommandoPlasmaNeutron</t>
        </is>
      </c>
      <c r="C588" s="7" t="inlineStr">
        <is>
          <t>Armament@Upgraded</t>
        </is>
      </c>
      <c r="L588" s="6" t="n">
        <v>300000</v>
      </c>
      <c r="M588" s="6" t="n">
        <v>90</v>
      </c>
      <c r="N588" s="6" t="n">
        <v>1</v>
      </c>
      <c r="O588" s="6" t="n"/>
      <c r="P588" s="6" t="n">
        <v>5219</v>
      </c>
      <c r="Q588" s="6" t="n">
        <v>1</v>
      </c>
      <c r="R588">
        <f>M588+IF(MAX(N588-1,0)&gt;0,IF(ISBLANK(O588),5*MAX(N588-1,0),IF(ISNUMBER(O588),O588*MAX(N588-1,0),SUM(IFERROR(VALUE(TEXTSPLIT(O588,",")),0)))),0)</f>
        <v/>
      </c>
      <c r="S588">
        <f>IFERROR(L588*MAX(N588,1)/R588*IF(ISBLANK(K586),1,K586),0)</f>
        <v/>
      </c>
      <c r="AB588" s="7" t="inlineStr">
        <is>
          <t>^HeavyCannon, ^MediumFlameWeapon, ^MediumChemicalWeapon, ^TeslaWeapon, ^MagicWeapon, ^RailgunWeapon</t>
        </is>
      </c>
    </row>
    <row r="589">
      <c r="B589" s="7" t="inlineStr">
        <is>
          <t xml:space="preserve">  ↳ CabalCommandoPlasma</t>
        </is>
      </c>
      <c r="C589" s="7" t="inlineStr">
        <is>
          <t>Armament@GARRISONED</t>
        </is>
      </c>
      <c r="L589" s="6" t="n">
        <v>150000</v>
      </c>
      <c r="M589" s="6" t="n">
        <v>90</v>
      </c>
      <c r="N589" s="6" t="n">
        <v>1</v>
      </c>
      <c r="O589" s="6" t="n"/>
      <c r="P589" s="6" t="n">
        <v>5219</v>
      </c>
      <c r="Q589" s="6" t="n">
        <v>1</v>
      </c>
      <c r="R589">
        <f>M589+IF(MAX(N589-1,0)&gt;0,IF(ISBLANK(O589),5*MAX(N589-1,0),IF(ISNUMBER(O589),O589*MAX(N589-1,0),SUM(IFERROR(VALUE(TEXTSPLIT(O589,",")),0)))),0)</f>
        <v/>
      </c>
      <c r="S589">
        <f>IFERROR(L589*MAX(N589,1)/R589*IF(ISBLANK(K586),1,K586),0)</f>
        <v/>
      </c>
      <c r="AB589" s="7" t="inlineStr">
        <is>
          <t>^HeavyCannon, ^MediumFlameWeapon, ^MediumChemicalWeapon</t>
        </is>
      </c>
    </row>
    <row r="590">
      <c r="B590" s="7" t="inlineStr">
        <is>
          <t xml:space="preserve">  ↳ CabalCommandoPlasmaNeutron</t>
        </is>
      </c>
      <c r="C590" s="7" t="inlineStr">
        <is>
          <t>Armament@GARRISONEDUpgraded</t>
        </is>
      </c>
      <c r="L590" s="6" t="n">
        <v>300000</v>
      </c>
      <c r="M590" s="6" t="n">
        <v>90</v>
      </c>
      <c r="N590" s="6" t="n">
        <v>1</v>
      </c>
      <c r="O590" s="6" t="n"/>
      <c r="P590" s="6" t="n">
        <v>5219</v>
      </c>
      <c r="Q590" s="6" t="n">
        <v>1</v>
      </c>
      <c r="R590">
        <f>M590+IF(MAX(N590-1,0)&gt;0,IF(ISBLANK(O590),5*MAX(N590-1,0),IF(ISNUMBER(O590),O590*MAX(N590-1,0),SUM(IFERROR(VALUE(TEXTSPLIT(O590,",")),0)))),0)</f>
        <v/>
      </c>
      <c r="S590">
        <f>IFERROR(L590*MAX(N590,1)/R590*IF(ISBLANK(K586),1,K586),0)</f>
        <v/>
      </c>
      <c r="AB590" s="7" t="inlineStr">
        <is>
          <t>^HeavyCannon, ^MediumFlameWeapon, ^MediumChemicalWeapon, ^TeslaWeapon, ^MagicWeapon, ^RailgunWeapon</t>
        </is>
      </c>
    </row>
    <row r="591">
      <c r="A591" t="inlineStr">
        <is>
          <t>tiberiansun</t>
        </is>
      </c>
      <c r="B591" t="inlineStr">
        <is>
          <t>cabal_cyborgcommandov2</t>
        </is>
      </c>
      <c r="C591" t="inlineStr">
        <is>
          <t>Cyborg Commando V2</t>
        </is>
      </c>
      <c r="D591" s="6" t="inlineStr">
        <is>
          <t>HeavyInfantry</t>
        </is>
      </c>
      <c r="E591" s="6" t="n">
        <v>400000</v>
      </c>
      <c r="F591" s="6" t="n">
        <v>40</v>
      </c>
      <c r="G591" t="inlineStr">
        <is>
          <t>Heroic</t>
        </is>
      </c>
      <c r="H591" s="6" t="n">
        <v>0.5</v>
      </c>
      <c r="I591" s="6" t="n">
        <v>1</v>
      </c>
      <c r="J591" s="6" t="n">
        <v>1</v>
      </c>
      <c r="P591">
        <f>MAX(P592,P593)</f>
        <v/>
      </c>
      <c r="S591">
        <f>S592+S593</f>
        <v/>
      </c>
      <c r="T591">
        <f>(E591/100000+F591/100+(P591/1000)*J591/5+S591/200)*200*I591*H591</f>
        <v/>
      </c>
      <c r="U591">
        <f>((E591*F591/25000)+((P591/1000)*J591*S591/2.5))*I591*H591</f>
        <v/>
      </c>
      <c r="V591">
        <f>(E591*F591*(P591/1000)*J591*S591*I591*H591)/12500000</f>
        <v/>
      </c>
      <c r="W591">
        <f>(T591+U591+V591)/3</f>
        <v/>
      </c>
      <c r="X591" s="6" t="n">
        <v>10000</v>
      </c>
      <c r="Y591">
        <f>IFERROR(W591-X591,"")</f>
        <v/>
      </c>
      <c r="Z591">
        <f>IFERROR(ABS(Y591)/MAX(X591,1),"")</f>
        <v/>
      </c>
      <c r="AA591">
        <f>IFERROR((X591-(((E591/100000+F591/100+S591/200)*200*I591*H591)+((E591*F591/25000)*I591*H591))/3)/(((J591/5)*200*I591*H591)+((J591*S591/2.5)*I591*H591)+((E591*F591*J591*S591*I591*H591)/12500000))/3*1000,"")</f>
        <v/>
      </c>
    </row>
    <row r="592">
      <c r="B592" s="7" t="inlineStr">
        <is>
          <t xml:space="preserve">  ↳ CabalCommandoPlasmaMk2</t>
        </is>
      </c>
      <c r="C592" s="7" t="inlineStr">
        <is>
          <t>Armament@PRIMARY</t>
        </is>
      </c>
      <c r="L592" s="6" t="n">
        <v>150000</v>
      </c>
      <c r="M592" s="6" t="n">
        <v>90</v>
      </c>
      <c r="N592" s="6" t="n">
        <v>1</v>
      </c>
      <c r="O592" s="6" t="n"/>
      <c r="P592" s="6" t="n">
        <v>6264</v>
      </c>
      <c r="Q592" s="6" t="n">
        <v>1</v>
      </c>
      <c r="R592">
        <f>M592+IF(MAX(N592-1,0)&gt;0,IF(ISBLANK(O592),5*MAX(N592-1,0),IF(ISNUMBER(O592),O592*MAX(N592-1,0),SUM(IFERROR(VALUE(TEXTSPLIT(O592,",")),0)))),0)</f>
        <v/>
      </c>
      <c r="S592">
        <f>IFERROR(L592*MAX(N592,1)/R592*IF(ISBLANK(K591),1,K591),0)</f>
        <v/>
      </c>
      <c r="AB592" s="7" t="inlineStr">
        <is>
          <t>^HeavyCannon, ^MediumFlameWeapon, ^MediumChemicalWeapon</t>
        </is>
      </c>
    </row>
    <row r="593">
      <c r="B593" s="7" t="inlineStr">
        <is>
          <t xml:space="preserve">  ↳ CabalCommandoPlasmaMk2Neutron</t>
        </is>
      </c>
      <c r="C593" s="7" t="inlineStr">
        <is>
          <t>Armament@Upgraded</t>
        </is>
      </c>
      <c r="L593" s="6" t="n">
        <v>300000</v>
      </c>
      <c r="M593" s="6" t="n">
        <v>90</v>
      </c>
      <c r="N593" s="6" t="n">
        <v>1</v>
      </c>
      <c r="O593" s="6" t="n"/>
      <c r="P593" s="6" t="n">
        <v>6264</v>
      </c>
      <c r="Q593" s="6" t="n">
        <v>1</v>
      </c>
      <c r="R593">
        <f>M593+IF(MAX(N593-1,0)&gt;0,IF(ISBLANK(O593),5*MAX(N593-1,0),IF(ISNUMBER(O593),O593*MAX(N593-1,0),SUM(IFERROR(VALUE(TEXTSPLIT(O593,",")),0)))),0)</f>
        <v/>
      </c>
      <c r="S593">
        <f>IFERROR(L593*MAX(N593,1)/R593*IF(ISBLANK(K591),1,K591),0)</f>
        <v/>
      </c>
      <c r="AB593" s="7" t="inlineStr">
        <is>
          <t>^HeavyCannon, ^MediumFlameWeapon, ^MediumChemicalWeapon, ^TeslaWeapon, ^MagicWeapon, ^RailgunWeapon</t>
        </is>
      </c>
    </row>
    <row r="594">
      <c r="B594" s="7" t="inlineStr">
        <is>
          <t xml:space="preserve">  ↳ CabalCommandoPlasmaMk2</t>
        </is>
      </c>
      <c r="C594" s="7" t="inlineStr">
        <is>
          <t>Armament@GARRISONED</t>
        </is>
      </c>
      <c r="L594" s="6" t="n">
        <v>150000</v>
      </c>
      <c r="M594" s="6" t="n">
        <v>90</v>
      </c>
      <c r="N594" s="6" t="n">
        <v>1</v>
      </c>
      <c r="O594" s="6" t="n"/>
      <c r="P594" s="6" t="n">
        <v>6264</v>
      </c>
      <c r="Q594" s="6" t="n">
        <v>1</v>
      </c>
      <c r="R594">
        <f>M594+IF(MAX(N594-1,0)&gt;0,IF(ISBLANK(O594),5*MAX(N594-1,0),IF(ISNUMBER(O594),O594*MAX(N594-1,0),SUM(IFERROR(VALUE(TEXTSPLIT(O594,",")),0)))),0)</f>
        <v/>
      </c>
      <c r="S594">
        <f>IFERROR(L594*MAX(N594,1)/R594*IF(ISBLANK(K591),1,K591),0)</f>
        <v/>
      </c>
      <c r="AB594" s="7" t="inlineStr">
        <is>
          <t>^HeavyCannon, ^MediumFlameWeapon, ^MediumChemicalWeapon</t>
        </is>
      </c>
    </row>
    <row r="595">
      <c r="B595" s="7" t="inlineStr">
        <is>
          <t xml:space="preserve">  ↳ CabalCommandoPlasmaMk2Neutron</t>
        </is>
      </c>
      <c r="C595" s="7" t="inlineStr">
        <is>
          <t>Armament@GARRISONEDUpgraded</t>
        </is>
      </c>
      <c r="L595" s="6" t="n">
        <v>300000</v>
      </c>
      <c r="M595" s="6" t="n">
        <v>90</v>
      </c>
      <c r="N595" s="6" t="n">
        <v>1</v>
      </c>
      <c r="O595" s="6" t="n"/>
      <c r="P595" s="6" t="n">
        <v>6264</v>
      </c>
      <c r="Q595" s="6" t="n">
        <v>1</v>
      </c>
      <c r="R595">
        <f>M595+IF(MAX(N595-1,0)&gt;0,IF(ISBLANK(O595),5*MAX(N595-1,0),IF(ISNUMBER(O595),O595*MAX(N595-1,0),SUM(IFERROR(VALUE(TEXTSPLIT(O595,",")),0)))),0)</f>
        <v/>
      </c>
      <c r="S595">
        <f>IFERROR(L595*MAX(N595,1)/R595*IF(ISBLANK(K591),1,K591),0)</f>
        <v/>
      </c>
      <c r="AB595" s="7" t="inlineStr">
        <is>
          <t>^HeavyCannon, ^MediumFlameWeapon, ^MediumChemicalWeapon, ^TeslaWeapon, ^MagicWeapon, ^RailgunWeapon</t>
        </is>
      </c>
    </row>
    <row r="596">
      <c r="A596" t="inlineStr">
        <is>
          <t>tiberiansun</t>
        </is>
      </c>
      <c r="B596" t="inlineStr">
        <is>
          <t>cabal_cyborginfantry</t>
        </is>
      </c>
      <c r="C596" t="inlineStr">
        <is>
          <t>Cyborg Infantry</t>
        </is>
      </c>
      <c r="D596" s="6" t="inlineStr">
        <is>
          <t>HeavyInfantry</t>
        </is>
      </c>
      <c r="E596" s="6" t="n">
        <v>45000</v>
      </c>
      <c r="F596" s="6" t="n">
        <v>40</v>
      </c>
      <c r="G596" t="inlineStr">
        <is>
          <t>Plate</t>
        </is>
      </c>
      <c r="H596" s="6" t="n">
        <v>1</v>
      </c>
      <c r="I596" s="6" t="n">
        <v>0.8</v>
      </c>
      <c r="J596" s="6" t="n">
        <v>1</v>
      </c>
      <c r="P596">
        <f>MAX(P597)</f>
        <v/>
      </c>
      <c r="S596">
        <f>S597</f>
        <v/>
      </c>
      <c r="T596">
        <f>(E596/100000+F596/100+(P596/1000)*J596/5+S596/200)*200*I596*H596</f>
        <v/>
      </c>
      <c r="U596">
        <f>((E596*F596/25000)+((P596/1000)*J596*S596/2.5))*I596*H596</f>
        <v/>
      </c>
      <c r="V596">
        <f>(E596*F596*(P596/1000)*J596*S596*I596*H596)/12500000</f>
        <v/>
      </c>
      <c r="W596">
        <f>(T596+U596+V596)/3</f>
        <v/>
      </c>
      <c r="X596" s="6" t="n">
        <v>500</v>
      </c>
      <c r="Y596">
        <f>IFERROR(W596-X596,"")</f>
        <v/>
      </c>
      <c r="Z596">
        <f>IFERROR(ABS(Y596)/MAX(X596,1),"")</f>
        <v/>
      </c>
      <c r="AA596">
        <f>IFERROR((X596-(((E596/100000+F596/100+S596/200)*200*I596*H596)+((E596*F596/25000)*I596*H596))/3)/(((J596/5)*200*I596*H596)+((J596*S596/2.5)*I596*H596)+((E596*F596*J596*S596*I596*H596)/12500000))/3*1000,"")</f>
        <v/>
      </c>
    </row>
    <row r="597">
      <c r="B597" s="7" t="inlineStr">
        <is>
          <t xml:space="preserve">  ↳ CabalCyborgChaingun</t>
        </is>
      </c>
      <c r="C597" s="7" t="inlineStr">
        <is>
          <t>Armament@PRIMARY</t>
        </is>
      </c>
      <c r="L597" s="6" t="n">
        <v>20000</v>
      </c>
      <c r="M597" s="6" t="n">
        <v>60</v>
      </c>
      <c r="N597" s="6" t="n">
        <v>1</v>
      </c>
      <c r="O597" s="6" t="n"/>
      <c r="P597" s="6" t="n">
        <v>5800</v>
      </c>
      <c r="Q597" s="6" t="n">
        <v>0.875</v>
      </c>
      <c r="R597">
        <f>M597+IF(MAX(N597-1,0)&gt;0,IF(ISBLANK(O597),5*MAX(N597-1,0),IF(ISNUMBER(O597),O597*MAX(N597-1,0),SUM(IFERROR(VALUE(TEXTSPLIT(O597,",")),0)))),0)</f>
        <v/>
      </c>
      <c r="S597">
        <f>IFERROR(L597*MAX(N597,1)/R597*IF(ISBLANK(K596),1,K596),0)</f>
        <v/>
      </c>
      <c r="AB597" s="7" t="inlineStr">
        <is>
          <t>^Warhead_Bullet_Light, ^Warhead_Bullet_Medium</t>
        </is>
      </c>
    </row>
    <row r="598">
      <c r="B598" s="7" t="inlineStr">
        <is>
          <t xml:space="preserve">  ↳ CabalCyborgChaingun</t>
        </is>
      </c>
      <c r="C598" s="7" t="inlineStr">
        <is>
          <t>Armament@GARRISONED</t>
        </is>
      </c>
      <c r="L598" s="6" t="n">
        <v>20000</v>
      </c>
      <c r="M598" s="6" t="n">
        <v>60</v>
      </c>
      <c r="N598" s="6" t="n">
        <v>1</v>
      </c>
      <c r="O598" s="6" t="n"/>
      <c r="P598" s="6" t="n">
        <v>5800</v>
      </c>
      <c r="Q598" s="6" t="n">
        <v>0.875</v>
      </c>
      <c r="R598">
        <f>M598+IF(MAX(N598-1,0)&gt;0,IF(ISBLANK(O598),5*MAX(N598-1,0),IF(ISNUMBER(O598),O598*MAX(N598-1,0),SUM(IFERROR(VALUE(TEXTSPLIT(O598,",")),0)))),0)</f>
        <v/>
      </c>
      <c r="S598">
        <f>IFERROR(L598*MAX(N598,1)/R598*IF(ISBLANK(K596),1,K596),0)</f>
        <v/>
      </c>
      <c r="AB598" s="7" t="inlineStr">
        <is>
          <t>^Warhead_Bullet_Light, ^Warhead_Bullet_Medium</t>
        </is>
      </c>
    </row>
    <row r="599">
      <c r="A599" t="inlineStr">
        <is>
          <t>tiberiansun</t>
        </is>
      </c>
      <c r="B599" t="inlineStr">
        <is>
          <t>cabal_devout</t>
        </is>
      </c>
      <c r="C599" t="inlineStr">
        <is>
          <t>Devout</t>
        </is>
      </c>
      <c r="D599" s="6" t="inlineStr">
        <is>
          <t>HeavyInfantry</t>
        </is>
      </c>
      <c r="E599" s="6" t="n">
        <v>80000</v>
      </c>
      <c r="F599" s="6" t="n">
        <v>40</v>
      </c>
      <c r="G599" t="inlineStr">
        <is>
          <t>Plate</t>
        </is>
      </c>
      <c r="H599" s="6" t="n">
        <v>1</v>
      </c>
      <c r="I599" s="6" t="n">
        <v>0.8</v>
      </c>
      <c r="J599" s="6" t="n">
        <v>1.25</v>
      </c>
      <c r="P599">
        <f>MAX(P600)</f>
        <v/>
      </c>
      <c r="S599">
        <f>S600</f>
        <v/>
      </c>
      <c r="T599">
        <f>(E599/100000+F599/100+(P599/1000)*J599/5+S599/200)*200*I599*H599</f>
        <v/>
      </c>
      <c r="U599">
        <f>((E599*F599/25000)+((P599/1000)*J599*S599/2.5))*I599*H599</f>
        <v/>
      </c>
      <c r="V599">
        <f>(E599*F599*(P599/1000)*J599*S599*I599*H599)/12500000</f>
        <v/>
      </c>
      <c r="W599">
        <f>(T599+U599+V599)/3</f>
        <v/>
      </c>
      <c r="X599" s="6" t="n">
        <v>1400</v>
      </c>
      <c r="Y599">
        <f>IFERROR(W599-X599,"")</f>
        <v/>
      </c>
      <c r="Z599">
        <f>IFERROR(ABS(Y599)/MAX(X599,1),"")</f>
        <v/>
      </c>
      <c r="AA599">
        <f>IFERROR((X599-(((E599/100000+F599/100+S599/200)*200*I599*H599)+((E599*F599/25000)*I599*H599))/3)/(((J599/5)*200*I599*H599)+((J599*S599/2.5)*I599*H599)+((E599*F599*J599*S599*I599*H599)/12500000))/3*1000,"")</f>
        <v/>
      </c>
    </row>
    <row r="600">
      <c r="B600" s="7" t="inlineStr">
        <is>
          <t xml:space="preserve">  ↳ TSDevoutChainguns</t>
        </is>
      </c>
      <c r="C600" s="7" t="inlineStr">
        <is>
          <t>Armament@PRIMARY</t>
        </is>
      </c>
      <c r="L600" s="6" t="n">
        <v>24000</v>
      </c>
      <c r="M600" s="6" t="n">
        <v>45</v>
      </c>
      <c r="N600" s="6" t="n">
        <v>2</v>
      </c>
      <c r="O600" s="6" t="n">
        <v>3</v>
      </c>
      <c r="P600" s="6" t="n">
        <v>6200</v>
      </c>
      <c r="Q600" s="6" t="n">
        <v>0.875</v>
      </c>
      <c r="R600">
        <f>M600+IF(MAX(N600-1,0)&gt;0,IF(ISBLANK(O600),5*MAX(N600-1,0),IF(ISNUMBER(O600),O600*MAX(N600-1,0),SUM(IFERROR(VALUE(TEXTSPLIT(O600,",")),0)))),0)</f>
        <v/>
      </c>
      <c r="S600">
        <f>IFERROR(L600*MAX(N600,1)/R600*IF(ISBLANK(K599),1,K599),0)</f>
        <v/>
      </c>
      <c r="AB600" s="7" t="inlineStr">
        <is>
          <t>^Warhead_Bullet_Light, ^Warhead_Bullet_Medium</t>
        </is>
      </c>
    </row>
    <row r="601">
      <c r="B601" s="7" t="inlineStr">
        <is>
          <t xml:space="preserve">  ↳ TSDevoutChainguns</t>
        </is>
      </c>
      <c r="C601" s="7" t="inlineStr">
        <is>
          <t>Armament@GARRISONED</t>
        </is>
      </c>
      <c r="L601" s="6" t="n">
        <v>24000</v>
      </c>
      <c r="M601" s="6" t="n">
        <v>45</v>
      </c>
      <c r="N601" s="6" t="n">
        <v>2</v>
      </c>
      <c r="O601" s="6" t="n">
        <v>3</v>
      </c>
      <c r="P601" s="6" t="n">
        <v>6200</v>
      </c>
      <c r="Q601" s="6" t="n">
        <v>0.875</v>
      </c>
      <c r="R601">
        <f>M601+IF(MAX(N601-1,0)&gt;0,IF(ISBLANK(O601),5*MAX(N601-1,0),IF(ISNUMBER(O601),O601*MAX(N601-1,0),SUM(IFERROR(VALUE(TEXTSPLIT(O601,",")),0)))),0)</f>
        <v/>
      </c>
      <c r="S601">
        <f>IFERROR(L601*MAX(N601,1)/R601*IF(ISBLANK(K599),1,K599),0)</f>
        <v/>
      </c>
      <c r="AB601" s="7" t="inlineStr">
        <is>
          <t>^Warhead_Bullet_Light, ^Warhead_Bullet_Medium</t>
        </is>
      </c>
    </row>
    <row r="602">
      <c r="A602" t="inlineStr">
        <is>
          <t>tiberiansun</t>
        </is>
      </c>
      <c r="B602" t="inlineStr">
        <is>
          <t>cabal_dissolver</t>
        </is>
      </c>
      <c r="C602" t="inlineStr">
        <is>
          <t>Dissolver</t>
        </is>
      </c>
      <c r="D602" s="6" t="inlineStr">
        <is>
          <t>HeavyInfantry</t>
        </is>
      </c>
      <c r="E602" s="6" t="n">
        <v>50000</v>
      </c>
      <c r="F602" s="6" t="n">
        <v>40</v>
      </c>
      <c r="G602" t="inlineStr">
        <is>
          <t>Flak</t>
        </is>
      </c>
      <c r="H602" s="6" t="n">
        <v>1</v>
      </c>
      <c r="I602" s="6" t="n">
        <v>0.8</v>
      </c>
      <c r="J602" s="6" t="n">
        <v>1</v>
      </c>
      <c r="P602">
        <f>MAX(P603)</f>
        <v/>
      </c>
      <c r="S602">
        <f>S603</f>
        <v/>
      </c>
      <c r="T602">
        <f>(E602/100000+F602/100+(P602/1000)*J602/5+S602/200)*200*I602*H602</f>
        <v/>
      </c>
      <c r="U602">
        <f>((E602*F602/25000)+((P602/1000)*J602*S602/2.5))*I602*H602</f>
        <v/>
      </c>
      <c r="V602">
        <f>(E602*F602*(P602/1000)*J602*S602*I602*H602)/12500000</f>
        <v/>
      </c>
      <c r="W602">
        <f>(T602+U602+V602)/3</f>
        <v/>
      </c>
      <c r="X602" s="6" t="n">
        <v>725</v>
      </c>
      <c r="Y602">
        <f>IFERROR(W602-X602,"")</f>
        <v/>
      </c>
      <c r="Z602">
        <f>IFERROR(ABS(Y602)/MAX(X602,1),"")</f>
        <v/>
      </c>
      <c r="AA602">
        <f>IFERROR((X602-(((E602/100000+F602/100+S602/200)*200*I602*H602)+((E602*F602/25000)*I602*H602))/3)/(((J602/5)*200*I602*H602)+((J602*S602/2.5)*I602*H602)+((E602*F602*J602*S602*I602*H602)/12500000))/3*1000,"")</f>
        <v/>
      </c>
    </row>
    <row r="603">
      <c r="B603" s="7" t="inlineStr">
        <is>
          <t xml:space="preserve">  ↳ CabalDissolverSpray</t>
        </is>
      </c>
      <c r="C603" s="7" t="inlineStr">
        <is>
          <t>Armament</t>
        </is>
      </c>
      <c r="L603" s="6" t="n">
        <v>4000</v>
      </c>
      <c r="M603" s="6" t="n">
        <v>4</v>
      </c>
      <c r="N603" s="6" t="n">
        <v>1</v>
      </c>
      <c r="O603" s="6" t="n"/>
      <c r="P603" s="6" t="n">
        <v>5142</v>
      </c>
      <c r="Q603" s="6" t="n">
        <v>1</v>
      </c>
      <c r="R603">
        <f>M603+IF(MAX(N603-1,0)&gt;0,IF(ISBLANK(O603),5*MAX(N603-1,0),IF(ISNUMBER(O603),O603*MAX(N603-1,0),SUM(IFERROR(VALUE(TEXTSPLIT(O603,",")),0)))),0)</f>
        <v/>
      </c>
      <c r="S603">
        <f>IFERROR(L603*MAX(N603,1)/R603*IF(ISBLANK(K602),1,K602),0)</f>
        <v/>
      </c>
      <c r="AB603" s="7" t="inlineStr">
        <is>
          <t>^LightChemicalWeapon, ^TankDestroyerCannon</t>
        </is>
      </c>
    </row>
    <row r="604">
      <c r="A604" t="inlineStr">
        <is>
          <t>tiberiansun</t>
        </is>
      </c>
      <c r="B604" t="inlineStr">
        <is>
          <t>cabal_eliminator800</t>
        </is>
      </c>
      <c r="C604" t="inlineStr">
        <is>
          <t>Eliminator 800</t>
        </is>
      </c>
      <c r="D604" s="6" t="inlineStr">
        <is>
          <t>HeavyInfantry</t>
        </is>
      </c>
      <c r="E604" s="6" t="n">
        <v>85000</v>
      </c>
      <c r="F604" s="6" t="n">
        <v>39</v>
      </c>
      <c r="G604" t="inlineStr">
        <is>
          <t>Flak</t>
        </is>
      </c>
      <c r="H604" s="6" t="n">
        <v>1</v>
      </c>
      <c r="I604" s="6" t="n">
        <v>0.8</v>
      </c>
      <c r="J604" s="6" t="n">
        <v>1</v>
      </c>
      <c r="K604" t="n">
        <v>0.0105</v>
      </c>
      <c r="P604">
        <f>MAX(P605)</f>
        <v/>
      </c>
      <c r="S604">
        <f>S605</f>
        <v/>
      </c>
      <c r="T604">
        <f>(E604/100000+F604/100+(P604/1000)*J604/5+S604/200)*200*I604*H604</f>
        <v/>
      </c>
      <c r="U604">
        <f>((E604*F604/25000)+((P604/1000)*J604*S604/2.5))*I604*H604</f>
        <v/>
      </c>
      <c r="V604">
        <f>(E604*F604*(P604/1000)*J604*S604*I604*H604)/12500000</f>
        <v/>
      </c>
      <c r="W604">
        <f>IFERROR((((E604/15000)+(F604/50)+(S604/240)+((P604/6000)*J604))*200/4+(((E604/15000)*(F604/50))+(((P604/6000)*J604)*(S604/240)))*200/2+((E604/15000)*(F604/50)*((P604/6000)*J604)*(S604/240))*200)*(H604/1.0)/3,"")</f>
        <v/>
      </c>
      <c r="X604" s="6" t="n">
        <v>1450</v>
      </c>
      <c r="Y604">
        <f>IFERROR(W604-X604,"")</f>
        <v/>
      </c>
      <c r="Z604">
        <f>IFERROR(ABS(Y604)/MAX(X604,1),"")</f>
        <v/>
      </c>
      <c r="AA604">
        <f>IFERROR(ROUND(((3*X604-(((E604/15000)+(F604/50)+(S604/240))*200/4+((E604/15000)*(F604/50))*200/2)*(H604/1.0))/(200/4+((S604/240))*200/2+((E604/15000)*(F604/50)*(S604/240))*200)*(H604/1.0)*6000)/J604,-1),"")</f>
        <v/>
      </c>
    </row>
    <row r="605">
      <c r="B605" s="7" t="inlineStr">
        <is>
          <t xml:space="preserve">  ↳ CabalEliminatorGatling</t>
        </is>
      </c>
      <c r="C605" s="7" t="inlineStr">
        <is>
          <t>Armament@PRIMARY</t>
        </is>
      </c>
      <c r="L605" s="6" t="n">
        <v>4000</v>
      </c>
      <c r="M605" s="6" t="n">
        <v>5</v>
      </c>
      <c r="N605" s="6" t="n">
        <v>1</v>
      </c>
      <c r="O605" s="6" t="n"/>
      <c r="P605" s="6" t="n">
        <v>5857</v>
      </c>
      <c r="Q605" s="6" t="n">
        <v>1</v>
      </c>
      <c r="R605">
        <f>M605+IF(MAX(N605-1,0)&gt;0,IF(ISBLANK(O605),5*MAX(N605-1,0),IF(ISNUMBER(O605),O605*MAX(N605-1,0),SUM(IFERROR(VALUE(TEXTSPLIT(O605,",")),0)))),0)</f>
        <v/>
      </c>
      <c r="S605">
        <f>IFERROR(L605*MAX(N605,1)/R605*IF(ISBLANK(K604),1,K604),0)</f>
        <v/>
      </c>
      <c r="AB605" s="7" t="inlineStr">
        <is>
          <t>^Warhead_Bullet_Medium</t>
        </is>
      </c>
    </row>
    <row r="606">
      <c r="B606" s="7" t="inlineStr">
        <is>
          <t xml:space="preserve">  ↳ CabalEliminatorGatling</t>
        </is>
      </c>
      <c r="C606" s="7" t="inlineStr">
        <is>
          <t>Armament@GARRISONED</t>
        </is>
      </c>
      <c r="L606" s="6" t="n">
        <v>4000</v>
      </c>
      <c r="M606" s="6" t="n">
        <v>5</v>
      </c>
      <c r="N606" s="6" t="n">
        <v>1</v>
      </c>
      <c r="O606" s="6" t="n"/>
      <c r="P606" s="6" t="n">
        <v>5857</v>
      </c>
      <c r="Q606" s="6" t="n">
        <v>1</v>
      </c>
      <c r="R606">
        <f>M606+IF(MAX(N606-1,0)&gt;0,IF(ISBLANK(O606),5*MAX(N606-1,0),IF(ISNUMBER(O606),O606*MAX(N606-1,0),SUM(IFERROR(VALUE(TEXTSPLIT(O606,",")),0)))),0)</f>
        <v/>
      </c>
      <c r="S606">
        <f>IFERROR(L606*MAX(N606,1)/R606*IF(ISBLANK(K604),1,K604),0)</f>
        <v/>
      </c>
      <c r="AB606" s="7" t="inlineStr">
        <is>
          <t>^Warhead_Bullet_Medium</t>
        </is>
      </c>
    </row>
    <row r="607">
      <c r="A607" t="inlineStr">
        <is>
          <t>tiberiansun</t>
        </is>
      </c>
      <c r="B607" t="inlineStr">
        <is>
          <t>cabal_enlighted</t>
        </is>
      </c>
      <c r="C607" t="inlineStr">
        <is>
          <t>Enlighted</t>
        </is>
      </c>
      <c r="D607" s="6" t="inlineStr">
        <is>
          <t>HeavyInfantry</t>
        </is>
      </c>
      <c r="E607" s="6" t="n">
        <v>80000</v>
      </c>
      <c r="F607" s="6" t="n">
        <v>40</v>
      </c>
      <c r="G607" t="inlineStr">
        <is>
          <t>Flak</t>
        </is>
      </c>
      <c r="H607" s="6" t="n">
        <v>1</v>
      </c>
      <c r="I607" s="6" t="n">
        <v>1</v>
      </c>
      <c r="J607" s="6" t="n">
        <v>1</v>
      </c>
      <c r="P607">
        <f>MAX(P608)</f>
        <v/>
      </c>
      <c r="S607">
        <f>S608</f>
        <v/>
      </c>
      <c r="T607">
        <f>(E607/100000+F607/100+(P607/1000)*J607/5+S607/200)*200*I607*H607</f>
        <v/>
      </c>
      <c r="U607">
        <f>((E607*F607/25000)+((P607/1000)*J607*S607/2.5))*I607*H607</f>
        <v/>
      </c>
      <c r="V607">
        <f>(E607*F607*(P607/1000)*J607*S607*I607*H607)/12500000</f>
        <v/>
      </c>
      <c r="W607">
        <f>(T607+U607+V607)/3</f>
        <v/>
      </c>
      <c r="X607" s="6" t="n">
        <v>1600</v>
      </c>
      <c r="Y607">
        <f>IFERROR(W607-X607,"")</f>
        <v/>
      </c>
      <c r="Z607">
        <f>IFERROR(ABS(Y607)/MAX(X607,1),"")</f>
        <v/>
      </c>
      <c r="AA607">
        <f>IFERROR((X607-(((E607/100000+F607/100+S607/200)*200*I607*H607)+((E607*F607/25000)*I607*H607))/3)/(((J607/5)*200*I607*H607)+((J607*S607/2.5)*I607*H607)+((E607*F607*J607*S607*I607*H607)/12500000))/3*1000,"")</f>
        <v/>
      </c>
    </row>
    <row r="608">
      <c r="B608" s="7" t="inlineStr">
        <is>
          <t xml:space="preserve">  ↳ TSCABALEnlightedLaser</t>
        </is>
      </c>
      <c r="C608" s="7" t="inlineStr">
        <is>
          <t>Armament@PRIMARY</t>
        </is>
      </c>
      <c r="L608" s="6" t="n">
        <v>280000</v>
      </c>
      <c r="M608" s="6" t="n">
        <v>25</v>
      </c>
      <c r="N608" s="6" t="n">
        <v>1</v>
      </c>
      <c r="O608" s="6" t="n"/>
      <c r="P608" s="6" t="n">
        <v>5120</v>
      </c>
      <c r="Q608" s="6" t="n">
        <v>1</v>
      </c>
      <c r="R608">
        <f>M608+IF(MAX(N608-1,0)&gt;0,IF(ISBLANK(O608),5*MAX(N608-1,0),IF(ISNUMBER(O608),O608*MAX(N608-1,0),SUM(IFERROR(VALUE(TEXTSPLIT(O608,",")),0)))),0)</f>
        <v/>
      </c>
      <c r="S608">
        <f>IFERROR(L608*MAX(N608,1)/R608*IF(ISBLANK(K607),1,K607),0)</f>
        <v/>
      </c>
      <c r="AB608" s="7" t="inlineStr">
        <is>
          <t>^TankDestroyerCannon, ^LaserWeapon, ^MediumFlameWeapon, ^MediumChemicalWeapon, ^TSLaserEffect</t>
        </is>
      </c>
    </row>
    <row r="609">
      <c r="B609" s="7" t="inlineStr">
        <is>
          <t xml:space="preserve">  ↳ SuicideBomberTargeting</t>
        </is>
      </c>
      <c r="C609" s="7" t="inlineStr">
        <is>
          <t>Armament@Suicide</t>
        </is>
      </c>
      <c r="M609" s="6" t="n">
        <v>1</v>
      </c>
      <c r="N609" s="6" t="n">
        <v>1</v>
      </c>
      <c r="O609" s="6" t="n"/>
      <c r="P609" s="6" t="n">
        <v>1536</v>
      </c>
      <c r="Q609" s="6" t="n">
        <v>1</v>
      </c>
      <c r="R609">
        <f>M609+IF(MAX(N609-1,0)&gt;0,IF(ISBLANK(O609),5*MAX(N609-1,0),IF(ISNUMBER(O609),O609*MAX(N609-1,0),SUM(IFERROR(VALUE(TEXTSPLIT(O609,",")),0)))),0)</f>
        <v/>
      </c>
      <c r="S609">
        <f>IFERROR(L609*MAX(N609,1)/R609*IF(ISBLANK(K607),1,K607),0)</f>
        <v/>
      </c>
      <c r="AB609" s="7" t="inlineStr">
        <is>
          <t>DemoTruckTargeting</t>
        </is>
      </c>
    </row>
    <row r="610">
      <c r="B610" s="7" t="inlineStr">
        <is>
          <t xml:space="preserve">  ↳ TSCABALEnlightedLaser</t>
        </is>
      </c>
      <c r="C610" s="7" t="inlineStr">
        <is>
          <t>Armament@GARRISONED</t>
        </is>
      </c>
      <c r="L610" s="6" t="n">
        <v>280000</v>
      </c>
      <c r="M610" s="6" t="n">
        <v>25</v>
      </c>
      <c r="N610" s="6" t="n">
        <v>1</v>
      </c>
      <c r="O610" s="6" t="n"/>
      <c r="P610" s="6" t="n">
        <v>5120</v>
      </c>
      <c r="Q610" s="6" t="n">
        <v>1</v>
      </c>
      <c r="R610">
        <f>M610+IF(MAX(N610-1,0)&gt;0,IF(ISBLANK(O610),5*MAX(N610-1,0),IF(ISNUMBER(O610),O610*MAX(N610-1,0),SUM(IFERROR(VALUE(TEXTSPLIT(O610,",")),0)))),0)</f>
        <v/>
      </c>
      <c r="S610">
        <f>IFERROR(L610*MAX(N610,1)/R610*IF(ISBLANK(K607),1,K607),0)</f>
        <v/>
      </c>
      <c r="AB610" s="7" t="inlineStr">
        <is>
          <t>^TankDestroyerCannon, ^LaserWeapon, ^MediumFlameWeapon, ^MediumChemicalWeapon, ^TSLaserEffect</t>
        </is>
      </c>
    </row>
    <row r="611">
      <c r="A611" t="inlineStr">
        <is>
          <t>tiberiansun</t>
        </is>
      </c>
      <c r="B611" t="inlineStr">
        <is>
          <t>cabal_hackercyborg</t>
        </is>
      </c>
      <c r="C611" t="inlineStr">
        <is>
          <t>Hacker Cyborg</t>
        </is>
      </c>
      <c r="D611" s="6" t="inlineStr">
        <is>
          <t>HeavyInfantry</t>
        </is>
      </c>
      <c r="E611" s="6" t="n">
        <v>30000</v>
      </c>
      <c r="F611" s="6" t="n">
        <v>80</v>
      </c>
      <c r="G611" t="inlineStr">
        <is>
          <t>None</t>
        </is>
      </c>
      <c r="H611" s="6" t="n">
        <v>1</v>
      </c>
      <c r="I611" s="6" t="n">
        <v>1</v>
      </c>
      <c r="J611" s="6" t="n">
        <v>1</v>
      </c>
      <c r="P611">
        <f>MAX(P612,P613)</f>
        <v/>
      </c>
      <c r="S611">
        <f>S612+S613</f>
        <v/>
      </c>
      <c r="T611">
        <f>(E611/100000+F611/100+(P611/1000)*J611/5+S611/200)*200*I611*H611</f>
        <v/>
      </c>
      <c r="U611">
        <f>((E611*F611/25000)+((P611/1000)*J611*S611/2.5))*I611*H611</f>
        <v/>
      </c>
      <c r="V611">
        <f>(E611*F611*(P611/1000)*J611*S611*I611*H611)/12500000</f>
        <v/>
      </c>
      <c r="W611">
        <f>IFERROR((((E611/5000)+(F611/50)+(S611/0)+((P611/0)*J611))*500/4+(((E611/5000)*(F611/50))+(((P611/0)*J611)*(S611/0)))*500/2+((E611/5000)*(F611/50)*((P611/0)*J611)*(S611/0))*500)*(H611/1.0)/3,"")</f>
        <v/>
      </c>
      <c r="X611" s="6" t="n">
        <v>1250</v>
      </c>
      <c r="Y611">
        <f>IFERROR(W611-X611,"")</f>
        <v/>
      </c>
      <c r="Z611">
        <f>IFERROR(ABS(Y611)/MAX(X611,1),"")</f>
        <v/>
      </c>
      <c r="AA611">
        <f>IFERROR(ROUND(((3*X611-(((E611/5000)+(F611/50)+(S611/0))*500/4+((E611/5000)*(F611/50))*500/2)*(H611/1.0))/(500/4+((S611/0))*500/2+((E611/5000)*(F611/50)*(S611/0))*500)*(H611/1.0)*0)/J611,-1),"")</f>
        <v/>
      </c>
    </row>
    <row r="612">
      <c r="B612" s="7" t="inlineStr">
        <is>
          <t xml:space="preserve">  ↳ TSCABALCharge_EMP</t>
        </is>
      </c>
      <c r="C612" s="7" t="inlineStr">
        <is>
          <t>Armament@Anim</t>
        </is>
      </c>
      <c r="L612" t="n">
        <v>1</v>
      </c>
      <c r="M612" s="6" t="n">
        <v>6</v>
      </c>
      <c r="N612" s="6" t="n">
        <v>1</v>
      </c>
      <c r="O612" s="6" t="n"/>
      <c r="P612" s="6" t="n">
        <v>8000</v>
      </c>
      <c r="Q612" s="6" t="n">
        <v>1</v>
      </c>
      <c r="R612">
        <f>M612+IF(MAX(N612-1,0)&gt;0,IF(ISBLANK(O612),5*MAX(N612-1,0),IF(ISNUMBER(O612),O612*MAX(N612-1,0),SUM(IFERROR(VALUE(TEXTSPLIT(O612,",")),0)))),0)</f>
        <v/>
      </c>
      <c r="S612">
        <f>IFERROR(L612*MAX(N612,1)/R612*IF(ISBLANK(K611),1,K611),0)</f>
        <v/>
      </c>
      <c r="AB612" s="7" t="inlineStr"/>
    </row>
    <row r="613">
      <c r="B613" s="7" t="inlineStr">
        <is>
          <t xml:space="preserve">  ↳ TSCABALDisable_EMP</t>
        </is>
      </c>
      <c r="C613" s="7" t="inlineStr">
        <is>
          <t>Armament@End</t>
        </is>
      </c>
      <c r="L613" s="6" t="n">
        <v>2000</v>
      </c>
      <c r="M613" s="6" t="n">
        <v>8</v>
      </c>
      <c r="N613" s="6" t="n">
        <v>1</v>
      </c>
      <c r="O613" s="6" t="n"/>
      <c r="P613" s="6" t="n">
        <v>8000</v>
      </c>
      <c r="Q613" s="6" t="n">
        <v>1</v>
      </c>
      <c r="R613">
        <f>M613+IF(MAX(N613-1,0)&gt;0,IF(ISBLANK(O613),5*MAX(N613-1,0),IF(ISNUMBER(O613),O613*MAX(N613-1,0),SUM(IFERROR(VALUE(TEXTSPLIT(O613,",")),0)))),0)</f>
        <v/>
      </c>
      <c r="S613">
        <f>IFERROR(L613*MAX(N613,1)/R613*IF(ISBLANK(K611),1,K611),0)</f>
        <v/>
      </c>
      <c r="AB613" s="7" t="inlineStr">
        <is>
          <t>^Warhead_Tesla_Super</t>
        </is>
      </c>
    </row>
    <row r="614">
      <c r="B614" s="7" t="inlineStr">
        <is>
          <t xml:space="preserve">  ↳ TSRobotHackingControl</t>
        </is>
      </c>
      <c r="C614" s="7" t="inlineStr">
        <is>
          <t>Armament@GARRISONED</t>
        </is>
      </c>
      <c r="L614" t="n">
        <v>0</v>
      </c>
      <c r="M614" s="6" t="n">
        <v>50</v>
      </c>
      <c r="N614" s="6" t="n">
        <v>1</v>
      </c>
      <c r="O614" s="6" t="n"/>
      <c r="P614" s="6" t="n">
        <v>8000</v>
      </c>
      <c r="Q614" s="6" t="n">
        <v>1</v>
      </c>
      <c r="R614">
        <f>M614+IF(MAX(N614-1,0)&gt;0,IF(ISBLANK(O614),5*MAX(N614-1,0),IF(ISNUMBER(O614),O614*MAX(N614-1,0),SUM(IFERROR(VALUE(TEXTSPLIT(O614,",")),0)))),0)</f>
        <v/>
      </c>
      <c r="S614">
        <f>IFERROR(L614*MAX(N614,1)/R614*IF(ISBLANK(K611),1,K611),0)</f>
        <v/>
      </c>
      <c r="AB614" s="7" t="inlineStr"/>
    </row>
    <row r="615">
      <c r="A615" t="inlineStr">
        <is>
          <t>tiberiansun</t>
        </is>
      </c>
      <c r="B615" t="inlineStr">
        <is>
          <t>ts_nod_toxintrooper</t>
        </is>
      </c>
      <c r="C615" t="inlineStr">
        <is>
          <t>Toxin Trooper</t>
        </is>
      </c>
      <c r="D615" s="6" t="inlineStr">
        <is>
          <t>HeavyInfantry</t>
        </is>
      </c>
      <c r="E615" s="6" t="n">
        <v>30000</v>
      </c>
      <c r="F615" s="6" t="n">
        <v>55</v>
      </c>
      <c r="G615" t="inlineStr">
        <is>
          <t>Plate</t>
        </is>
      </c>
      <c r="H615" s="6" t="n">
        <v>0.7269</v>
      </c>
      <c r="I615" s="6" t="n">
        <v>1</v>
      </c>
      <c r="J615" s="6" t="n">
        <v>1</v>
      </c>
      <c r="P615">
        <f>MAX(P616)</f>
        <v/>
      </c>
      <c r="S615">
        <f>S616</f>
        <v/>
      </c>
      <c r="T615">
        <f>(E615/100000+F615/100+(P615/1000)*J615/5+S615/200)*200*I615*H615</f>
        <v/>
      </c>
      <c r="U615">
        <f>((E615*F615/25000)+((P615/1000)*J615*S615/2.5))*I615*H615</f>
        <v/>
      </c>
      <c r="V615">
        <f>(E615*F615*(P615/1000)*J615*S615*I615*H615)/12500000</f>
        <v/>
      </c>
      <c r="W615">
        <f>(T615+U615+V615)/3</f>
        <v/>
      </c>
      <c r="X615" s="6" t="n">
        <v>850</v>
      </c>
      <c r="Y615">
        <f>IFERROR(W615-X615,"")</f>
        <v/>
      </c>
      <c r="Z615">
        <f>IFERROR(ABS(Y615)/MAX(X615,1),"")</f>
        <v/>
      </c>
      <c r="AA615">
        <f>IFERROR((X615-(((E615/100000+F615/100+S615/200)*200*I615*H615)+((E615*F615/25000)*I615*H615))/3)/(((J615/5)*200*I615*H615)+((J615*S615/2.5)*I615*H615)+((E615*F615*J615*S615*I615*H615)/12500000))/3*1000,"")</f>
        <v/>
      </c>
    </row>
    <row r="616">
      <c r="B616" s="7" t="inlineStr">
        <is>
          <t xml:space="preserve">  ↳ TSToxinRifle</t>
        </is>
      </c>
      <c r="C616" s="7" t="inlineStr">
        <is>
          <t>Armament@PRIMARY</t>
        </is>
      </c>
      <c r="L616" s="6" t="n">
        <v>16000</v>
      </c>
      <c r="M616" s="6" t="n">
        <v>54</v>
      </c>
      <c r="N616" s="6" t="n">
        <v>3</v>
      </c>
      <c r="O616" s="6" t="n">
        <v>3</v>
      </c>
      <c r="P616" s="6" t="n">
        <v>10293</v>
      </c>
      <c r="Q616" s="6" t="n">
        <v>0.75</v>
      </c>
      <c r="R616">
        <f>M616+IF(MAX(N616-1,0)&gt;0,IF(ISBLANK(O616),5*MAX(N616-1,0),IF(ISNUMBER(O616),O616*MAX(N616-1,0),SUM(IFERROR(VALUE(TEXTSPLIT(O616,",")),0)))),0)</f>
        <v/>
      </c>
      <c r="S616">
        <f>IFERROR(L616*MAX(N616,1)/R616*IF(ISBLANK(K615),1,K615),0)</f>
        <v/>
      </c>
      <c r="AB616" s="7" t="inlineStr">
        <is>
          <t>^Warhead_Chemical_Light</t>
        </is>
      </c>
    </row>
    <row r="617">
      <c r="B617" s="7" t="inlineStr">
        <is>
          <t xml:space="preserve">  ↳ TSToxinRifle</t>
        </is>
      </c>
      <c r="C617" s="7" t="inlineStr">
        <is>
          <t>Armament@GARRISONED</t>
        </is>
      </c>
      <c r="L617" s="6" t="n">
        <v>16000</v>
      </c>
      <c r="M617" s="6" t="n">
        <v>54</v>
      </c>
      <c r="N617" s="6" t="n">
        <v>3</v>
      </c>
      <c r="O617" s="6" t="n">
        <v>3</v>
      </c>
      <c r="P617" s="6" t="n">
        <v>10293</v>
      </c>
      <c r="Q617" s="6" t="n">
        <v>0.75</v>
      </c>
      <c r="R617">
        <f>M617+IF(MAX(N617-1,0)&gt;0,IF(ISBLANK(O617),5*MAX(N617-1,0),IF(ISNUMBER(O617),O617*MAX(N617-1,0),SUM(IFERROR(VALUE(TEXTSPLIT(O617,",")),0)))),0)</f>
        <v/>
      </c>
      <c r="S617">
        <f>IFERROR(L617*MAX(N617,1)/R617*IF(ISBLANK(K615),1,K615),0)</f>
        <v/>
      </c>
      <c r="AB617" s="7" t="inlineStr">
        <is>
          <t>^Warhead_Chemical_Light</t>
        </is>
      </c>
    </row>
    <row r="618">
      <c r="A618" t="inlineStr">
        <is>
          <t>tiberiansun</t>
        </is>
      </c>
      <c r="B618" t="inlineStr">
        <is>
          <t>ts_gdi_zonetrooper</t>
        </is>
      </c>
      <c r="C618" t="inlineStr">
        <is>
          <t>Zone Trooper</t>
        </is>
      </c>
      <c r="D618" s="6" t="inlineStr">
        <is>
          <t>HeavyInfantry</t>
        </is>
      </c>
      <c r="E618" s="6" t="n">
        <v>80000</v>
      </c>
      <c r="F618" s="6" t="n">
        <v>60</v>
      </c>
      <c r="G618" t="inlineStr">
        <is>
          <t>Plate</t>
        </is>
      </c>
      <c r="H618" s="6" t="n">
        <v>0.7333</v>
      </c>
      <c r="I618" s="6" t="n">
        <v>1</v>
      </c>
      <c r="J618" s="6" t="n">
        <v>1</v>
      </c>
      <c r="P618">
        <f>MAX(P619,P620)</f>
        <v/>
      </c>
      <c r="S618">
        <f>S619+S620</f>
        <v/>
      </c>
      <c r="T618">
        <f>(E618/100000+F618/100+(P618/1000)*J618/5+S618/200)*200*I618*H618</f>
        <v/>
      </c>
      <c r="U618">
        <f>((E618*F618/25000)+((P618/1000)*J618*S618/2.5))*I618*H618</f>
        <v/>
      </c>
      <c r="V618">
        <f>(E618*F618*(P618/1000)*J618*S618*I618*H618)/12500000</f>
        <v/>
      </c>
      <c r="W618">
        <f>(T618+U618+V618)/3</f>
        <v/>
      </c>
      <c r="X618" s="6" t="n">
        <v>1500</v>
      </c>
      <c r="Y618">
        <f>IFERROR(W618-X618,"")</f>
        <v/>
      </c>
      <c r="Z618">
        <f>IFERROR(ABS(Y618)/MAX(X618,1),"")</f>
        <v/>
      </c>
      <c r="AA618">
        <f>IFERROR((X618-(((E618/100000+F618/100+S618/200)*200*I618*H618)+((E618*F618/25000)*I618*H618))/3)/(((J618/5)*200*I618*H618)+((J618*S618/2.5)*I618*H618)+((E618*F618*J618*S618*I618*H618)/12500000))/3*1000,"")</f>
        <v/>
      </c>
    </row>
    <row r="619">
      <c r="B619" s="7" t="inlineStr">
        <is>
          <t xml:space="preserve">  ↳ TSZoneRailgun</t>
        </is>
      </c>
      <c r="C619" s="7" t="inlineStr">
        <is>
          <t>Armament@PRIMARY</t>
        </is>
      </c>
      <c r="L619" s="6" t="n">
        <v>40000</v>
      </c>
      <c r="M619" s="6" t="n">
        <v>60</v>
      </c>
      <c r="N619" s="6" t="n">
        <v>1</v>
      </c>
      <c r="O619" s="6" t="n"/>
      <c r="P619" s="6" t="n">
        <v>6230</v>
      </c>
      <c r="Q619" s="6" t="n">
        <v>1.25</v>
      </c>
      <c r="R619">
        <f>M619+IF(MAX(N619-1,0)&gt;0,IF(ISBLANK(O619),5*MAX(N619-1,0),IF(ISNUMBER(O619),O619*MAX(N619-1,0),SUM(IFERROR(VALUE(TEXTSPLIT(O619,",")),0)))),0)</f>
        <v/>
      </c>
      <c r="S619">
        <f>IFERROR(L619*MAX(N619,1)/R619*IF(ISBLANK(K618),1,K618),0)</f>
        <v/>
      </c>
      <c r="AB619" s="7" t="inlineStr">
        <is>
          <t>^Warhead_Railgun_Heavy</t>
        </is>
      </c>
    </row>
    <row r="620">
      <c r="B620" s="7" t="inlineStr">
        <is>
          <t xml:space="preserve">  ↳ TSZoneRailgunRail</t>
        </is>
      </c>
      <c r="C620" s="7" t="inlineStr">
        <is>
          <t>Armament@Upgrade</t>
        </is>
      </c>
      <c r="L620" s="6" t="n">
        <v>60000</v>
      </c>
      <c r="M620" s="6" t="n">
        <v>60</v>
      </c>
      <c r="N620" s="6" t="n">
        <v>1</v>
      </c>
      <c r="O620" s="6" t="n"/>
      <c r="P620" s="6" t="n">
        <v>6230</v>
      </c>
      <c r="Q620" s="6" t="n">
        <v>1.25</v>
      </c>
      <c r="R620">
        <f>M620+IF(MAX(N620-1,0)&gt;0,IF(ISBLANK(O620),5*MAX(N620-1,0),IF(ISNUMBER(O620),O620*MAX(N620-1,0),SUM(IFERROR(VALUE(TEXTSPLIT(O620,",")),0)))),0)</f>
        <v/>
      </c>
      <c r="S620">
        <f>IFERROR(L620*MAX(N620,1)/R620*IF(ISBLANK(K618),1,K618),0)</f>
        <v/>
      </c>
      <c r="AB620" s="7" t="inlineStr">
        <is>
          <t>^Warhead_Railgun_Heavy</t>
        </is>
      </c>
    </row>
    <row r="621">
      <c r="B621" s="7" t="inlineStr">
        <is>
          <t xml:space="preserve">  ↳ TSZoneRailgun</t>
        </is>
      </c>
      <c r="C621" s="7" t="inlineStr">
        <is>
          <t>Armament@GARRISONED</t>
        </is>
      </c>
      <c r="L621" s="6" t="n">
        <v>40000</v>
      </c>
      <c r="M621" s="6" t="n">
        <v>60</v>
      </c>
      <c r="N621" s="6" t="n">
        <v>1</v>
      </c>
      <c r="O621" s="6" t="n"/>
      <c r="P621" s="6" t="n">
        <v>6230</v>
      </c>
      <c r="Q621" s="6" t="n">
        <v>1.25</v>
      </c>
      <c r="R621">
        <f>M621+IF(MAX(N621-1,0)&gt;0,IF(ISBLANK(O621),5*MAX(N621-1,0),IF(ISNUMBER(O621),O621*MAX(N621-1,0),SUM(IFERROR(VALUE(TEXTSPLIT(O621,",")),0)))),0)</f>
        <v/>
      </c>
      <c r="S621">
        <f>IFERROR(L621*MAX(N621,1)/R621*IF(ISBLANK(K618),1,K618),0)</f>
        <v/>
      </c>
      <c r="AB621" s="7" t="inlineStr">
        <is>
          <t>^Warhead_Railgun_Heavy</t>
        </is>
      </c>
    </row>
    <row r="622">
      <c r="B622" s="7" t="inlineStr">
        <is>
          <t xml:space="preserve">  ↳ TSZoneRailgunRail</t>
        </is>
      </c>
      <c r="C622" s="7" t="inlineStr">
        <is>
          <t>Armament@UpgradeGARRISONED</t>
        </is>
      </c>
      <c r="L622" s="6" t="n">
        <v>60000</v>
      </c>
      <c r="M622" s="6" t="n">
        <v>60</v>
      </c>
      <c r="N622" s="6" t="n">
        <v>1</v>
      </c>
      <c r="O622" s="6" t="n"/>
      <c r="P622" s="6" t="n">
        <v>6230</v>
      </c>
      <c r="Q622" s="6" t="n">
        <v>1.25</v>
      </c>
      <c r="R622">
        <f>M622+IF(MAX(N622-1,0)&gt;0,IF(ISBLANK(O622),5*MAX(N622-1,0),IF(ISNUMBER(O622),O622*MAX(N622-1,0),SUM(IFERROR(VALUE(TEXTSPLIT(O622,",")),0)))),0)</f>
        <v/>
      </c>
      <c r="S622">
        <f>IFERROR(L622*MAX(N622,1)/R622*IF(ISBLANK(K618),1,K618),0)</f>
        <v/>
      </c>
      <c r="AB622" s="7" t="inlineStr">
        <is>
          <t>^Warhead_Railgun_Heavy</t>
        </is>
      </c>
    </row>
    <row r="623">
      <c r="A623" t="inlineStr">
        <is>
          <t>tiberiansun</t>
        </is>
      </c>
      <c r="B623" t="inlineStr">
        <is>
          <t>forgotten_mutantsergeant</t>
        </is>
      </c>
      <c r="C623" t="inlineStr">
        <is>
          <t>actor_forgotten_mutantsergeant.name</t>
        </is>
      </c>
      <c r="D623" s="6" t="inlineStr">
        <is>
          <t>HeavyInfantry</t>
        </is>
      </c>
      <c r="E623" s="6" t="n">
        <v>40000</v>
      </c>
      <c r="F623" s="6" t="n">
        <v>74</v>
      </c>
      <c r="G623" t="inlineStr">
        <is>
          <t>Plate</t>
        </is>
      </c>
      <c r="H623" s="6" t="n">
        <v>0.75</v>
      </c>
      <c r="I623" s="6" t="n">
        <v>1</v>
      </c>
      <c r="J623" s="6" t="n">
        <v>1</v>
      </c>
      <c r="K623" t="n">
        <v>0.0108</v>
      </c>
      <c r="P623">
        <f>MAX(P624)</f>
        <v/>
      </c>
      <c r="S623">
        <f>S624</f>
        <v/>
      </c>
      <c r="T623">
        <f>(E623/100000+F623/100+(P623/1000)*J623/5+S623/200)*200*I623*H623</f>
        <v/>
      </c>
      <c r="U623">
        <f>((E623*F623/25000)+((P623/1000)*J623*S623/2.5))*I623*H623</f>
        <v/>
      </c>
      <c r="V623">
        <f>(E623*F623*(P623/1000)*J623*S623*I623*H623)/12500000</f>
        <v/>
      </c>
      <c r="W623">
        <f>IFERROR((((E623/15000)+(F623/50)+(S623/240)+((P623/6000)*J623))*200/4+(((E623/15000)*(F623/50))+(((P623/6000)*J623)*(S623/240)))*200/2+((E623/15000)*(F623/50)*((P623/6000)*J623)*(S623/240))*200)*(H623/1.0)/3,"")</f>
        <v/>
      </c>
      <c r="X623" s="6" t="n">
        <v>1154</v>
      </c>
      <c r="Y623">
        <f>IFERROR(W623-X623,"")</f>
        <v/>
      </c>
      <c r="Z623">
        <f>IFERROR(ABS(Y623)/MAX(X623,1),"")</f>
        <v/>
      </c>
      <c r="AA623">
        <f>IFERROR(ROUND(((3*X623-(((E623/15000)+(F623/50)+(S623/240))*200/4+((E623/15000)*(F623/50))*200/2)*(H623/1.0))/(200/4+((S623/240))*200/2+((E623/15000)*(F623/50)*(S623/240))*200)*(H623/1.0)*6000)/J623,-1),"")</f>
        <v/>
      </c>
    </row>
    <row r="624">
      <c r="B624" s="7" t="inlineStr">
        <is>
          <t xml:space="preserve">  ↳ TSSergGun</t>
        </is>
      </c>
      <c r="C624" s="7" t="inlineStr">
        <is>
          <t>Armament@PRIMARY</t>
        </is>
      </c>
      <c r="L624" s="6" t="n">
        <v>16000</v>
      </c>
      <c r="M624" s="6" t="n">
        <v>8</v>
      </c>
      <c r="N624" s="6" t="n">
        <v>1</v>
      </c>
      <c r="O624" s="6" t="n"/>
      <c r="P624" s="6" t="n">
        <v>5611</v>
      </c>
      <c r="Q624" s="6" t="n">
        <v>0.875</v>
      </c>
      <c r="R624">
        <f>M624+IF(MAX(N624-1,0)&gt;0,IF(ISBLANK(O624),5*MAX(N624-1,0),IF(ISNUMBER(O624),O624*MAX(N624-1,0),SUM(IFERROR(VALUE(TEXTSPLIT(O624,",")),0)))),0)</f>
        <v/>
      </c>
      <c r="S624">
        <f>IFERROR(L624*MAX(N624,1)/R624*IF(ISBLANK(K623),1,K623),0)</f>
        <v/>
      </c>
      <c r="AB624" s="7" t="inlineStr">
        <is>
          <t>^Warhead_Bullet_Light, ^Warhead_Bullet_Medium</t>
        </is>
      </c>
    </row>
    <row r="625">
      <c r="B625" s="7" t="inlineStr">
        <is>
          <t xml:space="preserve">  ↳ TSSergGun</t>
        </is>
      </c>
      <c r="C625" s="7" t="inlineStr">
        <is>
          <t>Armament@GARRISONED</t>
        </is>
      </c>
      <c r="L625" s="6" t="n">
        <v>16000</v>
      </c>
      <c r="M625" s="6" t="n">
        <v>8</v>
      </c>
      <c r="N625" s="6" t="n">
        <v>1</v>
      </c>
      <c r="O625" s="6" t="n"/>
      <c r="P625" s="6" t="n">
        <v>5611</v>
      </c>
      <c r="Q625" s="6" t="n">
        <v>0.875</v>
      </c>
      <c r="R625">
        <f>M625+IF(MAX(N625-1,0)&gt;0,IF(ISBLANK(O625),5*MAX(N625-1,0),IF(ISNUMBER(O625),O625*MAX(N625-1,0),SUM(IFERROR(VALUE(TEXTSPLIT(O625,",")),0)))),0)</f>
        <v/>
      </c>
      <c r="S625">
        <f>IFERROR(L625*MAX(N625,1)/R625*IF(ISBLANK(K623),1,K623),0)</f>
        <v/>
      </c>
      <c r="AB625" s="7" t="inlineStr">
        <is>
          <t>^Warhead_Bullet_Light, ^Warhead_Bullet_Medium</t>
        </is>
      </c>
    </row>
    <row r="626">
      <c r="A626" t="inlineStr">
        <is>
          <t>tiberiansun</t>
        </is>
      </c>
      <c r="B626" t="inlineStr">
        <is>
          <t>forgotten_tiberianfiend</t>
        </is>
      </c>
      <c r="C626" t="inlineStr">
        <is>
          <t>actor_forgotten_tiberianfiend.name</t>
        </is>
      </c>
      <c r="D626" s="6" t="inlineStr">
        <is>
          <t>HeavyInfantry</t>
        </is>
      </c>
      <c r="E626" s="6" t="n">
        <v>80000</v>
      </c>
      <c r="F626" s="6" t="n">
        <v>60</v>
      </c>
      <c r="G626" t="inlineStr">
        <is>
          <t>Plate</t>
        </is>
      </c>
      <c r="H626" s="6" t="n">
        <v>0.8376</v>
      </c>
      <c r="I626" s="6" t="n">
        <v>1</v>
      </c>
      <c r="J626" s="6" t="n">
        <v>1</v>
      </c>
      <c r="P626">
        <f>MAX(P627,P629)</f>
        <v/>
      </c>
      <c r="S626">
        <f>S627+S629</f>
        <v/>
      </c>
      <c r="T626">
        <f>(E626/100000+F626/100+(P626/1000)*J626/5+S626/200)*200*I626*H626</f>
        <v/>
      </c>
      <c r="U626">
        <f>((E626*F626/25000)+((P626/1000)*J626*S626/2.5))*I626*H626</f>
        <v/>
      </c>
      <c r="V626">
        <f>(E626*F626*(P626/1000)*J626*S626*I626*H626)/12500000</f>
        <v/>
      </c>
      <c r="W626">
        <f>(T626+U626+V626)/3</f>
        <v/>
      </c>
      <c r="X626" s="6" t="n">
        <v>1000</v>
      </c>
      <c r="Y626">
        <f>IFERROR(W626-X626,"")</f>
        <v/>
      </c>
      <c r="Z626">
        <f>IFERROR(ABS(Y626)/MAX(X626,1),"")</f>
        <v/>
      </c>
      <c r="AA626">
        <f>IFERROR((X626-(((E626/100000+F626/100+S626/200)*200*I626*H626)+((E626*F626/25000)*I626*H626))/3)/(((J626/5)*200*I626*H626)+((J626*S626/2.5)*I626*H626)+((E626*F626*J626*S626*I626*H626)/12500000))/3*1000,"")</f>
        <v/>
      </c>
    </row>
    <row r="627">
      <c r="B627" s="7" t="inlineStr">
        <is>
          <t xml:space="preserve">  ↳ TSFiendShard</t>
        </is>
      </c>
      <c r="C627" s="7" t="inlineStr">
        <is>
          <t>Armament@PRIMARY</t>
        </is>
      </c>
      <c r="L627" s="6" t="n">
        <v>6000</v>
      </c>
      <c r="M627" s="6" t="n">
        <v>36</v>
      </c>
      <c r="N627" s="6" t="n">
        <v>3</v>
      </c>
      <c r="O627" s="6" t="n">
        <v>2</v>
      </c>
      <c r="P627" s="6" t="n">
        <v>5690</v>
      </c>
      <c r="Q627" s="6" t="n">
        <v>0.75</v>
      </c>
      <c r="R627">
        <f>M627+IF(MAX(N627-1,0)&gt;0,IF(ISBLANK(O627),5*MAX(N627-1,0),IF(ISNUMBER(O627),O627*MAX(N627-1,0),SUM(IFERROR(VALUE(TEXTSPLIT(O627,",")),0)))),0)</f>
        <v/>
      </c>
      <c r="S627">
        <f>IFERROR(L627*MAX(N627,1)/R627*IF(ISBLANK(K626),1,K626),0)</f>
        <v/>
      </c>
      <c r="AB627" s="7" t="inlineStr">
        <is>
          <t>^Warhead_Chemical_Light</t>
        </is>
      </c>
    </row>
    <row r="628">
      <c r="B628" s="7" t="inlineStr">
        <is>
          <t xml:space="preserve">  ↳ TSFiendShard</t>
        </is>
      </c>
      <c r="C628" s="7" t="inlineStr">
        <is>
          <t>Armament@GARRISONED</t>
        </is>
      </c>
      <c r="L628" s="6" t="n">
        <v>6000</v>
      </c>
      <c r="M628" s="6" t="n">
        <v>36</v>
      </c>
      <c r="N628" s="6" t="n">
        <v>3</v>
      </c>
      <c r="O628" s="6" t="n">
        <v>2</v>
      </c>
      <c r="P628" s="6" t="n">
        <v>5690</v>
      </c>
      <c r="Q628" s="6" t="n">
        <v>0.75</v>
      </c>
      <c r="R628">
        <f>M628+IF(MAX(N628-1,0)&gt;0,IF(ISBLANK(O628),5*MAX(N628-1,0),IF(ISNUMBER(O628),O628*MAX(N628-1,0),SUM(IFERROR(VALUE(TEXTSPLIT(O628,",")),0)))),0)</f>
        <v/>
      </c>
      <c r="S628">
        <f>IFERROR(L628*MAX(N628,1)/R628*IF(ISBLANK(K626),1,K626),0)</f>
        <v/>
      </c>
      <c r="AB628" s="7" t="inlineStr">
        <is>
          <t>^Warhead_Chemical_Light</t>
        </is>
      </c>
    </row>
    <row r="629">
      <c r="B629" s="7" t="inlineStr">
        <is>
          <t xml:space="preserve">  ↳ TSFiendShardUP</t>
        </is>
      </c>
      <c r="C629" s="7" t="inlineStr">
        <is>
          <t>Armament@UPGRADE</t>
        </is>
      </c>
      <c r="L629" s="6" t="n">
        <v>18000</v>
      </c>
      <c r="M629" s="6" t="n">
        <v>36</v>
      </c>
      <c r="N629" s="6" t="n">
        <v>3</v>
      </c>
      <c r="O629" s="6" t="n">
        <v>2</v>
      </c>
      <c r="P629" s="6" t="n">
        <v>5690</v>
      </c>
      <c r="Q629" s="6" t="n">
        <v>1</v>
      </c>
      <c r="R629">
        <f>M629+IF(MAX(N629-1,0)&gt;0,IF(ISBLANK(O629),5*MAX(N629-1,0),IF(ISNUMBER(O629),O629*MAX(N629-1,0),SUM(IFERROR(VALUE(TEXTSPLIT(O629,",")),0)))),0)</f>
        <v/>
      </c>
      <c r="S629">
        <f>IFERROR(L629*MAX(N629,1)/R629*IF(ISBLANK(K626),1,K626),0)</f>
        <v/>
      </c>
      <c r="AB629" s="7" t="inlineStr">
        <is>
          <t>^LightChemicalWeapon, ^MediumChemicalWeapon, ^HeavyChemicalWeapon</t>
        </is>
      </c>
    </row>
    <row r="630">
      <c r="B630" s="7" t="inlineStr">
        <is>
          <t xml:space="preserve">  ↳ TSFiendShardUP</t>
        </is>
      </c>
      <c r="C630" s="7" t="inlineStr">
        <is>
          <t>Armament@GARRISONEDUPGRADE</t>
        </is>
      </c>
      <c r="L630" s="6" t="n">
        <v>18000</v>
      </c>
      <c r="M630" s="6" t="n">
        <v>36</v>
      </c>
      <c r="N630" s="6" t="n">
        <v>3</v>
      </c>
      <c r="O630" s="6" t="n">
        <v>2</v>
      </c>
      <c r="P630" s="6" t="n">
        <v>5690</v>
      </c>
      <c r="Q630" s="6" t="n">
        <v>1</v>
      </c>
      <c r="R630">
        <f>M630+IF(MAX(N630-1,0)&gt;0,IF(ISBLANK(O630),5*MAX(N630-1,0),IF(ISNUMBER(O630),O630*MAX(N630-1,0),SUM(IFERROR(VALUE(TEXTSPLIT(O630,",")),0)))),0)</f>
        <v/>
      </c>
      <c r="S630">
        <f>IFERROR(L630*MAX(N630,1)/R630*IF(ISBLANK(K626),1,K626),0)</f>
        <v/>
      </c>
      <c r="AB630" s="7" t="inlineStr">
        <is>
          <t>^LightChemicalWeapon, ^MediumChemicalWeapon, ^HeavyChemicalWeapon</t>
        </is>
      </c>
    </row>
    <row r="631">
      <c r="A631" t="inlineStr">
        <is>
          <t>tiberiansun</t>
        </is>
      </c>
      <c r="B631" t="inlineStr">
        <is>
          <t>forgotten_tiberianfiend_wild</t>
        </is>
      </c>
      <c r="C631" t="inlineStr">
        <is>
          <t>actor_forgotten_tiberianfiend.name</t>
        </is>
      </c>
      <c r="D631" s="6" t="inlineStr">
        <is>
          <t>HeavyInfantry</t>
        </is>
      </c>
      <c r="E631" s="6" t="n">
        <v>80000</v>
      </c>
      <c r="F631" s="6" t="n">
        <v>60</v>
      </c>
      <c r="G631" t="inlineStr">
        <is>
          <t>Plate</t>
        </is>
      </c>
      <c r="H631" s="6" t="n">
        <v>1</v>
      </c>
      <c r="I631" s="6" t="n">
        <v>1</v>
      </c>
      <c r="J631" s="6" t="n">
        <v>1</v>
      </c>
      <c r="P631">
        <f>MAX(P632,P634)</f>
        <v/>
      </c>
      <c r="S631">
        <f>S632+S634</f>
        <v/>
      </c>
      <c r="T631">
        <f>(E631/100000+F631/100+(P631/1000)*J631/5+S631/200)*200*I631*H631</f>
        <v/>
      </c>
      <c r="U631">
        <f>((E631*F631/25000)+((P631/1000)*J631*S631/2.5))*I631*H631</f>
        <v/>
      </c>
      <c r="V631">
        <f>(E631*F631*(P631/1000)*J631*S631*I631*H631)/12500000</f>
        <v/>
      </c>
      <c r="W631">
        <f>(T631+U631+V631)/3</f>
        <v/>
      </c>
      <c r="X631" s="6" t="n">
        <v>1000</v>
      </c>
      <c r="Y631">
        <f>IFERROR(W631-X631,"")</f>
        <v/>
      </c>
      <c r="Z631">
        <f>IFERROR(ABS(Y631)/MAX(X631,1),"")</f>
        <v/>
      </c>
      <c r="AA631">
        <f>IFERROR((X631-(((E631/100000+F631/100+S631/200)*200*I631*H631)+((E631*F631/25000)*I631*H631))/3)/(((J631/5)*200*I631*H631)+((J631*S631/2.5)*I631*H631)+((E631*F631*J631*S631*I631*H631)/12500000))/3*1000,"")</f>
        <v/>
      </c>
    </row>
    <row r="632">
      <c r="B632" s="7" t="inlineStr">
        <is>
          <t xml:space="preserve">  ↳ TSFiendShard</t>
        </is>
      </c>
      <c r="C632" s="7" t="inlineStr">
        <is>
          <t>Armament@PRIMARY</t>
        </is>
      </c>
      <c r="L632" s="6" t="n">
        <v>6000</v>
      </c>
      <c r="M632" s="6" t="n">
        <v>36</v>
      </c>
      <c r="N632" s="6" t="n">
        <v>3</v>
      </c>
      <c r="O632" s="6" t="n">
        <v>2</v>
      </c>
      <c r="P632" s="6" t="n">
        <v>5690</v>
      </c>
      <c r="Q632" s="6" t="n">
        <v>0.75</v>
      </c>
      <c r="R632">
        <f>M632+IF(MAX(N632-1,0)&gt;0,IF(ISBLANK(O632),5*MAX(N632-1,0),IF(ISNUMBER(O632),O632*MAX(N632-1,0),SUM(IFERROR(VALUE(TEXTSPLIT(O632,",")),0)))),0)</f>
        <v/>
      </c>
      <c r="S632">
        <f>IFERROR(L632*MAX(N632,1)/R632*IF(ISBLANK(K631),1,K631),0)</f>
        <v/>
      </c>
      <c r="AB632" s="7" t="inlineStr">
        <is>
          <t>^Warhead_Chemical_Light</t>
        </is>
      </c>
    </row>
    <row r="633">
      <c r="B633" s="7" t="inlineStr">
        <is>
          <t xml:space="preserve">  ↳ TSFiendShard</t>
        </is>
      </c>
      <c r="C633" s="7" t="inlineStr">
        <is>
          <t>Armament@GARRISONED</t>
        </is>
      </c>
      <c r="L633" s="6" t="n">
        <v>6000</v>
      </c>
      <c r="M633" s="6" t="n">
        <v>36</v>
      </c>
      <c r="N633" s="6" t="n">
        <v>3</v>
      </c>
      <c r="O633" s="6" t="n">
        <v>2</v>
      </c>
      <c r="P633" s="6" t="n">
        <v>5690</v>
      </c>
      <c r="Q633" s="6" t="n">
        <v>0.75</v>
      </c>
      <c r="R633">
        <f>M633+IF(MAX(N633-1,0)&gt;0,IF(ISBLANK(O633),5*MAX(N633-1,0),IF(ISNUMBER(O633),O633*MAX(N633-1,0),SUM(IFERROR(VALUE(TEXTSPLIT(O633,",")),0)))),0)</f>
        <v/>
      </c>
      <c r="S633">
        <f>IFERROR(L633*MAX(N633,1)/R633*IF(ISBLANK(K631),1,K631),0)</f>
        <v/>
      </c>
      <c r="AB633" s="7" t="inlineStr">
        <is>
          <t>^Warhead_Chemical_Light</t>
        </is>
      </c>
    </row>
    <row r="634">
      <c r="B634" s="7" t="inlineStr">
        <is>
          <t xml:space="preserve">  ↳ TSFiendShardUP</t>
        </is>
      </c>
      <c r="C634" s="7" t="inlineStr">
        <is>
          <t>Armament@UPGRADE</t>
        </is>
      </c>
      <c r="L634" s="6" t="n">
        <v>18000</v>
      </c>
      <c r="M634" s="6" t="n">
        <v>36</v>
      </c>
      <c r="N634" s="6" t="n">
        <v>3</v>
      </c>
      <c r="O634" s="6" t="n">
        <v>2</v>
      </c>
      <c r="P634" s="6" t="n">
        <v>5690</v>
      </c>
      <c r="Q634" s="6" t="n">
        <v>1</v>
      </c>
      <c r="R634">
        <f>M634+IF(MAX(N634-1,0)&gt;0,IF(ISBLANK(O634),5*MAX(N634-1,0),IF(ISNUMBER(O634),O634*MAX(N634-1,0),SUM(IFERROR(VALUE(TEXTSPLIT(O634,",")),0)))),0)</f>
        <v/>
      </c>
      <c r="S634">
        <f>IFERROR(L634*MAX(N634,1)/R634*IF(ISBLANK(K631),1,K631),0)</f>
        <v/>
      </c>
      <c r="AB634" s="7" t="inlineStr">
        <is>
          <t>^LightChemicalWeapon, ^MediumChemicalWeapon, ^HeavyChemicalWeapon</t>
        </is>
      </c>
    </row>
    <row r="635">
      <c r="B635" s="7" t="inlineStr">
        <is>
          <t xml:space="preserve">  ↳ TSFiendShardUP</t>
        </is>
      </c>
      <c r="C635" s="7" t="inlineStr">
        <is>
          <t>Armament@GARRISONEDUPGRADE</t>
        </is>
      </c>
      <c r="L635" s="6" t="n">
        <v>18000</v>
      </c>
      <c r="M635" s="6" t="n">
        <v>36</v>
      </c>
      <c r="N635" s="6" t="n">
        <v>3</v>
      </c>
      <c r="O635" s="6" t="n">
        <v>2</v>
      </c>
      <c r="P635" s="6" t="n">
        <v>5690</v>
      </c>
      <c r="Q635" s="6" t="n">
        <v>1</v>
      </c>
      <c r="R635">
        <f>M635+IF(MAX(N635-1,0)&gt;0,IF(ISBLANK(O635),5*MAX(N635-1,0),IF(ISNUMBER(O635),O635*MAX(N635-1,0),SUM(IFERROR(VALUE(TEXTSPLIT(O635,",")),0)))),0)</f>
        <v/>
      </c>
      <c r="S635">
        <f>IFERROR(L635*MAX(N635,1)/R635*IF(ISBLANK(K631),1,K631),0)</f>
        <v/>
      </c>
      <c r="AB635" s="7" t="inlineStr">
        <is>
          <t>^LightChemicalWeapon, ^MediumChemicalWeapon, ^HeavyChemicalWeapon</t>
        </is>
      </c>
    </row>
    <row r="636">
      <c r="A636" t="inlineStr">
        <is>
          <t>tiberiansun</t>
        </is>
      </c>
      <c r="B636" t="inlineStr">
        <is>
          <t>forgotten_viniferafiend</t>
        </is>
      </c>
      <c r="C636" t="inlineStr">
        <is>
          <t>actor_forgotten_viniferafiend.name</t>
        </is>
      </c>
      <c r="D636" s="6" t="inlineStr">
        <is>
          <t>HeavyInfantry</t>
        </is>
      </c>
      <c r="E636" s="6" t="n">
        <v>100000</v>
      </c>
      <c r="F636" s="6" t="n">
        <v>60</v>
      </c>
      <c r="G636" t="inlineStr">
        <is>
          <t>Plate</t>
        </is>
      </c>
      <c r="H636" s="6" t="n">
        <v>0.8376</v>
      </c>
      <c r="I636" s="6" t="n">
        <v>1</v>
      </c>
      <c r="J636" s="6" t="n">
        <v>1</v>
      </c>
      <c r="P636">
        <f>MAX(P637,P639)</f>
        <v/>
      </c>
      <c r="S636">
        <f>S637+S639</f>
        <v/>
      </c>
      <c r="T636">
        <f>(E636/100000+F636/100+(P636/1000)*J636/5+S636/200)*200*I636*H636</f>
        <v/>
      </c>
      <c r="U636">
        <f>((E636*F636/25000)+((P636/1000)*J636*S636/2.5))*I636*H636</f>
        <v/>
      </c>
      <c r="V636">
        <f>(E636*F636*(P636/1000)*J636*S636*I636*H636)/12500000</f>
        <v/>
      </c>
      <c r="W636">
        <f>(T636+U636+V636)/3</f>
        <v/>
      </c>
      <c r="X636" s="6" t="n">
        <v>2000</v>
      </c>
      <c r="Y636">
        <f>IFERROR(W636-X636,"")</f>
        <v/>
      </c>
      <c r="Z636">
        <f>IFERROR(ABS(Y636)/MAX(X636,1),"")</f>
        <v/>
      </c>
      <c r="AA636">
        <f>IFERROR((X636-(((E636/100000+F636/100+S636/200)*200*I636*H636)+((E636*F636/25000)*I636*H636))/3)/(((J636/5)*200*I636*H636)+((J636*S636/2.5)*I636*H636)+((E636*F636*J636*S636*I636*H636)/12500000))/3*1000,"")</f>
        <v/>
      </c>
    </row>
    <row r="637">
      <c r="B637" s="7" t="inlineStr">
        <is>
          <t xml:space="preserve">  ↳ TSFiendShardBlue</t>
        </is>
      </c>
      <c r="C637" s="7" t="inlineStr">
        <is>
          <t>Armament@PRIMARY</t>
        </is>
      </c>
      <c r="L637" s="6" t="n">
        <v>24000</v>
      </c>
      <c r="M637" s="6" t="n">
        <v>36</v>
      </c>
      <c r="N637" s="6" t="n">
        <v>3</v>
      </c>
      <c r="O637" s="6" t="n">
        <v>2</v>
      </c>
      <c r="P637" s="6" t="n">
        <v>6096</v>
      </c>
      <c r="Q637" s="6" t="n">
        <v>1</v>
      </c>
      <c r="R637">
        <f>M637+IF(MAX(N637-1,0)&gt;0,IF(ISBLANK(O637),5*MAX(N637-1,0),IF(ISNUMBER(O637),O637*MAX(N637-1,0),SUM(IFERROR(VALUE(TEXTSPLIT(O637,",")),0)))),0)</f>
        <v/>
      </c>
      <c r="S637">
        <f>IFERROR(L637*MAX(N637,1)/R637*IF(ISBLANK(K636),1,K636),0)</f>
        <v/>
      </c>
      <c r="AB637" s="7" t="inlineStr">
        <is>
          <t>^Grenade, ^ShrapnelWeapon, ^LightChemicalWeapon, ^MediumChemicalWeapon</t>
        </is>
      </c>
    </row>
    <row r="638">
      <c r="B638" s="7" t="inlineStr">
        <is>
          <t xml:space="preserve">  ↳ TSFiendShardBlue</t>
        </is>
      </c>
      <c r="C638" s="7" t="inlineStr">
        <is>
          <t>Armament@GARRISONED</t>
        </is>
      </c>
      <c r="L638" s="6" t="n">
        <v>24000</v>
      </c>
      <c r="M638" s="6" t="n">
        <v>36</v>
      </c>
      <c r="N638" s="6" t="n">
        <v>3</v>
      </c>
      <c r="O638" s="6" t="n">
        <v>2</v>
      </c>
      <c r="P638" s="6" t="n">
        <v>6096</v>
      </c>
      <c r="Q638" s="6" t="n">
        <v>1</v>
      </c>
      <c r="R638">
        <f>M638+IF(MAX(N638-1,0)&gt;0,IF(ISBLANK(O638),5*MAX(N638-1,0),IF(ISNUMBER(O638),O638*MAX(N638-1,0),SUM(IFERROR(VALUE(TEXTSPLIT(O638,",")),0)))),0)</f>
        <v/>
      </c>
      <c r="S638">
        <f>IFERROR(L638*MAX(N638,1)/R638*IF(ISBLANK(K636),1,K636),0)</f>
        <v/>
      </c>
      <c r="AB638" s="7" t="inlineStr">
        <is>
          <t>^Grenade, ^ShrapnelWeapon, ^LightChemicalWeapon, ^MediumChemicalWeapon</t>
        </is>
      </c>
    </row>
    <row r="639">
      <c r="B639" s="7" t="inlineStr">
        <is>
          <t xml:space="preserve">  ↳ TSFiendShardBlueUP</t>
        </is>
      </c>
      <c r="C639" s="7" t="inlineStr">
        <is>
          <t>Armament@UPGRADE</t>
        </is>
      </c>
      <c r="L639" s="6" t="n">
        <v>36000</v>
      </c>
      <c r="M639" s="6" t="n">
        <v>36</v>
      </c>
      <c r="N639" s="6" t="n">
        <v>3</v>
      </c>
      <c r="O639" s="6" t="n">
        <v>2</v>
      </c>
      <c r="P639" s="6" t="n">
        <v>6096</v>
      </c>
      <c r="Q639" s="6" t="n">
        <v>1</v>
      </c>
      <c r="R639">
        <f>M639+IF(MAX(N639-1,0)&gt;0,IF(ISBLANK(O639),5*MAX(N639-1,0),IF(ISNUMBER(O639),O639*MAX(N639-1,0),SUM(IFERROR(VALUE(TEXTSPLIT(O639,",")),0)))),0)</f>
        <v/>
      </c>
      <c r="S639">
        <f>IFERROR(L639*MAX(N639,1)/R639*IF(ISBLANK(K636),1,K636),0)</f>
        <v/>
      </c>
      <c r="AB639" s="7" t="inlineStr">
        <is>
          <t>^Grenade, ^ShrapnelWeapon, ^LightChemicalWeapon, ^MediumChemicalWeapon, ^HeavyChemicalWeapon, ^HeavyBomb</t>
        </is>
      </c>
    </row>
    <row r="640">
      <c r="B640" s="7" t="inlineStr">
        <is>
          <t xml:space="preserve">  ↳ TSFiendShardBlueUP</t>
        </is>
      </c>
      <c r="C640" s="7" t="inlineStr">
        <is>
          <t>Armament@GARRISONEDUPGRADE</t>
        </is>
      </c>
      <c r="L640" s="6" t="n">
        <v>36000</v>
      </c>
      <c r="M640" s="6" t="n">
        <v>36</v>
      </c>
      <c r="N640" s="6" t="n">
        <v>3</v>
      </c>
      <c r="O640" s="6" t="n">
        <v>2</v>
      </c>
      <c r="P640" s="6" t="n">
        <v>6096</v>
      </c>
      <c r="Q640" s="6" t="n">
        <v>1</v>
      </c>
      <c r="R640">
        <f>M640+IF(MAX(N640-1,0)&gt;0,IF(ISBLANK(O640),5*MAX(N640-1,0),IF(ISNUMBER(O640),O640*MAX(N640-1,0),SUM(IFERROR(VALUE(TEXTSPLIT(O640,",")),0)))),0)</f>
        <v/>
      </c>
      <c r="S640">
        <f>IFERROR(L640*MAX(N640,1)/R640*IF(ISBLANK(K636),1,K636),0)</f>
        <v/>
      </c>
      <c r="AB640" s="7" t="inlineStr">
        <is>
          <t>^Grenade, ^ShrapnelWeapon, ^LightChemicalWeapon, ^MediumChemicalWeapon, ^HeavyChemicalWeapon, ^HeavyBomb</t>
        </is>
      </c>
    </row>
    <row r="641">
      <c r="A641" t="inlineStr">
        <is>
          <t>shared</t>
        </is>
      </c>
      <c r="B641" t="inlineStr">
        <is>
          <t>ra2shk.bot</t>
        </is>
      </c>
      <c r="C641" t="inlineStr">
        <is>
          <t>Tesla Coil Charger</t>
        </is>
      </c>
      <c r="D641" s="6" t="inlineStr">
        <is>
          <t>HeavyInfantry</t>
        </is>
      </c>
      <c r="E641" s="6" t="n">
        <v>48000</v>
      </c>
      <c r="F641" s="6" t="n">
        <v>38</v>
      </c>
      <c r="G641" t="inlineStr">
        <is>
          <t>Plate</t>
        </is>
      </c>
      <c r="H641" s="6" t="n">
        <v>1</v>
      </c>
      <c r="I641" s="6" t="n">
        <v>1</v>
      </c>
      <c r="J641" s="6" t="n">
        <v>1</v>
      </c>
      <c r="X641" s="6" t="n">
        <v>500</v>
      </c>
    </row>
    <row r="642">
      <c r="B642" s="7" t="inlineStr">
        <is>
          <t xml:space="preserve">  ↳ RA2TeslaCoilCharge_cosmetic</t>
        </is>
      </c>
      <c r="C642" s="7" t="inlineStr">
        <is>
          <t>Armament@TeslaCoilCharge</t>
        </is>
      </c>
      <c r="M642" s="6" t="n">
        <v>100</v>
      </c>
      <c r="N642" s="6" t="n">
        <v>1</v>
      </c>
      <c r="O642" s="6" t="n"/>
      <c r="P642" s="6" t="n">
        <v>3333</v>
      </c>
      <c r="Q642" s="6" t="n">
        <v>1</v>
      </c>
      <c r="R642">
        <f>M642+IF(MAX(N642-1,0)&gt;0,IF(ISBLANK(O642),5*MAX(N642-1,0),IF(ISNUMBER(O642),O642*MAX(N642-1,0),SUM(IFERROR(VALUE(TEXTSPLIT(O642,",")),0)))),0)</f>
        <v/>
      </c>
      <c r="S642">
        <f>IFERROR(L642*MAX(N642,1)/R642*IF(ISBLANK(K641),1,K641),0)</f>
        <v/>
      </c>
      <c r="AB642" s="7" t="inlineStr"/>
    </row>
    <row r="643">
      <c r="A643" t="inlineStr">
        <is>
          <t>shared</t>
        </is>
      </c>
      <c r="B643" t="inlineStr">
        <is>
          <t>ra2shkhero</t>
        </is>
      </c>
      <c r="C643" t="inlineStr">
        <is>
          <t>Tesla Commando</t>
        </is>
      </c>
      <c r="D643" s="6" t="inlineStr">
        <is>
          <t>HeavyInfantry</t>
        </is>
      </c>
      <c r="E643" s="6" t="n">
        <v>45000</v>
      </c>
      <c r="F643" s="6" t="n">
        <v>38</v>
      </c>
      <c r="G643" t="inlineStr">
        <is>
          <t>Plate</t>
        </is>
      </c>
      <c r="H643" s="6" t="n">
        <v>1</v>
      </c>
      <c r="I643" s="6" t="n">
        <v>1</v>
      </c>
      <c r="J643" s="6" t="n">
        <v>1</v>
      </c>
      <c r="P643">
        <f>MAX(P644,P645,P646,P647)</f>
        <v/>
      </c>
      <c r="S643">
        <f>S644+S645+S646+S647</f>
        <v/>
      </c>
      <c r="T643">
        <f>(E643/100000+F643/100+(P643/1000)*J643/5+S643/200)*200*I643*H643</f>
        <v/>
      </c>
      <c r="U643">
        <f>((E643*F643/25000)+((P643/1000)*J643*S643/2.5))*I643*H643</f>
        <v/>
      </c>
      <c r="V643">
        <f>(E643*F643*(P643/1000)*J643*S643*I643*H643)/12500000</f>
        <v/>
      </c>
      <c r="W643">
        <f>(T643+U643+V643)/3</f>
        <v/>
      </c>
      <c r="X643" s="6" t="n">
        <v>1000</v>
      </c>
      <c r="Y643">
        <f>IFERROR(W643-X643,"")</f>
        <v/>
      </c>
      <c r="Z643">
        <f>IFERROR(ABS(Y643)/MAX(X643,1),"")</f>
        <v/>
      </c>
      <c r="AA643">
        <f>IFERROR((X643-(((E643/100000+F643/100+S643/200)*200*I643*H643)+((E643*F643/25000)*I643*H643))/3)/(((J643/5)*200*I643*H643)+((J643*S643/2.5)*I643*H643)+((E643*F643*J643*S643*I643*H643)/12500000))/3*1000,"")</f>
        <v/>
      </c>
    </row>
    <row r="644">
      <c r="B644" s="7" t="inlineStr">
        <is>
          <t xml:space="preserve">  ↳ RA2PortaTesla</t>
        </is>
      </c>
      <c r="C644" s="7" t="inlineStr">
        <is>
          <t>Armament@PRIMARY</t>
        </is>
      </c>
      <c r="L644" s="6" t="n">
        <v>24000</v>
      </c>
      <c r="M644" s="6" t="n">
        <v>100</v>
      </c>
      <c r="N644" s="6" t="n">
        <v>1</v>
      </c>
      <c r="O644" s="6" t="n"/>
      <c r="P644" s="6" t="n">
        <v>5222</v>
      </c>
      <c r="Q644" s="6" t="n">
        <v>1.25</v>
      </c>
      <c r="R644">
        <f>M644+IF(MAX(N644-1,0)&gt;0,IF(ISBLANK(O644),5*MAX(N644-1,0),IF(ISNUMBER(O644),O644*MAX(N644-1,0),SUM(IFERROR(VALUE(TEXTSPLIT(O644,",")),0)))),0)</f>
        <v/>
      </c>
      <c r="S644">
        <f>IFERROR(L644*MAX(N644,1)/R644*IF(ISBLANK(K643),1,K643),0)</f>
        <v/>
      </c>
      <c r="AB644" s="7" t="inlineStr">
        <is>
          <t>^Warhead_Tesla_Heavy</t>
        </is>
      </c>
    </row>
    <row r="645">
      <c r="B645" s="7" t="inlineStr">
        <is>
          <t xml:space="preserve">  ↳ RA2PortaTesla2</t>
        </is>
      </c>
      <c r="C645" s="7" t="inlineStr">
        <is>
          <t>Armament@PRIMARY2</t>
        </is>
      </c>
      <c r="L645" s="6" t="n">
        <v>24000</v>
      </c>
      <c r="M645" s="6" t="n">
        <v>100</v>
      </c>
      <c r="N645" s="6" t="n">
        <v>1</v>
      </c>
      <c r="O645" s="6" t="n"/>
      <c r="P645" s="6" t="n">
        <v>5777</v>
      </c>
      <c r="Q645" s="6" t="n">
        <v>1.25</v>
      </c>
      <c r="R645">
        <f>M645+IF(MAX(N645-1,0)&gt;0,IF(ISBLANK(O645),5*MAX(N645-1,0),IF(ISNUMBER(O645),O645*MAX(N645-1,0),SUM(IFERROR(VALUE(TEXTSPLIT(O645,",")),0)))),0)</f>
        <v/>
      </c>
      <c r="S645">
        <f>IFERROR(L645*MAX(N645,1)/R645*IF(ISBLANK(K643),1,K643),0)</f>
        <v/>
      </c>
      <c r="AB645" s="7" t="inlineStr">
        <is>
          <t>^Warhead_Tesla_Heavy</t>
        </is>
      </c>
    </row>
    <row r="646">
      <c r="B646" s="7" t="inlineStr">
        <is>
          <t xml:space="preserve">  ↳ RA2PortaTesla3</t>
        </is>
      </c>
      <c r="C646" s="7" t="inlineStr">
        <is>
          <t>Armament@PRIMARY3</t>
        </is>
      </c>
      <c r="L646" s="6" t="n">
        <v>24000</v>
      </c>
      <c r="M646" s="6" t="n">
        <v>100</v>
      </c>
      <c r="N646" s="6" t="n">
        <v>1</v>
      </c>
      <c r="O646" s="6" t="n"/>
      <c r="P646" s="6" t="n">
        <v>6222</v>
      </c>
      <c r="Q646" s="6" t="n">
        <v>1.25</v>
      </c>
      <c r="R646">
        <f>M646+IF(MAX(N646-1,0)&gt;0,IF(ISBLANK(O646),5*MAX(N646-1,0),IF(ISNUMBER(O646),O646*MAX(N646-1,0),SUM(IFERROR(VALUE(TEXTSPLIT(O646,",")),0)))),0)</f>
        <v/>
      </c>
      <c r="S646">
        <f>IFERROR(L646*MAX(N646,1)/R646*IF(ISBLANK(K643),1,K643),0)</f>
        <v/>
      </c>
      <c r="AB646" s="7" t="inlineStr">
        <is>
          <t>^Warhead_Tesla_Heavy</t>
        </is>
      </c>
    </row>
    <row r="647">
      <c r="B647" s="7" t="inlineStr">
        <is>
          <t xml:space="preserve">  ↳ RA2TeslaCoilCharge</t>
        </is>
      </c>
      <c r="C647" s="7" t="inlineStr">
        <is>
          <t>Armament@TeslaCoilCharge</t>
        </is>
      </c>
      <c r="L647" t="n">
        <v>-1</v>
      </c>
      <c r="M647" s="6" t="n">
        <v>25</v>
      </c>
      <c r="N647" s="6" t="n">
        <v>1</v>
      </c>
      <c r="O647" s="6" t="n"/>
      <c r="P647" s="6" t="n">
        <v>3333</v>
      </c>
      <c r="Q647" s="6" t="n">
        <v>1</v>
      </c>
      <c r="R647">
        <f>M647+IF(MAX(N647-1,0)&gt;0,IF(ISBLANK(O647),5*MAX(N647-1,0),IF(ISNUMBER(O647),O647*MAX(N647-1,0),SUM(IFERROR(VALUE(TEXTSPLIT(O647,",")),0)))),0)</f>
        <v/>
      </c>
      <c r="S647">
        <f>IFERROR(L647*MAX(N647,1)/R647*IF(ISBLANK(K643),1,K643),0)</f>
        <v/>
      </c>
      <c r="AB647" s="7" t="inlineStr"/>
    </row>
    <row r="648">
      <c r="B648" s="7" t="inlineStr">
        <is>
          <t xml:space="preserve">  ↳ RA2PortaTesla</t>
        </is>
      </c>
      <c r="C648" s="7" t="inlineStr">
        <is>
          <t>Armament@GARRISONED</t>
        </is>
      </c>
      <c r="L648" s="6" t="n">
        <v>24000</v>
      </c>
      <c r="M648" s="6" t="n">
        <v>100</v>
      </c>
      <c r="N648" s="6" t="n">
        <v>1</v>
      </c>
      <c r="O648" s="6" t="n"/>
      <c r="P648" s="6" t="n">
        <v>5222</v>
      </c>
      <c r="Q648" s="6" t="n">
        <v>1.25</v>
      </c>
      <c r="R648">
        <f>M648+IF(MAX(N648-1,0)&gt;0,IF(ISBLANK(O648),5*MAX(N648-1,0),IF(ISNUMBER(O648),O648*MAX(N648-1,0),SUM(IFERROR(VALUE(TEXTSPLIT(O648,",")),0)))),0)</f>
        <v/>
      </c>
      <c r="S648">
        <f>IFERROR(L648*MAX(N648,1)/R648*IF(ISBLANK(K643),1,K643),0)</f>
        <v/>
      </c>
      <c r="AB648" s="7" t="inlineStr">
        <is>
          <t>^Warhead_Tesla_Heavy</t>
        </is>
      </c>
    </row>
    <row r="649">
      <c r="B649" s="7" t="inlineStr">
        <is>
          <t xml:space="preserve">  ↳ RA2PortaTesla2</t>
        </is>
      </c>
      <c r="C649" s="7" t="inlineStr">
        <is>
          <t>Armament@GARRISONED2</t>
        </is>
      </c>
      <c r="L649" s="6" t="n">
        <v>24000</v>
      </c>
      <c r="M649" s="6" t="n">
        <v>100</v>
      </c>
      <c r="N649" s="6" t="n">
        <v>1</v>
      </c>
      <c r="O649" s="6" t="n"/>
      <c r="P649" s="6" t="n">
        <v>5777</v>
      </c>
      <c r="Q649" s="6" t="n">
        <v>1.25</v>
      </c>
      <c r="R649">
        <f>M649+IF(MAX(N649-1,0)&gt;0,IF(ISBLANK(O649),5*MAX(N649-1,0),IF(ISNUMBER(O649),O649*MAX(N649-1,0),SUM(IFERROR(VALUE(TEXTSPLIT(O649,",")),0)))),0)</f>
        <v/>
      </c>
      <c r="S649">
        <f>IFERROR(L649*MAX(N649,1)/R649*IF(ISBLANK(K643),1,K643),0)</f>
        <v/>
      </c>
      <c r="AB649" s="7" t="inlineStr">
        <is>
          <t>^Warhead_Tesla_Heavy</t>
        </is>
      </c>
    </row>
    <row r="650">
      <c r="B650" s="7" t="inlineStr">
        <is>
          <t xml:space="preserve">  ↳ RA2PortaTesla3</t>
        </is>
      </c>
      <c r="C650" s="7" t="inlineStr">
        <is>
          <t>Armament@GARRISONED3</t>
        </is>
      </c>
      <c r="L650" s="6" t="n">
        <v>24000</v>
      </c>
      <c r="M650" s="6" t="n">
        <v>100</v>
      </c>
      <c r="N650" s="6" t="n">
        <v>1</v>
      </c>
      <c r="O650" s="6" t="n"/>
      <c r="P650" s="6" t="n">
        <v>6222</v>
      </c>
      <c r="Q650" s="6" t="n">
        <v>1.25</v>
      </c>
      <c r="R650">
        <f>M650+IF(MAX(N650-1,0)&gt;0,IF(ISBLANK(O650),5*MAX(N650-1,0),IF(ISNUMBER(O650),O650*MAX(N650-1,0),SUM(IFERROR(VALUE(TEXTSPLIT(O650,",")),0)))),0)</f>
        <v/>
      </c>
      <c r="S650">
        <f>IFERROR(L650*MAX(N650,1)/R650*IF(ISBLANK(K643),1,K643),0)</f>
        <v/>
      </c>
      <c r="AB650" s="7" t="inlineStr">
        <is>
          <t>^Warhead_Tesla_Heavy</t>
        </is>
      </c>
    </row>
    <row r="651">
      <c r="B651" s="7" t="inlineStr">
        <is>
          <t xml:space="preserve">  ↳ GenericC4</t>
        </is>
      </c>
      <c r="C651" s="7" t="inlineStr">
        <is>
          <t>Armament@c4building</t>
        </is>
      </c>
      <c r="M651" s="6" t="n">
        <v>20</v>
      </c>
      <c r="N651" s="6" t="n">
        <v>1</v>
      </c>
      <c r="O651" s="6" t="n"/>
      <c r="P651" s="6" t="n">
        <v>2000</v>
      </c>
      <c r="Q651" s="6" t="n">
        <v>1</v>
      </c>
      <c r="R651">
        <f>M651+IF(MAX(N651-1,0)&gt;0,IF(ISBLANK(O651),5*MAX(N651-1,0),IF(ISNUMBER(O651),O651*MAX(N651-1,0),SUM(IFERROR(VALUE(TEXTSPLIT(O651,",")),0)))),0)</f>
        <v/>
      </c>
      <c r="S651">
        <f>IFERROR(L651*MAX(N651,1)/R651*IF(ISBLANK(K643),1,K643),0)</f>
        <v/>
      </c>
      <c r="AB651" s="7" t="inlineStr"/>
    </row>
    <row r="652">
      <c r="A652" t="inlineStr">
        <is>
          <t>redalert2</t>
        </is>
      </c>
      <c r="B652" t="inlineStr">
        <is>
          <t>ra2_allies_chronolegionnaire</t>
        </is>
      </c>
      <c r="C652" t="inlineStr">
        <is>
          <t>Chrono Legionnaire</t>
        </is>
      </c>
      <c r="D652" s="6" t="inlineStr">
        <is>
          <t>HeavyInfantry</t>
        </is>
      </c>
      <c r="E652" s="6" t="n">
        <v>35000</v>
      </c>
      <c r="F652" s="6" t="n">
        <v>35</v>
      </c>
      <c r="G652" t="inlineStr">
        <is>
          <t>Plate</t>
        </is>
      </c>
      <c r="H652" s="6" t="n">
        <v>0.5305</v>
      </c>
      <c r="I652" s="6" t="n">
        <v>1</v>
      </c>
      <c r="J652" s="6" t="n">
        <v>1</v>
      </c>
      <c r="X652" s="6" t="n">
        <v>1500</v>
      </c>
    </row>
    <row r="653">
      <c r="B653" s="7" t="inlineStr">
        <is>
          <t xml:space="preserve">  ↳ RA2ChronoTele</t>
        </is>
      </c>
      <c r="C653" s="7" t="inlineStr">
        <is>
          <t>Armament@sound</t>
        </is>
      </c>
      <c r="M653" s="6" t="n">
        <v>180</v>
      </c>
      <c r="N653" s="6" t="n">
        <v>1</v>
      </c>
      <c r="O653" s="6" t="n"/>
      <c r="P653" s="6" t="n">
        <v>5000</v>
      </c>
      <c r="Q653" s="6" t="n">
        <v>1</v>
      </c>
      <c r="R653">
        <f>M653+IF(MAX(N653-1,0)&gt;0,IF(ISBLANK(O653),5*MAX(N653-1,0),IF(ISNUMBER(O653),O653*MAX(N653-1,0),SUM(IFERROR(VALUE(TEXTSPLIT(O653,",")),0)))),0)</f>
        <v/>
      </c>
      <c r="S653">
        <f>IFERROR(L653*MAX(N653,1)/R653*IF(ISBLANK(K652),1,K652),0)</f>
        <v/>
      </c>
      <c r="AB653" s="7" t="inlineStr"/>
    </row>
    <row r="654">
      <c r="B654" s="7" t="inlineStr">
        <is>
          <t xml:space="preserve">  ↳ ChronoBeam</t>
        </is>
      </c>
      <c r="C654" s="7" t="inlineStr">
        <is>
          <t>Armament@PRIMARY</t>
        </is>
      </c>
      <c r="M654" s="6" t="n">
        <v>1</v>
      </c>
      <c r="N654" s="6" t="n">
        <v>1</v>
      </c>
      <c r="O654" s="6" t="n"/>
      <c r="P654" s="6" t="n">
        <v>5000</v>
      </c>
      <c r="Q654" s="6" t="n">
        <v>1</v>
      </c>
      <c r="R654">
        <f>M654+IF(MAX(N654-1,0)&gt;0,IF(ISBLANK(O654),5*MAX(N654-1,0),IF(ISNUMBER(O654),O654*MAX(N654-1,0),SUM(IFERROR(VALUE(TEXTSPLIT(O654,",")),0)))),0)</f>
        <v/>
      </c>
      <c r="S654">
        <f>IFERROR(L654*MAX(N654,1)/R654*IF(ISBLANK(K652),1,K652),0)</f>
        <v/>
      </c>
      <c r="AB654" s="7" t="inlineStr"/>
    </row>
    <row r="655">
      <c r="B655" s="7" t="inlineStr">
        <is>
          <t xml:space="preserve">  ↳ ChronoBeam_elite</t>
        </is>
      </c>
      <c r="C655" s="7" t="inlineStr">
        <is>
          <t>Armament@ELITE</t>
        </is>
      </c>
      <c r="M655" s="6" t="n">
        <v>1</v>
      </c>
      <c r="N655" s="6" t="n">
        <v>1</v>
      </c>
      <c r="O655" s="6" t="n"/>
      <c r="P655" s="6" t="n">
        <v>5000</v>
      </c>
      <c r="Q655" s="6" t="n">
        <v>1</v>
      </c>
      <c r="R655">
        <f>M655+IF(MAX(N655-1,0)&gt;0,IF(ISBLANK(O655),5*MAX(N655-1,0),IF(ISNUMBER(O655),O655*MAX(N655-1,0),SUM(IFERROR(VALUE(TEXTSPLIT(O655,",")),0)))),0)</f>
        <v/>
      </c>
      <c r="S655">
        <f>IFERROR(L655*MAX(N655,1)/R655*IF(ISBLANK(K652),1,K652),0)</f>
        <v/>
      </c>
      <c r="AB655" s="7" t="inlineStr">
        <is>
          <t>ChronoBeam</t>
        </is>
      </c>
    </row>
    <row r="656">
      <c r="B656" s="7" t="inlineStr">
        <is>
          <t xml:space="preserve">  ↳ ChronoBeam</t>
        </is>
      </c>
      <c r="C656" s="7" t="inlineStr">
        <is>
          <t>Armament@GARRISONED</t>
        </is>
      </c>
      <c r="M656" s="6" t="n">
        <v>1</v>
      </c>
      <c r="N656" s="6" t="n">
        <v>1</v>
      </c>
      <c r="O656" s="6" t="n"/>
      <c r="P656" s="6" t="n">
        <v>5000</v>
      </c>
      <c r="Q656" s="6" t="n">
        <v>1</v>
      </c>
      <c r="R656">
        <f>M656+IF(MAX(N656-1,0)&gt;0,IF(ISBLANK(O656),5*MAX(N656-1,0),IF(ISNUMBER(O656),O656*MAX(N656-1,0),SUM(IFERROR(VALUE(TEXTSPLIT(O656,",")),0)))),0)</f>
        <v/>
      </c>
      <c r="S656">
        <f>IFERROR(L656*MAX(N656,1)/R656*IF(ISBLANK(K652),1,K652),0)</f>
        <v/>
      </c>
      <c r="AB656" s="7" t="inlineStr"/>
    </row>
    <row r="657">
      <c r="B657" s="7" t="inlineStr">
        <is>
          <t xml:space="preserve">  ↳ ChronoBeam_elite</t>
        </is>
      </c>
      <c r="C657" s="7" t="inlineStr">
        <is>
          <t>Armament@GARRISONEDELITE</t>
        </is>
      </c>
      <c r="M657" s="6" t="n">
        <v>1</v>
      </c>
      <c r="N657" s="6" t="n">
        <v>1</v>
      </c>
      <c r="O657" s="6" t="n"/>
      <c r="P657" s="6" t="n">
        <v>5000</v>
      </c>
      <c r="Q657" s="6" t="n">
        <v>1</v>
      </c>
      <c r="R657">
        <f>M657+IF(MAX(N657-1,0)&gt;0,IF(ISBLANK(O657),5*MAX(N657-1,0),IF(ISNUMBER(O657),O657*MAX(N657-1,0),SUM(IFERROR(VALUE(TEXTSPLIT(O657,",")),0)))),0)</f>
        <v/>
      </c>
      <c r="S657">
        <f>IFERROR(L657*MAX(N657,1)/R657*IF(ISBLANK(K652),1,K652),0)</f>
        <v/>
      </c>
      <c r="AB657" s="7" t="inlineStr">
        <is>
          <t>ChronoBeam</t>
        </is>
      </c>
    </row>
    <row r="658">
      <c r="A658" t="inlineStr">
        <is>
          <t>redalert2</t>
        </is>
      </c>
      <c r="B658" t="inlineStr">
        <is>
          <t>ra2_soviets_desolator</t>
        </is>
      </c>
      <c r="C658" t="inlineStr">
        <is>
          <t>Desolator</t>
        </is>
      </c>
      <c r="D658" s="6" t="inlineStr">
        <is>
          <t>HeavyInfantry</t>
        </is>
      </c>
      <c r="E658" s="6" t="n">
        <v>30000</v>
      </c>
      <c r="F658" s="6" t="n">
        <v>59</v>
      </c>
      <c r="G658" t="inlineStr">
        <is>
          <t>Plate</t>
        </is>
      </c>
      <c r="H658" s="6" t="n">
        <v>0.75</v>
      </c>
      <c r="I658" s="6" t="n">
        <v>0.8</v>
      </c>
      <c r="J658" s="6" t="n">
        <v>1</v>
      </c>
      <c r="P658">
        <f>MAX(P659,P660)</f>
        <v/>
      </c>
      <c r="S658">
        <f>S659+S660</f>
        <v/>
      </c>
      <c r="T658">
        <f>(E658/100000+F658/100+(P658/1000)*J658/5+S658/200)*200*I658*H658</f>
        <v/>
      </c>
      <c r="U658">
        <f>((E658*F658/25000)+((P658/1000)*J658*S658/2.5))*I658*H658</f>
        <v/>
      </c>
      <c r="V658">
        <f>(E658*F658*(P658/1000)*J658*S658*I658*H658)/12500000</f>
        <v/>
      </c>
      <c r="W658">
        <f>(T658+U658+V658)/3</f>
        <v/>
      </c>
      <c r="X658" s="6" t="n">
        <v>700</v>
      </c>
      <c r="Y658">
        <f>IFERROR(W658-X658,"")</f>
        <v/>
      </c>
      <c r="Z658">
        <f>IFERROR(ABS(Y658)/MAX(X658,1),"")</f>
        <v/>
      </c>
      <c r="AA658">
        <f>IFERROR((X658-(((E658/100000+F658/100+S658/200)*200*I658*H658)+((E658*F658/25000)*I658*H658))/3)/(((J658/5)*200*I658*H658)+((J658*S658/2.5)*I658*H658)+((E658*F658*J658*S658*I658*H658)/12500000))/3*1000,"")</f>
        <v/>
      </c>
    </row>
    <row r="659">
      <c r="B659" s="7" t="inlineStr">
        <is>
          <t xml:space="preserve">  ↳ RA2RadBeamWeapon</t>
        </is>
      </c>
      <c r="C659" s="7" t="inlineStr">
        <is>
          <t>Armament@PRIMARY</t>
        </is>
      </c>
      <c r="L659" s="6" t="n">
        <v>30000</v>
      </c>
      <c r="M659" s="6" t="n">
        <v>45</v>
      </c>
      <c r="N659" s="6" t="n">
        <v>1</v>
      </c>
      <c r="O659" s="6" t="n"/>
      <c r="P659" s="6" t="n">
        <v>6444</v>
      </c>
      <c r="Q659" s="6" t="n">
        <v>1</v>
      </c>
      <c r="R659">
        <f>M659+IF(MAX(N659-1,0)&gt;0,IF(ISBLANK(O659),5*MAX(N659-1,0),IF(ISNUMBER(O659),O659*MAX(N659-1,0),SUM(IFERROR(VALUE(TEXTSPLIT(O659,",")),0)))),0)</f>
        <v/>
      </c>
      <c r="S659">
        <f>IFERROR(L659*MAX(N659,1)/R659*IF(ISBLANK(K658),1,K658),0)</f>
        <v/>
      </c>
      <c r="AB659" s="7" t="inlineStr">
        <is>
          <t>^Warhead_Chemical_Medium</t>
        </is>
      </c>
    </row>
    <row r="660">
      <c r="B660" s="7" t="inlineStr">
        <is>
          <t xml:space="preserve">  ↳ RA2RadBeamWeapon_elite</t>
        </is>
      </c>
      <c r="C660" s="7" t="inlineStr">
        <is>
          <t>Armament@ELITE</t>
        </is>
      </c>
      <c r="L660" s="6" t="n">
        <v>30000</v>
      </c>
      <c r="M660" s="6" t="n">
        <v>45</v>
      </c>
      <c r="N660" s="6" t="n">
        <v>2</v>
      </c>
      <c r="O660" s="6" t="n">
        <v>3</v>
      </c>
      <c r="P660" s="6" t="n">
        <v>7444</v>
      </c>
      <c r="Q660" s="6" t="n">
        <v>1</v>
      </c>
      <c r="R660">
        <f>M660+IF(MAX(N660-1,0)&gt;0,IF(ISBLANK(O660),5*MAX(N660-1,0),IF(ISNUMBER(O660),O660*MAX(N660-1,0),SUM(IFERROR(VALUE(TEXTSPLIT(O660,",")),0)))),0)</f>
        <v/>
      </c>
      <c r="S660">
        <f>IFERROR(L660*MAX(N660,1)/R660*IF(ISBLANK(K658),1,K658),0)</f>
        <v/>
      </c>
      <c r="AB660" s="7" t="inlineStr">
        <is>
          <t>^Warhead_Chemical_Medium</t>
        </is>
      </c>
    </row>
    <row r="661">
      <c r="B661" s="7" t="inlineStr">
        <is>
          <t xml:space="preserve">  ↳ RA2RadBeamWeapon</t>
        </is>
      </c>
      <c r="C661" s="7" t="inlineStr">
        <is>
          <t>Armament@GARRISONED</t>
        </is>
      </c>
      <c r="L661" s="6" t="n">
        <v>30000</v>
      </c>
      <c r="M661" s="6" t="n">
        <v>45</v>
      </c>
      <c r="N661" s="6" t="n">
        <v>1</v>
      </c>
      <c r="O661" s="6" t="n"/>
      <c r="P661" s="6" t="n">
        <v>6444</v>
      </c>
      <c r="Q661" s="6" t="n">
        <v>1</v>
      </c>
      <c r="R661">
        <f>M661+IF(MAX(N661-1,0)&gt;0,IF(ISBLANK(O661),5*MAX(N661-1,0),IF(ISNUMBER(O661),O661*MAX(N661-1,0),SUM(IFERROR(VALUE(TEXTSPLIT(O661,",")),0)))),0)</f>
        <v/>
      </c>
      <c r="S661">
        <f>IFERROR(L661*MAX(N661,1)/R661*IF(ISBLANK(K658),1,K658),0)</f>
        <v/>
      </c>
      <c r="AB661" s="7" t="inlineStr">
        <is>
          <t>^Warhead_Chemical_Medium</t>
        </is>
      </c>
    </row>
    <row r="662">
      <c r="A662" t="inlineStr">
        <is>
          <t>redalert2</t>
        </is>
      </c>
      <c r="B662" t="inlineStr">
        <is>
          <t>ra2_soviets_teslatrooper</t>
        </is>
      </c>
      <c r="C662" t="inlineStr">
        <is>
          <t>Tesla Trooper</t>
        </is>
      </c>
      <c r="D662" s="6" t="inlineStr">
        <is>
          <t>HeavyInfantry</t>
        </is>
      </c>
      <c r="E662" s="6" t="n">
        <v>48000</v>
      </c>
      <c r="F662" s="6" t="n">
        <v>38</v>
      </c>
      <c r="G662" t="inlineStr">
        <is>
          <t>Plate</t>
        </is>
      </c>
      <c r="H662" s="6" t="n">
        <v>1</v>
      </c>
      <c r="I662" s="6" t="n">
        <v>0.8</v>
      </c>
      <c r="J662" s="6" t="n">
        <v>1.25</v>
      </c>
      <c r="P662">
        <f>MAX(P663,P664,P665,P666)</f>
        <v/>
      </c>
      <c r="S662">
        <f>S663+S664+S665+S666</f>
        <v/>
      </c>
      <c r="T662">
        <f>(E662/100000+F662/100+(P662/1000)*J662/5+S662/200)*200*I662*H662</f>
        <v/>
      </c>
      <c r="U662">
        <f>((E662*F662/25000)+((P662/1000)*J662*S662/2.5))*I662*H662</f>
        <v/>
      </c>
      <c r="V662">
        <f>(E662*F662*(P662/1000)*J662*S662*I662*H662)/12500000</f>
        <v/>
      </c>
      <c r="W662">
        <f>(T662+U662+V662)/3</f>
        <v/>
      </c>
      <c r="X662" s="6" t="n">
        <v>500</v>
      </c>
      <c r="Y662">
        <f>IFERROR(W662-X662,"")</f>
        <v/>
      </c>
      <c r="Z662">
        <f>IFERROR(ABS(Y662)/MAX(X662,1),"")</f>
        <v/>
      </c>
      <c r="AA662">
        <f>IFERROR((X662-(((E662/100000+F662/100+S662/200)*200*I662*H662)+((E662*F662/25000)*I662*H662))/3)/(((J662/5)*200*I662*H662)+((J662*S662/2.5)*I662*H662)+((E662*F662*J662*S662*I662*H662)/12500000))/3*1000,"")</f>
        <v/>
      </c>
    </row>
    <row r="663">
      <c r="B663" s="7" t="inlineStr">
        <is>
          <t xml:space="preserve">  ↳ RA2PortaTesla</t>
        </is>
      </c>
      <c r="C663" s="7" t="inlineStr">
        <is>
          <t>Armament@PRIMARY</t>
        </is>
      </c>
      <c r="L663" s="6" t="n">
        <v>24000</v>
      </c>
      <c r="M663" s="6" t="n">
        <v>100</v>
      </c>
      <c r="N663" s="6" t="n">
        <v>1</v>
      </c>
      <c r="O663" s="6" t="n"/>
      <c r="P663" s="6" t="n">
        <v>5222</v>
      </c>
      <c r="Q663" s="6" t="n">
        <v>1.25</v>
      </c>
      <c r="R663">
        <f>M663+IF(MAX(N663-1,0)&gt;0,IF(ISBLANK(O663),5*MAX(N663-1,0),IF(ISNUMBER(O663),O663*MAX(N663-1,0),SUM(IFERROR(VALUE(TEXTSPLIT(O663,",")),0)))),0)</f>
        <v/>
      </c>
      <c r="S663">
        <f>IFERROR(L663*MAX(N663,1)/R663*IF(ISBLANK(K662),1,K662),0)</f>
        <v/>
      </c>
      <c r="AB663" s="7" t="inlineStr">
        <is>
          <t>^Warhead_Tesla_Heavy</t>
        </is>
      </c>
    </row>
    <row r="664">
      <c r="B664" s="7" t="inlineStr">
        <is>
          <t xml:space="preserve">  ↳ RA2PortaTesla2</t>
        </is>
      </c>
      <c r="C664" s="7" t="inlineStr">
        <is>
          <t>Armament@PRIMARY2</t>
        </is>
      </c>
      <c r="L664" s="6" t="n">
        <v>24000</v>
      </c>
      <c r="M664" s="6" t="n">
        <v>100</v>
      </c>
      <c r="N664" s="6" t="n">
        <v>1</v>
      </c>
      <c r="O664" s="6" t="n"/>
      <c r="P664" s="6" t="n">
        <v>5777</v>
      </c>
      <c r="Q664" s="6" t="n">
        <v>1.25</v>
      </c>
      <c r="R664">
        <f>M664+IF(MAX(N664-1,0)&gt;0,IF(ISBLANK(O664),5*MAX(N664-1,0),IF(ISNUMBER(O664),O664*MAX(N664-1,0),SUM(IFERROR(VALUE(TEXTSPLIT(O664,",")),0)))),0)</f>
        <v/>
      </c>
      <c r="S664">
        <f>IFERROR(L664*MAX(N664,1)/R664*IF(ISBLANK(K662),1,K662),0)</f>
        <v/>
      </c>
      <c r="AB664" s="7" t="inlineStr">
        <is>
          <t>^Warhead_Tesla_Heavy</t>
        </is>
      </c>
    </row>
    <row r="665">
      <c r="B665" s="7" t="inlineStr">
        <is>
          <t xml:space="preserve">  ↳ RA2PortaTesla3</t>
        </is>
      </c>
      <c r="C665" s="7" t="inlineStr">
        <is>
          <t>Armament@PRIMARY3</t>
        </is>
      </c>
      <c r="L665" s="6" t="n">
        <v>24000</v>
      </c>
      <c r="M665" s="6" t="n">
        <v>100</v>
      </c>
      <c r="N665" s="6" t="n">
        <v>1</v>
      </c>
      <c r="O665" s="6" t="n"/>
      <c r="P665" s="6" t="n">
        <v>6222</v>
      </c>
      <c r="Q665" s="6" t="n">
        <v>1.25</v>
      </c>
      <c r="R665">
        <f>M665+IF(MAX(N665-1,0)&gt;0,IF(ISBLANK(O665),5*MAX(N665-1,0),IF(ISNUMBER(O665),O665*MAX(N665-1,0),SUM(IFERROR(VALUE(TEXTSPLIT(O665,",")),0)))),0)</f>
        <v/>
      </c>
      <c r="S665">
        <f>IFERROR(L665*MAX(N665,1)/R665*IF(ISBLANK(K662),1,K662),0)</f>
        <v/>
      </c>
      <c r="AB665" s="7" t="inlineStr">
        <is>
          <t>^Warhead_Tesla_Heavy</t>
        </is>
      </c>
    </row>
    <row r="666">
      <c r="B666" s="7" t="inlineStr">
        <is>
          <t xml:space="preserve">  ↳ RA2TeslaCoilCharge</t>
        </is>
      </c>
      <c r="C666" s="7" t="inlineStr">
        <is>
          <t>Armament@TeslaCoilCharge</t>
        </is>
      </c>
      <c r="L666" t="n">
        <v>-1</v>
      </c>
      <c r="M666" s="6" t="n">
        <v>25</v>
      </c>
      <c r="N666" s="6" t="n">
        <v>1</v>
      </c>
      <c r="O666" s="6" t="n"/>
      <c r="P666" s="6" t="n">
        <v>3333</v>
      </c>
      <c r="Q666" s="6" t="n">
        <v>1</v>
      </c>
      <c r="R666">
        <f>M666+IF(MAX(N666-1,0)&gt;0,IF(ISBLANK(O666),5*MAX(N666-1,0),IF(ISNUMBER(O666),O666*MAX(N666-1,0),SUM(IFERROR(VALUE(TEXTSPLIT(O666,",")),0)))),0)</f>
        <v/>
      </c>
      <c r="S666">
        <f>IFERROR(L666*MAX(N666,1)/R666*IF(ISBLANK(K662),1,K662),0)</f>
        <v/>
      </c>
      <c r="AB666" s="7" t="inlineStr"/>
    </row>
    <row r="667">
      <c r="B667" s="7" t="inlineStr">
        <is>
          <t xml:space="preserve">  ↳ RA2PortaTesla</t>
        </is>
      </c>
      <c r="C667" s="7" t="inlineStr">
        <is>
          <t>Armament@GARRISONED</t>
        </is>
      </c>
      <c r="L667" s="6" t="n">
        <v>24000</v>
      </c>
      <c r="M667" s="6" t="n">
        <v>100</v>
      </c>
      <c r="N667" s="6" t="n">
        <v>1</v>
      </c>
      <c r="O667" s="6" t="n"/>
      <c r="P667" s="6" t="n">
        <v>5222</v>
      </c>
      <c r="Q667" s="6" t="n">
        <v>1.25</v>
      </c>
      <c r="R667">
        <f>M667+IF(MAX(N667-1,0)&gt;0,IF(ISBLANK(O667),5*MAX(N667-1,0),IF(ISNUMBER(O667),O667*MAX(N667-1,0),SUM(IFERROR(VALUE(TEXTSPLIT(O667,",")),0)))),0)</f>
        <v/>
      </c>
      <c r="S667">
        <f>IFERROR(L667*MAX(N667,1)/R667*IF(ISBLANK(K662),1,K662),0)</f>
        <v/>
      </c>
      <c r="AB667" s="7" t="inlineStr">
        <is>
          <t>^Warhead_Tesla_Heavy</t>
        </is>
      </c>
    </row>
    <row r="668">
      <c r="B668" s="7" t="inlineStr">
        <is>
          <t xml:space="preserve">  ↳ RA2PortaTesla2</t>
        </is>
      </c>
      <c r="C668" s="7" t="inlineStr">
        <is>
          <t>Armament@GARRISONED2</t>
        </is>
      </c>
      <c r="L668" s="6" t="n">
        <v>24000</v>
      </c>
      <c r="M668" s="6" t="n">
        <v>100</v>
      </c>
      <c r="N668" s="6" t="n">
        <v>1</v>
      </c>
      <c r="O668" s="6" t="n"/>
      <c r="P668" s="6" t="n">
        <v>5777</v>
      </c>
      <c r="Q668" s="6" t="n">
        <v>1.25</v>
      </c>
      <c r="R668">
        <f>M668+IF(MAX(N668-1,0)&gt;0,IF(ISBLANK(O668),5*MAX(N668-1,0),IF(ISNUMBER(O668),O668*MAX(N668-1,0),SUM(IFERROR(VALUE(TEXTSPLIT(O668,",")),0)))),0)</f>
        <v/>
      </c>
      <c r="S668">
        <f>IFERROR(L668*MAX(N668,1)/R668*IF(ISBLANK(K662),1,K662),0)</f>
        <v/>
      </c>
      <c r="AB668" s="7" t="inlineStr">
        <is>
          <t>^Warhead_Tesla_Heavy</t>
        </is>
      </c>
    </row>
    <row r="669">
      <c r="B669" s="7" t="inlineStr">
        <is>
          <t xml:space="preserve">  ↳ RA2PortaTesla3</t>
        </is>
      </c>
      <c r="C669" s="7" t="inlineStr">
        <is>
          <t>Armament@GARRISONED3</t>
        </is>
      </c>
      <c r="L669" s="6" t="n">
        <v>24000</v>
      </c>
      <c r="M669" s="6" t="n">
        <v>100</v>
      </c>
      <c r="N669" s="6" t="n">
        <v>1</v>
      </c>
      <c r="O669" s="6" t="n"/>
      <c r="P669" s="6" t="n">
        <v>6222</v>
      </c>
      <c r="Q669" s="6" t="n">
        <v>1.25</v>
      </c>
      <c r="R669">
        <f>M669+IF(MAX(N669-1,0)&gt;0,IF(ISBLANK(O669),5*MAX(N669-1,0),IF(ISNUMBER(O669),O669*MAX(N669-1,0),SUM(IFERROR(VALUE(TEXTSPLIT(O669,",")),0)))),0)</f>
        <v/>
      </c>
      <c r="S669">
        <f>IFERROR(L669*MAX(N669,1)/R669*IF(ISBLANK(K662),1,K662),0)</f>
        <v/>
      </c>
      <c r="AB669" s="7" t="inlineStr">
        <is>
          <t>^Warhead_Tesla_Heavy</t>
        </is>
      </c>
    </row>
    <row r="670">
      <c r="A670" t="inlineStr">
        <is>
          <t>redalert2</t>
        </is>
      </c>
      <c r="B670" t="inlineStr">
        <is>
          <t>yuri_biotrooper</t>
        </is>
      </c>
      <c r="C670" t="inlineStr">
        <is>
          <t>Bio Trooper</t>
        </is>
      </c>
      <c r="D670" s="6" t="inlineStr">
        <is>
          <t>HeavyInfantry</t>
        </is>
      </c>
      <c r="E670" s="6" t="n">
        <v>96000</v>
      </c>
      <c r="F670" s="6" t="n">
        <v>64</v>
      </c>
      <c r="G670" t="inlineStr">
        <is>
          <t>Plate</t>
        </is>
      </c>
      <c r="H670" s="6" t="n">
        <v>0.5</v>
      </c>
      <c r="I670" s="6" t="n">
        <v>0.8</v>
      </c>
      <c r="J670" s="6" t="n">
        <v>1.25</v>
      </c>
      <c r="P670">
        <f>MAX(P671,P672,P673)</f>
        <v/>
      </c>
      <c r="S670">
        <f>S671+S672+S673</f>
        <v/>
      </c>
      <c r="T670">
        <f>(E670/100000+F670/100+(P670/1000)*J670/5+S670/200)*200*I670*H670</f>
        <v/>
      </c>
      <c r="U670">
        <f>((E670*F670/25000)+((P670/1000)*J670*S670/2.5))*I670*H670</f>
        <v/>
      </c>
      <c r="V670">
        <f>(E670*F670*(P670/1000)*J670*S670*I670*H670)/12500000</f>
        <v/>
      </c>
      <c r="W670">
        <f>(T670+U670+V670)/3</f>
        <v/>
      </c>
      <c r="X670" s="6" t="n">
        <v>400</v>
      </c>
      <c r="Y670">
        <f>IFERROR(W670-X670,"")</f>
        <v/>
      </c>
      <c r="Z670">
        <f>IFERROR(ABS(Y670)/MAX(X670,1),"")</f>
        <v/>
      </c>
      <c r="AA670">
        <f>IFERROR((X670-(((E670/100000+F670/100+S670/200)*200*I670*H670)+((E670*F670/25000)*I670*H670))/3)/(((J670/5)*200*I670*H670)+((J670*S670/2.5)*I670*H670)+((E670*F670*J670*S670*I670*H670)/12500000))/3*1000,"")</f>
        <v/>
      </c>
    </row>
    <row r="671">
      <c r="B671" s="7" t="inlineStr">
        <is>
          <t xml:space="preserve">  ↳ RA2Chemspray</t>
        </is>
      </c>
      <c r="C671" s="7" t="inlineStr">
        <is>
          <t>Armament@PRIMARY</t>
        </is>
      </c>
      <c r="L671" s="6" t="n">
        <v>4000</v>
      </c>
      <c r="M671" s="6" t="n">
        <v>50</v>
      </c>
      <c r="N671" s="6" t="n">
        <v>6</v>
      </c>
      <c r="O671" s="6" t="n">
        <v>4</v>
      </c>
      <c r="P671" s="6" t="n">
        <v>4840</v>
      </c>
      <c r="Q671" s="6" t="n">
        <v>1</v>
      </c>
      <c r="R671">
        <f>M671+IF(MAX(N671-1,0)&gt;0,IF(ISBLANK(O671),5*MAX(N671-1,0),IF(ISNUMBER(O671),O671*MAX(N671-1,0),SUM(IFERROR(VALUE(TEXTSPLIT(O671,",")),0)))),0)</f>
        <v/>
      </c>
      <c r="S671">
        <f>IFERROR(L671*MAX(N671,1)/R671*IF(ISBLANK(K670),1,K670),0)</f>
        <v/>
      </c>
      <c r="AB671" s="7" t="inlineStr">
        <is>
          <t>^Warhead_Chemical_Medium</t>
        </is>
      </c>
    </row>
    <row r="672">
      <c r="B672" s="7" t="inlineStr">
        <is>
          <t xml:space="preserve">  ↳ RA2Chemspray2</t>
        </is>
      </c>
      <c r="C672" s="7" t="inlineStr">
        <is>
          <t>Armament@Upgrade</t>
        </is>
      </c>
      <c r="L672" s="6" t="n">
        <v>8000</v>
      </c>
      <c r="M672" s="6" t="n">
        <v>50</v>
      </c>
      <c r="N672" s="6" t="n">
        <v>6</v>
      </c>
      <c r="O672" s="6" t="n">
        <v>4</v>
      </c>
      <c r="P672" s="6" t="n">
        <v>4840</v>
      </c>
      <c r="Q672" s="6" t="n">
        <v>1.125</v>
      </c>
      <c r="R672">
        <f>M672+IF(MAX(N672-1,0)&gt;0,IF(ISBLANK(O672),5*MAX(N672-1,0),IF(ISNUMBER(O672),O672*MAX(N672-1,0),SUM(IFERROR(VALUE(TEXTSPLIT(O672,",")),0)))),0)</f>
        <v/>
      </c>
      <c r="S672">
        <f>IFERROR(L672*MAX(N672,1)/R672*IF(ISBLANK(K670),1,K670),0)</f>
        <v/>
      </c>
      <c r="AB672" s="7" t="inlineStr">
        <is>
          <t>^Warhead_Chemical_Heavy, ^Warhead_Chemical_Medium</t>
        </is>
      </c>
    </row>
    <row r="673">
      <c r="B673" s="7" t="inlineStr">
        <is>
          <t xml:space="preserve">  ↳ RA2Chemspray_elite</t>
        </is>
      </c>
      <c r="C673" s="7" t="inlineStr">
        <is>
          <t>Armament@ELITE</t>
        </is>
      </c>
      <c r="L673" s="6" t="n">
        <v>8000</v>
      </c>
      <c r="M673" s="6" t="n">
        <v>50</v>
      </c>
      <c r="N673" s="6" t="n">
        <v>6</v>
      </c>
      <c r="O673" s="6" t="n">
        <v>4</v>
      </c>
      <c r="P673" s="6" t="n">
        <v>5840</v>
      </c>
      <c r="Q673" s="6" t="n">
        <v>1.125</v>
      </c>
      <c r="R673">
        <f>M673+IF(MAX(N673-1,0)&gt;0,IF(ISBLANK(O673),5*MAX(N673-1,0),IF(ISNUMBER(O673),O673*MAX(N673-1,0),SUM(IFERROR(VALUE(TEXTSPLIT(O673,",")),0)))),0)</f>
        <v/>
      </c>
      <c r="S673">
        <f>IFERROR(L673*MAX(N673,1)/R673*IF(ISBLANK(K670),1,K670),0)</f>
        <v/>
      </c>
      <c r="AB673" s="7" t="inlineStr">
        <is>
          <t>^Warhead_Chemical_Heavy, ^Warhead_Chemical_Medium</t>
        </is>
      </c>
    </row>
    <row r="674">
      <c r="B674" s="7" t="inlineStr">
        <is>
          <t xml:space="preserve">  ↳ RA2Chemspray</t>
        </is>
      </c>
      <c r="C674" s="7" t="inlineStr">
        <is>
          <t>Armament@GARRISONED</t>
        </is>
      </c>
      <c r="L674" s="6" t="n">
        <v>4000</v>
      </c>
      <c r="M674" s="6" t="n">
        <v>50</v>
      </c>
      <c r="N674" s="6" t="n">
        <v>6</v>
      </c>
      <c r="O674" s="6" t="n">
        <v>4</v>
      </c>
      <c r="P674" s="6" t="n">
        <v>4840</v>
      </c>
      <c r="Q674" s="6" t="n">
        <v>1</v>
      </c>
      <c r="R674">
        <f>M674+IF(MAX(N674-1,0)&gt;0,IF(ISBLANK(O674),5*MAX(N674-1,0),IF(ISNUMBER(O674),O674*MAX(N674-1,0),SUM(IFERROR(VALUE(TEXTSPLIT(O674,",")),0)))),0)</f>
        <v/>
      </c>
      <c r="S674">
        <f>IFERROR(L674*MAX(N674,1)/R674*IF(ISBLANK(K670),1,K670),0)</f>
        <v/>
      </c>
      <c r="AB674" s="7" t="inlineStr">
        <is>
          <t>^Warhead_Chemical_Medium</t>
        </is>
      </c>
    </row>
    <row r="675">
      <c r="B675" s="7" t="inlineStr">
        <is>
          <t xml:space="preserve">  ↳ RA2Chemspray2</t>
        </is>
      </c>
      <c r="C675" s="7" t="inlineStr">
        <is>
          <t>Armament@GARRISONEDUpgrade</t>
        </is>
      </c>
      <c r="L675" s="6" t="n">
        <v>8000</v>
      </c>
      <c r="M675" s="6" t="n">
        <v>50</v>
      </c>
      <c r="N675" s="6" t="n">
        <v>6</v>
      </c>
      <c r="O675" s="6" t="n">
        <v>4</v>
      </c>
      <c r="P675" s="6" t="n">
        <v>4840</v>
      </c>
      <c r="Q675" s="6" t="n">
        <v>1.125</v>
      </c>
      <c r="R675">
        <f>M675+IF(MAX(N675-1,0)&gt;0,IF(ISBLANK(O675),5*MAX(N675-1,0),IF(ISNUMBER(O675),O675*MAX(N675-1,0),SUM(IFERROR(VALUE(TEXTSPLIT(O675,",")),0)))),0)</f>
        <v/>
      </c>
      <c r="S675">
        <f>IFERROR(L675*MAX(N675,1)/R675*IF(ISBLANK(K670),1,K670),0)</f>
        <v/>
      </c>
      <c r="AB675" s="7" t="inlineStr">
        <is>
          <t>^Warhead_Chemical_Heavy, ^Warhead_Chemical_Medium</t>
        </is>
      </c>
    </row>
    <row r="676">
      <c r="B676" s="7" t="inlineStr">
        <is>
          <t xml:space="preserve">  ↳ RA2Chemspray_elite</t>
        </is>
      </c>
      <c r="C676" s="7" t="inlineStr">
        <is>
          <t>Armament@GARRISONEDELITE</t>
        </is>
      </c>
      <c r="L676" s="6" t="n">
        <v>8000</v>
      </c>
      <c r="M676" s="6" t="n">
        <v>50</v>
      </c>
      <c r="N676" s="6" t="n">
        <v>6</v>
      </c>
      <c r="O676" s="6" t="n">
        <v>4</v>
      </c>
      <c r="P676" s="6" t="n">
        <v>5840</v>
      </c>
      <c r="Q676" s="6" t="n">
        <v>1.125</v>
      </c>
      <c r="R676">
        <f>M676+IF(MAX(N676-1,0)&gt;0,IF(ISBLANK(O676),5*MAX(N676-1,0),IF(ISNUMBER(O676),O676*MAX(N676-1,0),SUM(IFERROR(VALUE(TEXTSPLIT(O676,",")),0)))),0)</f>
        <v/>
      </c>
      <c r="S676">
        <f>IFERROR(L676*MAX(N676,1)/R676*IF(ISBLANK(K670),1,K670),0)</f>
        <v/>
      </c>
      <c r="AB676" s="7" t="inlineStr">
        <is>
          <t>^Warhead_Chemical_Heavy, ^Warhead_Chemical_Medium</t>
        </is>
      </c>
    </row>
    <row r="677">
      <c r="A677" t="inlineStr">
        <is>
          <t>redalert2mod</t>
        </is>
      </c>
      <c r="B677" t="inlineStr">
        <is>
          <t>asianalliance_asianflametrooper</t>
        </is>
      </c>
      <c r="C677" t="inlineStr">
        <is>
          <t>Asian Flame Trooper</t>
        </is>
      </c>
      <c r="D677" s="6" t="inlineStr">
        <is>
          <t>HeavyInfantry</t>
        </is>
      </c>
      <c r="E677" s="6" t="n">
        <v>26000</v>
      </c>
      <c r="F677" s="6" t="n">
        <v>53</v>
      </c>
      <c r="G677" t="inlineStr">
        <is>
          <t>Plate</t>
        </is>
      </c>
      <c r="H677" s="6" t="n">
        <v>1</v>
      </c>
      <c r="I677" s="6" t="n">
        <v>0.8</v>
      </c>
      <c r="J677" s="6" t="n">
        <v>1</v>
      </c>
      <c r="K677" t="n">
        <v>0.005</v>
      </c>
      <c r="P677">
        <f>MAX(P678,P679,P680)</f>
        <v/>
      </c>
      <c r="S677">
        <f>S678+S679+S680</f>
        <v/>
      </c>
      <c r="T677">
        <f>(E677/100000+F677/100+(P677/1000)*J677/5+S677/200)*200*I677*H677</f>
        <v/>
      </c>
      <c r="U677">
        <f>((E677*F677/25000)+((P677/1000)*J677*S677/2.5))*I677*H677</f>
        <v/>
      </c>
      <c r="V677">
        <f>(E677*F677*(P677/1000)*J677*S677*I677*H677)/12500000</f>
        <v/>
      </c>
      <c r="W677">
        <f>(T677+U677+V677)/3</f>
        <v/>
      </c>
      <c r="X677" s="6" t="n">
        <v>400</v>
      </c>
      <c r="Y677">
        <f>IFERROR(W677-X677,"")</f>
        <v/>
      </c>
      <c r="Z677">
        <f>IFERROR(ABS(Y677)/MAX(X677,1),"")</f>
        <v/>
      </c>
      <c r="AA677">
        <f>IFERROR((X677-(((E677/100000+F677/100+S677/200)*200*I677*H677)+((E677*F677/25000)*I677*H677))/3)/(((J677/5)*200*I677*H677)+((J677*S677/2.5)*I677*H677)+((E677*F677*J677*S677*I677*H677)/12500000))/3*1000,"")</f>
        <v/>
      </c>
    </row>
    <row r="678">
      <c r="B678" s="7" t="inlineStr">
        <is>
          <t xml:space="preserve">  ↳ AsianFlamerTroop</t>
        </is>
      </c>
      <c r="C678" s="7" t="inlineStr">
        <is>
          <t>Armament@PRIMARY</t>
        </is>
      </c>
      <c r="L678" s="6" t="n">
        <v>4000</v>
      </c>
      <c r="M678" s="6" t="n">
        <v>38</v>
      </c>
      <c r="N678" s="6" t="n">
        <v>6</v>
      </c>
      <c r="O678" s="6" t="n">
        <v>3</v>
      </c>
      <c r="P678" s="6" t="n">
        <v>4444</v>
      </c>
      <c r="Q678" s="6" t="n">
        <v>0.75</v>
      </c>
      <c r="R678">
        <f>M678+IF(MAX(N678-1,0)&gt;0,IF(ISBLANK(O678),5*MAX(N678-1,0),IF(ISNUMBER(O678),O678*MAX(N678-1,0),SUM(IFERROR(VALUE(TEXTSPLIT(O678,",")),0)))),0)</f>
        <v/>
      </c>
      <c r="S678">
        <f>IFERROR(L678*MAX(N678,1)/R678*IF(ISBLANK(K677),1,K677),0)</f>
        <v/>
      </c>
      <c r="AB678" s="7" t="inlineStr">
        <is>
          <t>^Warhead_Flame_Light</t>
        </is>
      </c>
    </row>
    <row r="679">
      <c r="B679" s="7" t="inlineStr">
        <is>
          <t xml:space="preserve">  ↳ AsianFlamerTroop2</t>
        </is>
      </c>
      <c r="C679" s="7" t="inlineStr">
        <is>
          <t>Armament@Upgrade</t>
        </is>
      </c>
      <c r="L679" s="6" t="n">
        <v>4000</v>
      </c>
      <c r="M679" s="6" t="n">
        <v>34</v>
      </c>
      <c r="N679" s="6" t="n">
        <v>6</v>
      </c>
      <c r="O679" s="6" t="n">
        <v>3</v>
      </c>
      <c r="P679" s="6" t="n">
        <v>5555</v>
      </c>
      <c r="Q679" s="6" t="n">
        <v>0.75</v>
      </c>
      <c r="R679">
        <f>M679+IF(MAX(N679-1,0)&gt;0,IF(ISBLANK(O679),5*MAX(N679-1,0),IF(ISNUMBER(O679),O679*MAX(N679-1,0),SUM(IFERROR(VALUE(TEXTSPLIT(O679,",")),0)))),0)</f>
        <v/>
      </c>
      <c r="S679">
        <f>IFERROR(L679*MAX(N679,1)/R679*IF(ISBLANK(K677),1,K677),0)</f>
        <v/>
      </c>
      <c r="AB679" s="7" t="inlineStr">
        <is>
          <t>^Warhead_Flame_Light</t>
        </is>
      </c>
    </row>
    <row r="680">
      <c r="B680" s="7" t="inlineStr">
        <is>
          <t xml:space="preserve">  ↳ AsianFlamerTurret</t>
        </is>
      </c>
      <c r="C680" s="7" t="inlineStr">
        <is>
          <t>Armament@ELITE</t>
        </is>
      </c>
      <c r="L680" s="6" t="n">
        <v>4000</v>
      </c>
      <c r="M680" s="6" t="n">
        <v>30</v>
      </c>
      <c r="N680" s="6" t="n">
        <v>6</v>
      </c>
      <c r="O680" s="6" t="n">
        <v>3</v>
      </c>
      <c r="P680" s="6" t="n">
        <v>6666</v>
      </c>
      <c r="Q680" s="6" t="n">
        <v>0.75</v>
      </c>
      <c r="R680">
        <f>M680+IF(MAX(N680-1,0)&gt;0,IF(ISBLANK(O680),5*MAX(N680-1,0),IF(ISNUMBER(O680),O680*MAX(N680-1,0),SUM(IFERROR(VALUE(TEXTSPLIT(O680,",")),0)))),0)</f>
        <v/>
      </c>
      <c r="S680">
        <f>IFERROR(L680*MAX(N680,1)/R680*IF(ISBLANK(K677),1,K677),0)</f>
        <v/>
      </c>
      <c r="AB680" s="7" t="inlineStr">
        <is>
          <t>^Warhead_Flame_Light</t>
        </is>
      </c>
    </row>
    <row r="681">
      <c r="B681" s="7" t="inlineStr">
        <is>
          <t xml:space="preserve">  ↳ AsianFlamerTroop</t>
        </is>
      </c>
      <c r="C681" s="7" t="inlineStr">
        <is>
          <t>Armament@GARRISONED</t>
        </is>
      </c>
      <c r="L681" s="6" t="n">
        <v>4000</v>
      </c>
      <c r="M681" s="6" t="n">
        <v>38</v>
      </c>
      <c r="N681" s="6" t="n">
        <v>6</v>
      </c>
      <c r="O681" s="6" t="n">
        <v>3</v>
      </c>
      <c r="P681" s="6" t="n">
        <v>4444</v>
      </c>
      <c r="Q681" s="6" t="n">
        <v>0.75</v>
      </c>
      <c r="R681">
        <f>M681+IF(MAX(N681-1,0)&gt;0,IF(ISBLANK(O681),5*MAX(N681-1,0),IF(ISNUMBER(O681),O681*MAX(N681-1,0),SUM(IFERROR(VALUE(TEXTSPLIT(O681,",")),0)))),0)</f>
        <v/>
      </c>
      <c r="S681">
        <f>IFERROR(L681*MAX(N681,1)/R681*IF(ISBLANK(K677),1,K677),0)</f>
        <v/>
      </c>
      <c r="AB681" s="7" t="inlineStr">
        <is>
          <t>^Warhead_Flame_Light</t>
        </is>
      </c>
    </row>
    <row r="682">
      <c r="B682" s="7" t="inlineStr">
        <is>
          <t xml:space="preserve">  ↳ AsianFlamerTroop2</t>
        </is>
      </c>
      <c r="C682" s="7" t="inlineStr">
        <is>
          <t>Armament@GARRISONEDUpgrade</t>
        </is>
      </c>
      <c r="L682" s="6" t="n">
        <v>4000</v>
      </c>
      <c r="M682" s="6" t="n">
        <v>34</v>
      </c>
      <c r="N682" s="6" t="n">
        <v>6</v>
      </c>
      <c r="O682" s="6" t="n">
        <v>3</v>
      </c>
      <c r="P682" s="6" t="n">
        <v>5555</v>
      </c>
      <c r="Q682" s="6" t="n">
        <v>0.75</v>
      </c>
      <c r="R682">
        <f>M682+IF(MAX(N682-1,0)&gt;0,IF(ISBLANK(O682),5*MAX(N682-1,0),IF(ISNUMBER(O682),O682*MAX(N682-1,0),SUM(IFERROR(VALUE(TEXTSPLIT(O682,",")),0)))),0)</f>
        <v/>
      </c>
      <c r="S682">
        <f>IFERROR(L682*MAX(N682,1)/R682*IF(ISBLANK(K677),1,K677),0)</f>
        <v/>
      </c>
      <c r="AB682" s="7" t="inlineStr">
        <is>
          <t>^Warhead_Flame_Light</t>
        </is>
      </c>
    </row>
    <row r="683">
      <c r="B683" s="7" t="inlineStr">
        <is>
          <t xml:space="preserve">  ↳ AsianFlamerTurret</t>
        </is>
      </c>
      <c r="C683" s="7" t="inlineStr">
        <is>
          <t>Armament@GARRISONEDE</t>
        </is>
      </c>
      <c r="L683" s="6" t="n">
        <v>4000</v>
      </c>
      <c r="M683" s="6" t="n">
        <v>30</v>
      </c>
      <c r="N683" s="6" t="n">
        <v>6</v>
      </c>
      <c r="O683" s="6" t="n">
        <v>3</v>
      </c>
      <c r="P683" s="6" t="n">
        <v>6666</v>
      </c>
      <c r="Q683" s="6" t="n">
        <v>0.75</v>
      </c>
      <c r="R683">
        <f>M683+IF(MAX(N683-1,0)&gt;0,IF(ISBLANK(O683),5*MAX(N683-1,0),IF(ISNUMBER(O683),O683*MAX(N683-1,0),SUM(IFERROR(VALUE(TEXTSPLIT(O683,",")),0)))),0)</f>
        <v/>
      </c>
      <c r="S683">
        <f>IFERROR(L683*MAX(N683,1)/R683*IF(ISBLANK(K677),1,K677),0)</f>
        <v/>
      </c>
      <c r="AB683" s="7" t="inlineStr">
        <is>
          <t>^Warhead_Flame_Light</t>
        </is>
      </c>
    </row>
    <row r="684">
      <c r="A684" t="inlineStr">
        <is>
          <t>redalert2mod</t>
        </is>
      </c>
      <c r="B684" t="inlineStr">
        <is>
          <t>asianalliance_plasmatrooper</t>
        </is>
      </c>
      <c r="C684" t="inlineStr">
        <is>
          <t>Plasma Trooper</t>
        </is>
      </c>
      <c r="D684" s="6" t="inlineStr">
        <is>
          <t>HeavyInfantry</t>
        </is>
      </c>
      <c r="E684" s="6" t="n">
        <v>64000</v>
      </c>
      <c r="F684" s="6" t="n">
        <v>42</v>
      </c>
      <c r="G684" t="inlineStr">
        <is>
          <t>Plate</t>
        </is>
      </c>
      <c r="H684" s="6" t="n">
        <v>0.75</v>
      </c>
      <c r="I684" s="6" t="n">
        <v>0.8</v>
      </c>
      <c r="J684" s="6" t="n">
        <v>1</v>
      </c>
      <c r="P684">
        <f>MAX(P685,P686)</f>
        <v/>
      </c>
      <c r="S684">
        <f>S685+S686</f>
        <v/>
      </c>
      <c r="T684">
        <f>(E684/100000+F684/100+(P684/1000)*J684/5+S684/200)*200*I684*H684</f>
        <v/>
      </c>
      <c r="U684">
        <f>((E684*F684/25000)+((P684/1000)*J684*S684/2.5))*I684*H684</f>
        <v/>
      </c>
      <c r="V684">
        <f>(E684*F684*(P684/1000)*J684*S684*I684*H684)/12500000</f>
        <v/>
      </c>
      <c r="W684">
        <f>(T684+U684+V684)/3</f>
        <v/>
      </c>
      <c r="X684" s="6" t="n">
        <v>500</v>
      </c>
      <c r="Y684">
        <f>IFERROR(W684-X684,"")</f>
        <v/>
      </c>
      <c r="Z684">
        <f>IFERROR(ABS(Y684)/MAX(X684,1),"")</f>
        <v/>
      </c>
      <c r="AA684">
        <f>IFERROR((X684-(((E684/100000+F684/100+S684/200)*200*I684*H684)+((E684*F684/25000)*I684*H684))/3)/(((J684/5)*200*I684*H684)+((J684*S684/2.5)*I684*H684)+((E684*F684*J684*S684*I684*H684)/12500000))/3*1000,"")</f>
        <v/>
      </c>
    </row>
    <row r="685">
      <c r="B685" s="7" t="inlineStr">
        <is>
          <t xml:space="preserve">  ↳ AsianSinglePlasma</t>
        </is>
      </c>
      <c r="C685" s="7" t="inlineStr">
        <is>
          <t>Armament@PRIMARY</t>
        </is>
      </c>
      <c r="L685" s="6" t="n">
        <v>16000</v>
      </c>
      <c r="M685" s="6" t="n">
        <v>34</v>
      </c>
      <c r="N685" s="6" t="n">
        <v>1</v>
      </c>
      <c r="O685" s="6" t="n"/>
      <c r="P685" s="6" t="n">
        <v>5190</v>
      </c>
      <c r="Q685" s="6" t="n">
        <v>1.125</v>
      </c>
      <c r="R685">
        <f>M685+IF(MAX(N685-1,0)&gt;0,IF(ISBLANK(O685),5*MAX(N685-1,0),IF(ISNUMBER(O685),O685*MAX(N685-1,0),SUM(IFERROR(VALUE(TEXTSPLIT(O685,",")),0)))),0)</f>
        <v/>
      </c>
      <c r="S685">
        <f>IFERROR(L685*MAX(N685,1)/R685*IF(ISBLANK(K684),1,K684),0)</f>
        <v/>
      </c>
      <c r="AB685" s="7" t="inlineStr">
        <is>
          <t>^Warhead_CannonHE_Medium, ^Warhead_CannonHE_Heavy</t>
        </is>
      </c>
    </row>
    <row r="686">
      <c r="B686" s="7" t="inlineStr">
        <is>
          <t xml:space="preserve">  ↳ AsianSinglePlasma_elite</t>
        </is>
      </c>
      <c r="C686" s="7" t="inlineStr">
        <is>
          <t>Armament@ELITE</t>
        </is>
      </c>
      <c r="L686" s="6" t="n">
        <v>16000</v>
      </c>
      <c r="M686" s="6" t="n">
        <v>34</v>
      </c>
      <c r="N686" s="6" t="n">
        <v>2</v>
      </c>
      <c r="O686" s="6" t="n">
        <v>3</v>
      </c>
      <c r="P686" s="6" t="n">
        <v>5836</v>
      </c>
      <c r="Q686" s="6" t="n">
        <v>1.125</v>
      </c>
      <c r="R686">
        <f>M686+IF(MAX(N686-1,0)&gt;0,IF(ISBLANK(O686),5*MAX(N686-1,0),IF(ISNUMBER(O686),O686*MAX(N686-1,0),SUM(IFERROR(VALUE(TEXTSPLIT(O686,",")),0)))),0)</f>
        <v/>
      </c>
      <c r="S686">
        <f>IFERROR(L686*MAX(N686,1)/R686*IF(ISBLANK(K684),1,K684),0)</f>
        <v/>
      </c>
      <c r="AB686" s="7" t="inlineStr">
        <is>
          <t>^Warhead_CannonHE_Medium, ^Warhead_CannonHE_Heavy</t>
        </is>
      </c>
    </row>
    <row r="687">
      <c r="B687" s="7" t="inlineStr">
        <is>
          <t xml:space="preserve">  ↳ AsianSinglePlasma</t>
        </is>
      </c>
      <c r="C687" s="7" t="inlineStr">
        <is>
          <t>Armament@GARRISONED</t>
        </is>
      </c>
      <c r="L687" s="6" t="n">
        <v>16000</v>
      </c>
      <c r="M687" s="6" t="n">
        <v>34</v>
      </c>
      <c r="N687" s="6" t="n">
        <v>1</v>
      </c>
      <c r="O687" s="6" t="n"/>
      <c r="P687" s="6" t="n">
        <v>5190</v>
      </c>
      <c r="Q687" s="6" t="n">
        <v>1.125</v>
      </c>
      <c r="R687">
        <f>M687+IF(MAX(N687-1,0)&gt;0,IF(ISBLANK(O687),5*MAX(N687-1,0),IF(ISNUMBER(O687),O687*MAX(N687-1,0),SUM(IFERROR(VALUE(TEXTSPLIT(O687,",")),0)))),0)</f>
        <v/>
      </c>
      <c r="S687">
        <f>IFERROR(L687*MAX(N687,1)/R687*IF(ISBLANK(K684),1,K684),0)</f>
        <v/>
      </c>
      <c r="AB687" s="7" t="inlineStr">
        <is>
          <t>^Warhead_CannonHE_Medium, ^Warhead_CannonHE_Heavy</t>
        </is>
      </c>
    </row>
    <row r="688">
      <c r="B688" s="7" t="inlineStr">
        <is>
          <t xml:space="preserve">  ↳ AsianSinglePlasma_elite</t>
        </is>
      </c>
      <c r="C688" s="7" t="inlineStr">
        <is>
          <t>Armament@GARRISONEDELITE</t>
        </is>
      </c>
      <c r="L688" s="6" t="n">
        <v>16000</v>
      </c>
      <c r="M688" s="6" t="n">
        <v>34</v>
      </c>
      <c r="N688" s="6" t="n">
        <v>2</v>
      </c>
      <c r="O688" s="6" t="n">
        <v>3</v>
      </c>
      <c r="P688" s="6" t="n">
        <v>5836</v>
      </c>
      <c r="Q688" s="6" t="n">
        <v>1.125</v>
      </c>
      <c r="R688">
        <f>M688+IF(MAX(N688-1,0)&gt;0,IF(ISBLANK(O688),5*MAX(N688-1,0),IF(ISNUMBER(O688),O688*MAX(N688-1,0),SUM(IFERROR(VALUE(TEXTSPLIT(O688,",")),0)))),0)</f>
        <v/>
      </c>
      <c r="S688">
        <f>IFERROR(L688*MAX(N688,1)/R688*IF(ISBLANK(K684),1,K684),0)</f>
        <v/>
      </c>
      <c r="AB688" s="7" t="inlineStr">
        <is>
          <t>^Warhead_CannonHE_Medium, ^Warhead_CannonHE_Heavy</t>
        </is>
      </c>
    </row>
    <row r="689">
      <c r="A689" t="inlineStr">
        <is>
          <t>redalert2mod</t>
        </is>
      </c>
      <c r="B689" t="inlineStr">
        <is>
          <t>steelconsortium_quantummissiletrooper</t>
        </is>
      </c>
      <c r="C689" t="inlineStr">
        <is>
          <t>Quantum Missile Trooper</t>
        </is>
      </c>
      <c r="D689" s="6" t="inlineStr">
        <is>
          <t>HeavyInfantry</t>
        </is>
      </c>
      <c r="E689" s="6" t="n">
        <v>64000</v>
      </c>
      <c r="F689" s="6" t="n">
        <v>48</v>
      </c>
      <c r="G689" t="inlineStr">
        <is>
          <t>Plate</t>
        </is>
      </c>
      <c r="H689" s="6" t="n">
        <v>0.75</v>
      </c>
      <c r="I689" s="6" t="n">
        <v>0.8</v>
      </c>
      <c r="J689" s="6" t="n">
        <v>1.25</v>
      </c>
      <c r="P689">
        <f>MAX(P690,P691,P692,P693,P695,P696,P697,P698)</f>
        <v/>
      </c>
      <c r="S689">
        <f>S690+S691+S692+S693+S695+S696+S697+S698</f>
        <v/>
      </c>
      <c r="T689">
        <f>(E689/100000+F689/100+(P689/1000)*J689/5+S689/200)*200*I689*H689</f>
        <v/>
      </c>
      <c r="U689">
        <f>((E689*F689/25000)+((P689/1000)*J689*S689/2.5))*I689*H689</f>
        <v/>
      </c>
      <c r="V689">
        <f>(E689*F689*(P689/1000)*J689*S689*I689*H689)/12500000</f>
        <v/>
      </c>
      <c r="W689">
        <f>(T689+U689+V689)/3</f>
        <v/>
      </c>
      <c r="X689" s="6" t="n">
        <v>1150</v>
      </c>
      <c r="Y689">
        <f>IFERROR(W689-X689,"")</f>
        <v/>
      </c>
      <c r="Z689">
        <f>IFERROR(ABS(Y689)/MAX(X689,1),"")</f>
        <v/>
      </c>
      <c r="AA689">
        <f>IFERROR((X689-(((E689/100000+F689/100+S689/200)*200*I689*H689)+((E689*F689/25000)*I689*H689))/3)/(((J689/5)*200*I689*H689)+((J689*S689/2.5)*I689*H689)+((E689*F689*J689*S689*I689*H689)/12500000))/3*1000,"")</f>
        <v/>
      </c>
    </row>
    <row r="690">
      <c r="B690" s="7" t="inlineStr">
        <is>
          <t xml:space="preserve">  ↳ SteelInfRailgun</t>
        </is>
      </c>
      <c r="C690" s="7" t="inlineStr">
        <is>
          <t>Armament@PRIMARY</t>
        </is>
      </c>
      <c r="L690" s="6" t="n">
        <v>16000</v>
      </c>
      <c r="M690" s="6" t="n">
        <v>48</v>
      </c>
      <c r="N690" s="6" t="n">
        <v>2</v>
      </c>
      <c r="O690" s="6" t="n">
        <v>0</v>
      </c>
      <c r="P690" s="6" t="n">
        <v>8000</v>
      </c>
      <c r="Q690" s="6" t="n">
        <v>1</v>
      </c>
      <c r="R690">
        <f>M690+IF(MAX(N690-1,0)&gt;0,IF(ISBLANK(O690),5*MAX(N690-1,0),IF(ISNUMBER(O690),O690*MAX(N690-1,0),SUM(IFERROR(VALUE(TEXTSPLIT(O690,",")),0)))),0)</f>
        <v/>
      </c>
      <c r="S690">
        <f>IFERROR(L690*MAX(N690,1)/R690*IF(ISBLANK(K689),1,K689),0)</f>
        <v/>
      </c>
      <c r="AB690" s="7" t="inlineStr">
        <is>
          <t>^Warhead_Railgun_Heavy, ^Warhead_Flak_Medium, ^Warhead_Bullet_Medium, ^Warhead_MissileAP_Light</t>
        </is>
      </c>
    </row>
    <row r="691">
      <c r="B691" s="7" t="inlineStr">
        <is>
          <t xml:space="preserve">  ↳ SteelInfRailgun_elite</t>
        </is>
      </c>
      <c r="C691" s="7" t="inlineStr">
        <is>
          <t>Armament@PRIMARYELITE</t>
        </is>
      </c>
      <c r="L691" s="6" t="n">
        <v>16000</v>
      </c>
      <c r="M691" s="6" t="n">
        <v>48</v>
      </c>
      <c r="N691" s="6" t="n">
        <v>4</v>
      </c>
      <c r="O691" s="6" t="n">
        <v>0</v>
      </c>
      <c r="P691" s="6" t="n">
        <v>9000</v>
      </c>
      <c r="Q691" s="6" t="n">
        <v>1</v>
      </c>
      <c r="R691">
        <f>M691+IF(MAX(N691-1,0)&gt;0,IF(ISBLANK(O691),5*MAX(N691-1,0),IF(ISNUMBER(O691),O691*MAX(N691-1,0),SUM(IFERROR(VALUE(TEXTSPLIT(O691,",")),0)))),0)</f>
        <v/>
      </c>
      <c r="S691">
        <f>IFERROR(L691*MAX(N691,1)/R691*IF(ISBLANK(K689),1,K689),0)</f>
        <v/>
      </c>
      <c r="AB691" s="7" t="inlineStr">
        <is>
          <t>^Warhead_Railgun_Heavy, ^Warhead_Flak_Medium, ^Warhead_Bullet_Medium, ^Warhead_MissileAP_Light</t>
        </is>
      </c>
    </row>
    <row r="692">
      <c r="B692" s="7" t="inlineStr">
        <is>
          <t xml:space="preserve">  ↳ SteelInfRailgun_EMP</t>
        </is>
      </c>
      <c r="C692" s="7" t="inlineStr">
        <is>
          <t>Armament@UpgradePRIMARY</t>
        </is>
      </c>
      <c r="L692" s="6" t="n">
        <v>20000</v>
      </c>
      <c r="M692" s="6" t="n">
        <v>50</v>
      </c>
      <c r="N692" s="6" t="n">
        <v>2</v>
      </c>
      <c r="O692" s="6" t="n">
        <v>0</v>
      </c>
      <c r="P692" s="6" t="n">
        <v>8000</v>
      </c>
      <c r="Q692" s="6" t="n">
        <v>1</v>
      </c>
      <c r="R692">
        <f>M692+IF(MAX(N692-1,0)&gt;0,IF(ISBLANK(O692),5*MAX(N692-1,0),IF(ISNUMBER(O692),O692*MAX(N692-1,0),SUM(IFERROR(VALUE(TEXTSPLIT(O692,",")),0)))),0)</f>
        <v/>
      </c>
      <c r="S692">
        <f>IFERROR(L692*MAX(N692,1)/R692*IF(ISBLANK(K689),1,K689),0)</f>
        <v/>
      </c>
      <c r="AB692" s="7" t="inlineStr">
        <is>
          <t>^Warhead_Railgun_Heavy, ^Warhead_Flak_Medium, ^Warhead_Bullet_Medium, ^Warhead_MissileAP_Light</t>
        </is>
      </c>
    </row>
    <row r="693">
      <c r="B693" s="7" t="inlineStr">
        <is>
          <t xml:space="preserve">  ↳ SteelInfRailgun_EMP_elite</t>
        </is>
      </c>
      <c r="C693" s="7" t="inlineStr">
        <is>
          <t>Armament@UpgradePRIMARYELITE</t>
        </is>
      </c>
      <c r="L693" s="6" t="n">
        <v>20000</v>
      </c>
      <c r="M693" s="6" t="n">
        <v>50</v>
      </c>
      <c r="N693" s="6" t="n">
        <v>4</v>
      </c>
      <c r="O693" s="6" t="n">
        <v>0</v>
      </c>
      <c r="P693" s="6" t="n">
        <v>9000</v>
      </c>
      <c r="Q693" s="6" t="n">
        <v>1</v>
      </c>
      <c r="R693">
        <f>M693+IF(MAX(N693-1,0)&gt;0,IF(ISBLANK(O693),5*MAX(N693-1,0),IF(ISNUMBER(O693),O693*MAX(N693-1,0),SUM(IFERROR(VALUE(TEXTSPLIT(O693,",")),0)))),0)</f>
        <v/>
      </c>
      <c r="S693">
        <f>IFERROR(L693*MAX(N693,1)/R693*IF(ISBLANK(K689),1,K689),0)</f>
        <v/>
      </c>
      <c r="AB693" s="7" t="inlineStr">
        <is>
          <t>^Warhead_Railgun_Heavy, ^Warhead_Flak_Medium, ^Warhead_Bullet_Medium, ^Warhead_MissileAP_Light</t>
        </is>
      </c>
    </row>
    <row r="694">
      <c r="B694" s="7" t="inlineStr">
        <is>
          <t xml:space="preserve">  ↳ aadeploytargeting_8c0_AA</t>
        </is>
      </c>
      <c r="C694" s="7" t="inlineStr">
        <is>
          <t>Armament@BOTAA</t>
        </is>
      </c>
      <c r="M694" s="6" t="n">
        <v>50</v>
      </c>
      <c r="N694" s="6" t="n">
        <v>1</v>
      </c>
      <c r="O694" s="6" t="n"/>
      <c r="P694" s="6" t="n">
        <v>8000</v>
      </c>
      <c r="Q694" s="6" t="n">
        <v>1</v>
      </c>
      <c r="R694">
        <f>M694+IF(MAX(N694-1,0)&gt;0,IF(ISBLANK(O694),5*MAX(N694-1,0),IF(ISNUMBER(O694),O694*MAX(N694-1,0),SUM(IFERROR(VALUE(TEXTSPLIT(O694,",")),0)))),0)</f>
        <v/>
      </c>
      <c r="S694">
        <f>IFERROR(L694*MAX(N694,1)/R694*IF(ISBLANK(K689),1,K689),0)</f>
        <v/>
      </c>
      <c r="AB694" s="7" t="inlineStr">
        <is>
          <t>^AADeployTargeting</t>
        </is>
      </c>
    </row>
    <row r="695">
      <c r="B695" s="7" t="inlineStr">
        <is>
          <t xml:space="preserve">  ↳ SteelInfRailgun</t>
        </is>
      </c>
      <c r="C695" s="7" t="inlineStr">
        <is>
          <t>Armament@DEPLOYED</t>
        </is>
      </c>
      <c r="L695" s="6" t="n">
        <v>16000</v>
      </c>
      <c r="M695" s="6" t="n">
        <v>48</v>
      </c>
      <c r="N695" s="6" t="n">
        <v>2</v>
      </c>
      <c r="O695" s="6" t="n">
        <v>0</v>
      </c>
      <c r="P695" s="6" t="n">
        <v>8000</v>
      </c>
      <c r="Q695" s="6" t="n">
        <v>1</v>
      </c>
      <c r="R695">
        <f>M695+IF(MAX(N695-1,0)&gt;0,IF(ISBLANK(O695),5*MAX(N695-1,0),IF(ISNUMBER(O695),O695*MAX(N695-1,0),SUM(IFERROR(VALUE(TEXTSPLIT(O695,",")),0)))),0)</f>
        <v/>
      </c>
      <c r="S695">
        <f>IFERROR(L695*MAX(N695,1)/R695*IF(ISBLANK(K689),1,K689),0)</f>
        <v/>
      </c>
      <c r="AB695" s="7" t="inlineStr">
        <is>
          <t>^Warhead_Railgun_Heavy, ^Warhead_Flak_Medium, ^Warhead_Bullet_Medium, ^Warhead_MissileAP_Light</t>
        </is>
      </c>
    </row>
    <row r="696">
      <c r="B696" s="7" t="inlineStr">
        <is>
          <t xml:space="preserve">  ↳ SteelInfRailgun_elite</t>
        </is>
      </c>
      <c r="C696" s="7" t="inlineStr">
        <is>
          <t>Armament@DEPLOYEDELITE</t>
        </is>
      </c>
      <c r="L696" s="6" t="n">
        <v>16000</v>
      </c>
      <c r="M696" s="6" t="n">
        <v>48</v>
      </c>
      <c r="N696" s="6" t="n">
        <v>4</v>
      </c>
      <c r="O696" s="6" t="n">
        <v>0</v>
      </c>
      <c r="P696" s="6" t="n">
        <v>9000</v>
      </c>
      <c r="Q696" s="6" t="n">
        <v>1</v>
      </c>
      <c r="R696">
        <f>M696+IF(MAX(N696-1,0)&gt;0,IF(ISBLANK(O696),5*MAX(N696-1,0),IF(ISNUMBER(O696),O696*MAX(N696-1,0),SUM(IFERROR(VALUE(TEXTSPLIT(O696,",")),0)))),0)</f>
        <v/>
      </c>
      <c r="S696">
        <f>IFERROR(L696*MAX(N696,1)/R696*IF(ISBLANK(K689),1,K689),0)</f>
        <v/>
      </c>
      <c r="AB696" s="7" t="inlineStr">
        <is>
          <t>^Warhead_Railgun_Heavy, ^Warhead_Flak_Medium, ^Warhead_Bullet_Medium, ^Warhead_MissileAP_Light</t>
        </is>
      </c>
    </row>
    <row r="697">
      <c r="B697" s="7" t="inlineStr">
        <is>
          <t xml:space="preserve">  ↳ SteelInfRailgun_EMP</t>
        </is>
      </c>
      <c r="C697" s="7" t="inlineStr">
        <is>
          <t>Armament@UpgradeDEPLOYED</t>
        </is>
      </c>
      <c r="L697" s="6" t="n">
        <v>20000</v>
      </c>
      <c r="M697" s="6" t="n">
        <v>50</v>
      </c>
      <c r="N697" s="6" t="n">
        <v>2</v>
      </c>
      <c r="O697" s="6" t="n">
        <v>0</v>
      </c>
      <c r="P697" s="6" t="n">
        <v>8000</v>
      </c>
      <c r="Q697" s="6" t="n">
        <v>1</v>
      </c>
      <c r="R697">
        <f>M697+IF(MAX(N697-1,0)&gt;0,IF(ISBLANK(O697),5*MAX(N697-1,0),IF(ISNUMBER(O697),O697*MAX(N697-1,0),SUM(IFERROR(VALUE(TEXTSPLIT(O697,",")),0)))),0)</f>
        <v/>
      </c>
      <c r="S697">
        <f>IFERROR(L697*MAX(N697,1)/R697*IF(ISBLANK(K689),1,K689),0)</f>
        <v/>
      </c>
      <c r="AB697" s="7" t="inlineStr">
        <is>
          <t>^Warhead_Railgun_Heavy, ^Warhead_Flak_Medium, ^Warhead_Bullet_Medium, ^Warhead_MissileAP_Light</t>
        </is>
      </c>
    </row>
    <row r="698">
      <c r="B698" s="7" t="inlineStr">
        <is>
          <t xml:space="preserve">  ↳ SteelInfRailgun_EMP_elite</t>
        </is>
      </c>
      <c r="C698" s="7" t="inlineStr">
        <is>
          <t>Armament@UpgradeDEPLOYEDELITE</t>
        </is>
      </c>
      <c r="L698" s="6" t="n">
        <v>20000</v>
      </c>
      <c r="M698" s="6" t="n">
        <v>50</v>
      </c>
      <c r="N698" s="6" t="n">
        <v>4</v>
      </c>
      <c r="O698" s="6" t="n">
        <v>0</v>
      </c>
      <c r="P698" s="6" t="n">
        <v>9000</v>
      </c>
      <c r="Q698" s="6" t="n">
        <v>1</v>
      </c>
      <c r="R698">
        <f>M698+IF(MAX(N698-1,0)&gt;0,IF(ISBLANK(O698),5*MAX(N698-1,0),IF(ISNUMBER(O698),O698*MAX(N698-1,0),SUM(IFERROR(VALUE(TEXTSPLIT(O698,",")),0)))),0)</f>
        <v/>
      </c>
      <c r="S698">
        <f>IFERROR(L698*MAX(N698,1)/R698*IF(ISBLANK(K689),1,K689),0)</f>
        <v/>
      </c>
      <c r="AB698" s="7" t="inlineStr">
        <is>
          <t>^Warhead_Railgun_Heavy, ^Warhead_Flak_Medium, ^Warhead_Bullet_Medium, ^Warhead_MissileAP_Light</t>
        </is>
      </c>
    </row>
    <row r="699">
      <c r="B699" s="7" t="inlineStr">
        <is>
          <t xml:space="preserve">  ↳ SteelInfRailgun</t>
        </is>
      </c>
      <c r="C699" s="7" t="inlineStr">
        <is>
          <t>Armament@GARRISONED</t>
        </is>
      </c>
      <c r="L699" s="6" t="n">
        <v>16000</v>
      </c>
      <c r="M699" s="6" t="n">
        <v>48</v>
      </c>
      <c r="N699" s="6" t="n">
        <v>2</v>
      </c>
      <c r="O699" s="6" t="n">
        <v>0</v>
      </c>
      <c r="P699" s="6" t="n">
        <v>8000</v>
      </c>
      <c r="Q699" s="6" t="n">
        <v>1</v>
      </c>
      <c r="R699">
        <f>M699+IF(MAX(N699-1,0)&gt;0,IF(ISBLANK(O699),5*MAX(N699-1,0),IF(ISNUMBER(O699),O699*MAX(N699-1,0),SUM(IFERROR(VALUE(TEXTSPLIT(O699,",")),0)))),0)</f>
        <v/>
      </c>
      <c r="S699">
        <f>IFERROR(L699*MAX(N699,1)/R699*IF(ISBLANK(K689),1,K689),0)</f>
        <v/>
      </c>
      <c r="AB699" s="7" t="inlineStr">
        <is>
          <t>^Warhead_Railgun_Heavy, ^Warhead_Flak_Medium, ^Warhead_Bullet_Medium, ^Warhead_MissileAP_Light</t>
        </is>
      </c>
    </row>
    <row r="700">
      <c r="B700" s="7" t="inlineStr">
        <is>
          <t xml:space="preserve">  ↳ SteelInfRailgun_elite</t>
        </is>
      </c>
      <c r="C700" s="7" t="inlineStr">
        <is>
          <t>Armament@GARRISONEDELITE</t>
        </is>
      </c>
      <c r="L700" s="6" t="n">
        <v>16000</v>
      </c>
      <c r="M700" s="6" t="n">
        <v>48</v>
      </c>
      <c r="N700" s="6" t="n">
        <v>4</v>
      </c>
      <c r="O700" s="6" t="n">
        <v>0</v>
      </c>
      <c r="P700" s="6" t="n">
        <v>9000</v>
      </c>
      <c r="Q700" s="6" t="n">
        <v>1</v>
      </c>
      <c r="R700">
        <f>M700+IF(MAX(N700-1,0)&gt;0,IF(ISBLANK(O700),5*MAX(N700-1,0),IF(ISNUMBER(O700),O700*MAX(N700-1,0),SUM(IFERROR(VALUE(TEXTSPLIT(O700,",")),0)))),0)</f>
        <v/>
      </c>
      <c r="S700">
        <f>IFERROR(L700*MAX(N700,1)/R700*IF(ISBLANK(K689),1,K689),0)</f>
        <v/>
      </c>
      <c r="AB700" s="7" t="inlineStr">
        <is>
          <t>^Warhead_Railgun_Heavy, ^Warhead_Flak_Medium, ^Warhead_Bullet_Medium, ^Warhead_MissileAP_Light</t>
        </is>
      </c>
    </row>
    <row r="701">
      <c r="B701" s="7" t="inlineStr">
        <is>
          <t xml:space="preserve">  ↳ SteelInfRailgun_EMP</t>
        </is>
      </c>
      <c r="C701" s="7" t="inlineStr">
        <is>
          <t>Armament@UpgradeGARRISONED</t>
        </is>
      </c>
      <c r="L701" s="6" t="n">
        <v>20000</v>
      </c>
      <c r="M701" s="6" t="n">
        <v>50</v>
      </c>
      <c r="N701" s="6" t="n">
        <v>2</v>
      </c>
      <c r="O701" s="6" t="n">
        <v>0</v>
      </c>
      <c r="P701" s="6" t="n">
        <v>8000</v>
      </c>
      <c r="Q701" s="6" t="n">
        <v>1</v>
      </c>
      <c r="R701">
        <f>M701+IF(MAX(N701-1,0)&gt;0,IF(ISBLANK(O701),5*MAX(N701-1,0),IF(ISNUMBER(O701),O701*MAX(N701-1,0),SUM(IFERROR(VALUE(TEXTSPLIT(O701,",")),0)))),0)</f>
        <v/>
      </c>
      <c r="S701">
        <f>IFERROR(L701*MAX(N701,1)/R701*IF(ISBLANK(K689),1,K689),0)</f>
        <v/>
      </c>
      <c r="AB701" s="7" t="inlineStr">
        <is>
          <t>^Warhead_Railgun_Heavy, ^Warhead_Flak_Medium, ^Warhead_Bullet_Medium, ^Warhead_MissileAP_Light</t>
        </is>
      </c>
    </row>
    <row r="702">
      <c r="B702" s="7" t="inlineStr">
        <is>
          <t xml:space="preserve">  ↳ SteelInfRailgun_EMP_elite</t>
        </is>
      </c>
      <c r="C702" s="7" t="inlineStr">
        <is>
          <t>Armament@UpgradeGARRISONEDELITE</t>
        </is>
      </c>
      <c r="L702" s="6" t="n">
        <v>20000</v>
      </c>
      <c r="M702" s="6" t="n">
        <v>50</v>
      </c>
      <c r="N702" s="6" t="n">
        <v>4</v>
      </c>
      <c r="O702" s="6" t="n">
        <v>0</v>
      </c>
      <c r="P702" s="6" t="n">
        <v>9000</v>
      </c>
      <c r="Q702" s="6" t="n">
        <v>1</v>
      </c>
      <c r="R702">
        <f>M702+IF(MAX(N702-1,0)&gt;0,IF(ISBLANK(O702),5*MAX(N702-1,0),IF(ISNUMBER(O702),O702*MAX(N702-1,0),SUM(IFERROR(VALUE(TEXTSPLIT(O702,",")),0)))),0)</f>
        <v/>
      </c>
      <c r="S702">
        <f>IFERROR(L702*MAX(N702,1)/R702*IF(ISBLANK(K689),1,K689),0)</f>
        <v/>
      </c>
      <c r="AB702" s="7" t="inlineStr">
        <is>
          <t>^Warhead_Railgun_Heavy, ^Warhead_Flak_Medium, ^Warhead_Bullet_Medium, ^Warhead_MissileAP_Light</t>
        </is>
      </c>
    </row>
    <row r="703">
      <c r="A703" t="inlineStr">
        <is>
          <t>redalert2mod</t>
        </is>
      </c>
      <c r="B703" t="inlineStr">
        <is>
          <t>latinsyndicate_latinflametrooper</t>
        </is>
      </c>
      <c r="C703" t="inlineStr">
        <is>
          <t>Latin Flame Trooper</t>
        </is>
      </c>
      <c r="D703" s="6" t="inlineStr">
        <is>
          <t>HeavyInfantry</t>
        </is>
      </c>
      <c r="E703" s="6" t="n">
        <v>55000</v>
      </c>
      <c r="F703" s="6" t="n">
        <v>55</v>
      </c>
      <c r="G703" t="inlineStr">
        <is>
          <t>Plate</t>
        </is>
      </c>
      <c r="H703" s="6" t="n">
        <v>0.5077</v>
      </c>
      <c r="I703" s="6" t="n">
        <v>1</v>
      </c>
      <c r="J703" s="6" t="n">
        <v>1</v>
      </c>
      <c r="P703">
        <f>MAX(P704,P705)</f>
        <v/>
      </c>
      <c r="S703">
        <f>S704+S705</f>
        <v/>
      </c>
      <c r="T703">
        <f>(E703/100000+F703/100+(P703/1000)*J703/5+S703/200)*200*I703*H703</f>
        <v/>
      </c>
      <c r="U703">
        <f>((E703*F703/25000)+((P703/1000)*J703*S703/2.5))*I703*H703</f>
        <v/>
      </c>
      <c r="V703">
        <f>(E703*F703*(P703/1000)*J703*S703*I703*H703)/12500000</f>
        <v/>
      </c>
      <c r="W703">
        <f>(T703+U703+V703)/3</f>
        <v/>
      </c>
      <c r="X703" s="6" t="n">
        <v>500</v>
      </c>
      <c r="Y703">
        <f>IFERROR(W703-X703,"")</f>
        <v/>
      </c>
      <c r="Z703">
        <f>IFERROR(ABS(Y703)/MAX(X703,1),"")</f>
        <v/>
      </c>
      <c r="AA703">
        <f>IFERROR((X703-(((E703/100000+F703/100+S703/200)*200*I703*H703)+((E703*F703/25000)*I703*H703))/3)/(((J703/5)*200*I703*H703)+((J703*S703/2.5)*I703*H703)+((E703*F703*J703*S703*I703*H703)/12500000))/3*1000,"")</f>
        <v/>
      </c>
    </row>
    <row r="704">
      <c r="B704" s="7" t="inlineStr">
        <is>
          <t xml:space="preserve">  ↳ SyndicateFireballLauncher</t>
        </is>
      </c>
      <c r="C704" s="7" t="inlineStr">
        <is>
          <t>Armament@PRIMARY</t>
        </is>
      </c>
      <c r="L704" s="6" t="n">
        <v>6000</v>
      </c>
      <c r="M704" s="6" t="n">
        <v>44</v>
      </c>
      <c r="N704" s="6" t="n">
        <v>4</v>
      </c>
      <c r="O704" s="6" t="n">
        <v>4</v>
      </c>
      <c r="P704" s="6" t="n">
        <v>5555</v>
      </c>
      <c r="Q704" s="6" t="n">
        <v>1</v>
      </c>
      <c r="R704">
        <f>M704+IF(MAX(N704-1,0)&gt;0,IF(ISBLANK(O704),5*MAX(N704-1,0),IF(ISNUMBER(O704),O704*MAX(N704-1,0),SUM(IFERROR(VALUE(TEXTSPLIT(O704,",")),0)))),0)</f>
        <v/>
      </c>
      <c r="S704">
        <f>IFERROR(L704*MAX(N704,1)/R704*IF(ISBLANK(K703),1,K703),0)</f>
        <v/>
      </c>
      <c r="AB704" s="7" t="inlineStr">
        <is>
          <t>^Warhead_Flame_Light, ^Warhead_Flame_Medium, ^Warhead_Flame_Heavy</t>
        </is>
      </c>
    </row>
    <row r="705">
      <c r="B705" s="7" t="inlineStr">
        <is>
          <t xml:space="preserve">  ↳ SyndicateFireballLauncher_elite</t>
        </is>
      </c>
      <c r="C705" s="7" t="inlineStr">
        <is>
          <t>Armament@ELITE</t>
        </is>
      </c>
      <c r="L705" s="6" t="n">
        <v>6000</v>
      </c>
      <c r="M705" s="6" t="n">
        <v>44</v>
      </c>
      <c r="N705" s="6" t="n">
        <v>8</v>
      </c>
      <c r="O705" s="6" t="n">
        <v>3</v>
      </c>
      <c r="P705" s="6" t="n">
        <v>6666</v>
      </c>
      <c r="Q705" s="6" t="n">
        <v>1</v>
      </c>
      <c r="R705">
        <f>M705+IF(MAX(N705-1,0)&gt;0,IF(ISBLANK(O705),5*MAX(N705-1,0),IF(ISNUMBER(O705),O705*MAX(N705-1,0),SUM(IFERROR(VALUE(TEXTSPLIT(O705,",")),0)))),0)</f>
        <v/>
      </c>
      <c r="S705">
        <f>IFERROR(L705*MAX(N705,1)/R705*IF(ISBLANK(K703),1,K703),0)</f>
        <v/>
      </c>
      <c r="AB705" s="7" t="inlineStr">
        <is>
          <t>^Warhead_Flame_Light, ^Warhead_Flame_Medium, ^Warhead_Flame_Heavy</t>
        </is>
      </c>
    </row>
    <row r="706">
      <c r="B706" s="7" t="inlineStr">
        <is>
          <t xml:space="preserve">  ↳ SyndicateFireballLauncher</t>
        </is>
      </c>
      <c r="C706" s="7" t="inlineStr">
        <is>
          <t>Armament@GARRISONED</t>
        </is>
      </c>
      <c r="L706" s="6" t="n">
        <v>6000</v>
      </c>
      <c r="M706" s="6" t="n">
        <v>44</v>
      </c>
      <c r="N706" s="6" t="n">
        <v>4</v>
      </c>
      <c r="O706" s="6" t="n">
        <v>4</v>
      </c>
      <c r="P706" s="6" t="n">
        <v>5555</v>
      </c>
      <c r="Q706" s="6" t="n">
        <v>1</v>
      </c>
      <c r="R706">
        <f>M706+IF(MAX(N706-1,0)&gt;0,IF(ISBLANK(O706),5*MAX(N706-1,0),IF(ISNUMBER(O706),O706*MAX(N706-1,0),SUM(IFERROR(VALUE(TEXTSPLIT(O706,",")),0)))),0)</f>
        <v/>
      </c>
      <c r="S706">
        <f>IFERROR(L706*MAX(N706,1)/R706*IF(ISBLANK(K703),1,K703),0)</f>
        <v/>
      </c>
      <c r="AB706" s="7" t="inlineStr">
        <is>
          <t>^Warhead_Flame_Light, ^Warhead_Flame_Medium, ^Warhead_Flame_Heavy</t>
        </is>
      </c>
    </row>
    <row r="707">
      <c r="B707" s="7" t="inlineStr">
        <is>
          <t xml:space="preserve">  ↳ SyndicateFireballLauncher_elite</t>
        </is>
      </c>
      <c r="C707" s="7" t="inlineStr">
        <is>
          <t>Armament@GARRISONEDELITE</t>
        </is>
      </c>
      <c r="L707" s="6" t="n">
        <v>6000</v>
      </c>
      <c r="M707" s="6" t="n">
        <v>44</v>
      </c>
      <c r="N707" s="6" t="n">
        <v>8</v>
      </c>
      <c r="O707" s="6" t="n">
        <v>3</v>
      </c>
      <c r="P707" s="6" t="n">
        <v>6666</v>
      </c>
      <c r="Q707" s="6" t="n">
        <v>1</v>
      </c>
      <c r="R707">
        <f>M707+IF(MAX(N707-1,0)&gt;0,IF(ISBLANK(O707),5*MAX(N707-1,0),IF(ISNUMBER(O707),O707*MAX(N707-1,0),SUM(IFERROR(VALUE(TEXTSPLIT(O707,",")),0)))),0)</f>
        <v/>
      </c>
      <c r="S707">
        <f>IFERROR(L707*MAX(N707,1)/R707*IF(ISBLANK(K703),1,K703),0)</f>
        <v/>
      </c>
      <c r="AB707" s="7" t="inlineStr">
        <is>
          <t>^Warhead_Flame_Light, ^Warhead_Flame_Medium, ^Warhead_Flame_Heavy</t>
        </is>
      </c>
    </row>
    <row r="708">
      <c r="A708" t="inlineStr">
        <is>
          <t>redalert2mod</t>
        </is>
      </c>
      <c r="B708" t="inlineStr">
        <is>
          <t>naxis_naxiflamer</t>
        </is>
      </c>
      <c r="C708" t="inlineStr">
        <is>
          <t>Naxi Flamer</t>
        </is>
      </c>
      <c r="D708" s="6" t="inlineStr">
        <is>
          <t>HeavyInfantry</t>
        </is>
      </c>
      <c r="E708" s="6" t="n">
        <v>24000</v>
      </c>
      <c r="F708" s="6" t="n">
        <v>48</v>
      </c>
      <c r="G708" t="inlineStr">
        <is>
          <t>Plate</t>
        </is>
      </c>
      <c r="H708" s="6" t="n">
        <v>0.7466</v>
      </c>
      <c r="I708" s="6" t="n">
        <v>1</v>
      </c>
      <c r="J708" s="6" t="n">
        <v>1</v>
      </c>
      <c r="P708">
        <f>MAX(P709,P710)</f>
        <v/>
      </c>
      <c r="S708">
        <f>S709+S710</f>
        <v/>
      </c>
      <c r="T708">
        <f>(E708/100000+F708/100+(P708/1000)*J708/5+S708/200)*200*I708*H708</f>
        <v/>
      </c>
      <c r="U708">
        <f>((E708*F708/25000)+((P708/1000)*J708*S708/2.5))*I708*H708</f>
        <v/>
      </c>
      <c r="V708">
        <f>(E708*F708*(P708/1000)*J708*S708*I708*H708)/12500000</f>
        <v/>
      </c>
      <c r="W708">
        <f>(T708+U708+V708)/3</f>
        <v/>
      </c>
      <c r="X708" s="6" t="n">
        <v>225</v>
      </c>
      <c r="Y708">
        <f>IFERROR(W708-X708,"")</f>
        <v/>
      </c>
      <c r="Z708">
        <f>IFERROR(ABS(Y708)/MAX(X708,1),"")</f>
        <v/>
      </c>
      <c r="AA708">
        <f>IFERROR((X708-(((E708/100000+F708/100+S708/200)*200*I708*H708)+((E708*F708/25000)*I708*H708))/3)/(((J708/5)*200*I708*H708)+((J708*S708/2.5)*I708*H708)+((E708*F708*J708*S708*I708*H708)/12500000))/3*1000,"")</f>
        <v/>
      </c>
    </row>
    <row r="709">
      <c r="B709" s="7" t="inlineStr">
        <is>
          <t xml:space="preserve">  ↳ NaxiFlamerTroop</t>
        </is>
      </c>
      <c r="C709" s="7" t="inlineStr">
        <is>
          <t>Armament@PRIMARY</t>
        </is>
      </c>
      <c r="L709" s="6" t="n">
        <v>4000</v>
      </c>
      <c r="M709" s="6" t="n">
        <v>60</v>
      </c>
      <c r="N709" s="6" t="n">
        <v>3</v>
      </c>
      <c r="O709" s="6" t="n">
        <v>3</v>
      </c>
      <c r="P709" s="6" t="n">
        <v>4830</v>
      </c>
      <c r="Q709" s="6" t="n">
        <v>0.75</v>
      </c>
      <c r="R709">
        <f>M709+IF(MAX(N709-1,0)&gt;0,IF(ISBLANK(O709),5*MAX(N709-1,0),IF(ISNUMBER(O709),O709*MAX(N709-1,0),SUM(IFERROR(VALUE(TEXTSPLIT(O709,",")),0)))),0)</f>
        <v/>
      </c>
      <c r="S709">
        <f>IFERROR(L709*MAX(N709,1)/R709*IF(ISBLANK(K708),1,K708),0)</f>
        <v/>
      </c>
      <c r="AB709" s="7" t="inlineStr">
        <is>
          <t>^Warhead_Flame_Light</t>
        </is>
      </c>
    </row>
    <row r="710">
      <c r="B710" s="7" t="inlineStr">
        <is>
          <t xml:space="preserve">  ↳ NaxiFlamerTroop_elite</t>
        </is>
      </c>
      <c r="C710" s="7" t="inlineStr">
        <is>
          <t>Armament@ELITE</t>
        </is>
      </c>
      <c r="L710" s="6" t="n">
        <v>4000</v>
      </c>
      <c r="M710" s="6" t="n">
        <v>60</v>
      </c>
      <c r="N710" s="6" t="n">
        <v>6</v>
      </c>
      <c r="O710" s="6" t="n">
        <v>3</v>
      </c>
      <c r="P710" s="6" t="n">
        <v>5830</v>
      </c>
      <c r="Q710" s="6" t="n">
        <v>0.75</v>
      </c>
      <c r="R710">
        <f>M710+IF(MAX(N710-1,0)&gt;0,IF(ISBLANK(O710),5*MAX(N710-1,0),IF(ISNUMBER(O710),O710*MAX(N710-1,0),SUM(IFERROR(VALUE(TEXTSPLIT(O710,",")),0)))),0)</f>
        <v/>
      </c>
      <c r="S710">
        <f>IFERROR(L710*MAX(N710,1)/R710*IF(ISBLANK(K708),1,K708),0)</f>
        <v/>
      </c>
      <c r="AB710" s="7" t="inlineStr">
        <is>
          <t>^Warhead_Flame_Light</t>
        </is>
      </c>
    </row>
    <row r="711">
      <c r="B711" s="7" t="inlineStr">
        <is>
          <t xml:space="preserve">  ↳ NaxiFlamerTroop</t>
        </is>
      </c>
      <c r="C711" s="7" t="inlineStr">
        <is>
          <t>Armament@GARRISONED</t>
        </is>
      </c>
      <c r="L711" s="6" t="n">
        <v>4000</v>
      </c>
      <c r="M711" s="6" t="n">
        <v>60</v>
      </c>
      <c r="N711" s="6" t="n">
        <v>3</v>
      </c>
      <c r="O711" s="6" t="n">
        <v>3</v>
      </c>
      <c r="P711" s="6" t="n">
        <v>4830</v>
      </c>
      <c r="Q711" s="6" t="n">
        <v>0.75</v>
      </c>
      <c r="R711">
        <f>M711+IF(MAX(N711-1,0)&gt;0,IF(ISBLANK(O711),5*MAX(N711-1,0),IF(ISNUMBER(O711),O711*MAX(N711-1,0),SUM(IFERROR(VALUE(TEXTSPLIT(O711,",")),0)))),0)</f>
        <v/>
      </c>
      <c r="S711">
        <f>IFERROR(L711*MAX(N711,1)/R711*IF(ISBLANK(K708),1,K708),0)</f>
        <v/>
      </c>
      <c r="AB711" s="7" t="inlineStr">
        <is>
          <t>^Warhead_Flame_Light</t>
        </is>
      </c>
    </row>
    <row r="712">
      <c r="B712" s="7" t="inlineStr">
        <is>
          <t xml:space="preserve">  ↳ NaxiFlamerTroop_elite</t>
        </is>
      </c>
      <c r="C712" s="7" t="inlineStr">
        <is>
          <t>Armament@GARRISONEDELITE</t>
        </is>
      </c>
      <c r="L712" s="6" t="n">
        <v>4000</v>
      </c>
      <c r="M712" s="6" t="n">
        <v>60</v>
      </c>
      <c r="N712" s="6" t="n">
        <v>6</v>
      </c>
      <c r="O712" s="6" t="n">
        <v>3</v>
      </c>
      <c r="P712" s="6" t="n">
        <v>5830</v>
      </c>
      <c r="Q712" s="6" t="n">
        <v>0.75</v>
      </c>
      <c r="R712">
        <f>M712+IF(MAX(N712-1,0)&gt;0,IF(ISBLANK(O712),5*MAX(N712-1,0),IF(ISNUMBER(O712),O712*MAX(N712-1,0),SUM(IFERROR(VALUE(TEXTSPLIT(O712,",")),0)))),0)</f>
        <v/>
      </c>
      <c r="S712">
        <f>IFERROR(L712*MAX(N712,1)/R712*IF(ISBLANK(K708),1,K708),0)</f>
        <v/>
      </c>
      <c r="AB712" s="7" t="inlineStr">
        <is>
          <t>^Warhead_Flame_Light</t>
        </is>
      </c>
    </row>
    <row r="713">
      <c r="A713" t="inlineStr">
        <is>
          <t>redalert2mod</t>
        </is>
      </c>
      <c r="B713" t="inlineStr">
        <is>
          <t>naxis_naximachinegunners</t>
        </is>
      </c>
      <c r="C713" t="inlineStr">
        <is>
          <t>Naxi Machinegunners</t>
        </is>
      </c>
      <c r="D713" s="6" t="inlineStr">
        <is>
          <t>HeavyInfantry</t>
        </is>
      </c>
      <c r="E713" s="6" t="n">
        <v>60000</v>
      </c>
      <c r="F713" s="6" t="n">
        <v>55</v>
      </c>
      <c r="G713" t="inlineStr">
        <is>
          <t>Plate</t>
        </is>
      </c>
      <c r="H713" s="6" t="n">
        <v>0.75</v>
      </c>
      <c r="I713" s="6" t="n">
        <v>0.8</v>
      </c>
      <c r="J713" s="6" t="n">
        <v>1.25</v>
      </c>
      <c r="P713">
        <f>MAX(P715,P716)</f>
        <v/>
      </c>
      <c r="S713">
        <f>S715+S716</f>
        <v/>
      </c>
      <c r="T713">
        <f>(E713/100000+F713/100+(P713/1000)*J713/5+S713/200)*200*I713*H713</f>
        <v/>
      </c>
      <c r="U713">
        <f>((E713*F713/25000)+((P713/1000)*J713*S713/2.5))*I713*H713</f>
        <v/>
      </c>
      <c r="V713">
        <f>(E713*F713*(P713/1000)*J713*S713*I713*H713)/12500000</f>
        <v/>
      </c>
      <c r="W713">
        <f>(T713+U713+V713)/3</f>
        <v/>
      </c>
      <c r="X713" s="6" t="n">
        <v>600</v>
      </c>
      <c r="Y713">
        <f>IFERROR(W713-X713,"")</f>
        <v/>
      </c>
      <c r="Z713">
        <f>IFERROR(ABS(Y713)/MAX(X713,1),"")</f>
        <v/>
      </c>
      <c r="AA713">
        <f>IFERROR((X713-(((E713/100000+F713/100+S713/200)*200*I713*H713)+((E713*F713/25000)*I713*H713))/3)/(((J713/5)*200*I713*H713)+((J713*S713/2.5)*I713*H713)+((E713*F713*J713*S713*I713*H713)/12500000))/3*1000,"")</f>
        <v/>
      </c>
    </row>
    <row r="714">
      <c r="B714" s="7" t="inlineStr">
        <is>
          <t xml:space="preserve">  ↳ NaxiWW2MachinegunnerTargeting</t>
        </is>
      </c>
      <c r="C714" s="7" t="inlineStr">
        <is>
          <t>Armament@Dummy</t>
        </is>
      </c>
      <c r="M714" s="6" t="n">
        <v>50</v>
      </c>
      <c r="N714" s="6" t="n">
        <v>1</v>
      </c>
      <c r="O714" s="6" t="n"/>
      <c r="P714" s="6" t="n">
        <v>8970</v>
      </c>
      <c r="Q714" s="6" t="n">
        <v>1</v>
      </c>
      <c r="R714">
        <f>M714+IF(MAX(N714-1,0)&gt;0,IF(ISBLANK(O714),5*MAX(N714-1,0),IF(ISNUMBER(O714),O714*MAX(N714-1,0),SUM(IFERROR(VALUE(TEXTSPLIT(O714,",")),0)))),0)</f>
        <v/>
      </c>
      <c r="S714">
        <f>IFERROR(L714*MAX(N714,1)/R714*IF(ISBLANK(K713),1,K713),0)</f>
        <v/>
      </c>
      <c r="AB714" s="7" t="inlineStr">
        <is>
          <t>^DeployTargeting</t>
        </is>
      </c>
    </row>
    <row r="715">
      <c r="B715" s="7" t="inlineStr">
        <is>
          <t xml:space="preserve">  ↳ NaxiWW2Machinegunner</t>
        </is>
      </c>
      <c r="C715" s="7" t="inlineStr">
        <is>
          <t>Armament@Deployed</t>
        </is>
      </c>
      <c r="L715" s="6" t="n">
        <v>8000</v>
      </c>
      <c r="M715" s="6" t="n">
        <v>90</v>
      </c>
      <c r="N715" s="6" t="n">
        <v>10</v>
      </c>
      <c r="O715" s="6" t="n">
        <v>5</v>
      </c>
      <c r="P715" s="6" t="n">
        <v>8970</v>
      </c>
      <c r="Q715" s="6" t="n">
        <v>0.875</v>
      </c>
      <c r="R715">
        <f>M715+IF(MAX(N715-1,0)&gt;0,IF(ISBLANK(O715),5*MAX(N715-1,0),IF(ISNUMBER(O715),O715*MAX(N715-1,0),SUM(IFERROR(VALUE(TEXTSPLIT(O715,",")),0)))),0)</f>
        <v/>
      </c>
      <c r="S715">
        <f>IFERROR(L715*MAX(N715,1)/R715*IF(ISBLANK(K713),1,K713),0)</f>
        <v/>
      </c>
      <c r="AB715" s="7" t="inlineStr">
        <is>
          <t>^Warhead_Bullet_Light, ^Warhead_Bullet_Medium</t>
        </is>
      </c>
    </row>
    <row r="716">
      <c r="B716" s="7" t="inlineStr">
        <is>
          <t xml:space="preserve">  ↳ NaxiWW2Machinegunner_elite</t>
        </is>
      </c>
      <c r="C716" s="7" t="inlineStr">
        <is>
          <t>Armament@DEPLOYEDELITE</t>
        </is>
      </c>
      <c r="L716" s="6" t="n">
        <v>8000</v>
      </c>
      <c r="M716" s="6" t="n">
        <v>90</v>
      </c>
      <c r="N716" s="6" t="n">
        <v>20</v>
      </c>
      <c r="O716" s="6" t="n">
        <v>3</v>
      </c>
      <c r="P716" s="6" t="n">
        <v>9970</v>
      </c>
      <c r="Q716" s="6" t="n">
        <v>0.875</v>
      </c>
      <c r="R716">
        <f>M716+IF(MAX(N716-1,0)&gt;0,IF(ISBLANK(O716),5*MAX(N716-1,0),IF(ISNUMBER(O716),O716*MAX(N716-1,0),SUM(IFERROR(VALUE(TEXTSPLIT(O716,",")),0)))),0)</f>
        <v/>
      </c>
      <c r="S716">
        <f>IFERROR(L716*MAX(N716,1)/R716*IF(ISBLANK(K713),1,K713),0)</f>
        <v/>
      </c>
      <c r="AB716" s="7" t="inlineStr">
        <is>
          <t>^Warhead_Bullet_Light, ^Warhead_Bullet_Medium</t>
        </is>
      </c>
    </row>
    <row r="717">
      <c r="B717" s="7" t="inlineStr">
        <is>
          <t xml:space="preserve">  ↳ NaxiWW2Machinegunner</t>
        </is>
      </c>
      <c r="C717" s="7" t="inlineStr">
        <is>
          <t>Armament@GARRISONED</t>
        </is>
      </c>
      <c r="L717" s="6" t="n">
        <v>8000</v>
      </c>
      <c r="M717" s="6" t="n">
        <v>90</v>
      </c>
      <c r="N717" s="6" t="n">
        <v>10</v>
      </c>
      <c r="O717" s="6" t="n">
        <v>5</v>
      </c>
      <c r="P717" s="6" t="n">
        <v>8970</v>
      </c>
      <c r="Q717" s="6" t="n">
        <v>0.875</v>
      </c>
      <c r="R717">
        <f>M717+IF(MAX(N717-1,0)&gt;0,IF(ISBLANK(O717),5*MAX(N717-1,0),IF(ISNUMBER(O717),O717*MAX(N717-1,0),SUM(IFERROR(VALUE(TEXTSPLIT(O717,",")),0)))),0)</f>
        <v/>
      </c>
      <c r="S717">
        <f>IFERROR(L717*MAX(N717,1)/R717*IF(ISBLANK(K713),1,K713),0)</f>
        <v/>
      </c>
      <c r="AB717" s="7" t="inlineStr">
        <is>
          <t>^Warhead_Bullet_Light, ^Warhead_Bullet_Medium</t>
        </is>
      </c>
    </row>
    <row r="718">
      <c r="B718" s="7" t="inlineStr">
        <is>
          <t xml:space="preserve">  ↳ NaxiWW2Machinegunner_elite</t>
        </is>
      </c>
      <c r="C718" s="7" t="inlineStr">
        <is>
          <t>Armament@GARRISONEDELITE</t>
        </is>
      </c>
      <c r="L718" s="6" t="n">
        <v>8000</v>
      </c>
      <c r="M718" s="6" t="n">
        <v>90</v>
      </c>
      <c r="N718" s="6" t="n">
        <v>20</v>
      </c>
      <c r="O718" s="6" t="n">
        <v>3</v>
      </c>
      <c r="P718" s="6" t="n">
        <v>9970</v>
      </c>
      <c r="Q718" s="6" t="n">
        <v>0.875</v>
      </c>
      <c r="R718">
        <f>M718+IF(MAX(N718-1,0)&gt;0,IF(ISBLANK(O718),5*MAX(N718-1,0),IF(ISNUMBER(O718),O718*MAX(N718-1,0),SUM(IFERROR(VALUE(TEXTSPLIT(O718,",")),0)))),0)</f>
        <v/>
      </c>
      <c r="S718">
        <f>IFERROR(L718*MAX(N718,1)/R718*IF(ISBLANK(K713),1,K713),0)</f>
        <v/>
      </c>
      <c r="AB718" s="7" t="inlineStr">
        <is>
          <t>^Warhead_Bullet_Light, ^Warhead_Bullet_Medium</t>
        </is>
      </c>
    </row>
    <row r="719">
      <c r="A719" t="inlineStr">
        <is>
          <t>redalert2mod</t>
        </is>
      </c>
      <c r="B719" t="inlineStr">
        <is>
          <t>naxis_panzerfausttrooper</t>
        </is>
      </c>
      <c r="C719" t="inlineStr">
        <is>
          <t>Panzerfaust Trooper</t>
        </is>
      </c>
      <c r="D719" s="6" t="inlineStr">
        <is>
          <t>HeavyInfantry</t>
        </is>
      </c>
      <c r="E719" s="6" t="n">
        <v>36000</v>
      </c>
      <c r="F719" s="6" t="n">
        <v>46</v>
      </c>
      <c r="G719" t="inlineStr">
        <is>
          <t>Plate</t>
        </is>
      </c>
      <c r="H719" s="6" t="n">
        <v>1</v>
      </c>
      <c r="I719" s="6" t="n">
        <v>0.8</v>
      </c>
      <c r="J719" s="6" t="n">
        <v>1</v>
      </c>
      <c r="P719">
        <f>MAX(P720,P721)</f>
        <v/>
      </c>
      <c r="S719">
        <f>S720+S721</f>
        <v/>
      </c>
      <c r="T719">
        <f>(E719/100000+F719/100+(P719/1000)*J719/5+S719/200)*200*I719*H719</f>
        <v/>
      </c>
      <c r="U719">
        <f>((E719*F719/25000)+((P719/1000)*J719*S719/2.5))*I719*H719</f>
        <v/>
      </c>
      <c r="V719">
        <f>(E719*F719*(P719/1000)*J719*S719*I719*H719)/12500000</f>
        <v/>
      </c>
      <c r="W719">
        <f>(T719+U719+V719)/3</f>
        <v/>
      </c>
      <c r="X719" s="6" t="n">
        <v>400</v>
      </c>
      <c r="Y719">
        <f>IFERROR(W719-X719,"")</f>
        <v/>
      </c>
      <c r="Z719">
        <f>IFERROR(ABS(Y719)/MAX(X719,1),"")</f>
        <v/>
      </c>
      <c r="AA719">
        <f>IFERROR((X719-(((E719/100000+F719/100+S719/200)*200*I719*H719)+((E719*F719/25000)*I719*H719))/3)/(((J719/5)*200*I719*H719)+((J719*S719/2.5)*I719*H719)+((E719*F719*J719*S719*I719*H719)/12500000))/3*1000,"")</f>
        <v/>
      </c>
    </row>
    <row r="720">
      <c r="B720" s="7" t="inlineStr">
        <is>
          <t xml:space="preserve">  ↳ NaxiShrekCons</t>
        </is>
      </c>
      <c r="C720" s="7" t="inlineStr">
        <is>
          <t>Armament@PRIMARY</t>
        </is>
      </c>
      <c r="L720" s="6" t="n">
        <v>36000</v>
      </c>
      <c r="M720" s="6" t="n">
        <v>135</v>
      </c>
      <c r="N720" s="6" t="n">
        <v>1</v>
      </c>
      <c r="O720" s="6" t="n"/>
      <c r="P720" s="6" t="n">
        <v>5512</v>
      </c>
      <c r="Q720" s="6" t="n">
        <v>1</v>
      </c>
      <c r="R720">
        <f>M720+IF(MAX(N720-1,0)&gt;0,IF(ISBLANK(O720),5*MAX(N720-1,0),IF(ISNUMBER(O720),O720*MAX(N720-1,0),SUM(IFERROR(VALUE(TEXTSPLIT(O720,",")),0)))),0)</f>
        <v/>
      </c>
      <c r="S720">
        <f>IFERROR(L720*MAX(N720,1)/R720*IF(ISBLANK(K719),1,K719),0)</f>
        <v/>
      </c>
      <c r="AB720" s="7" t="inlineStr">
        <is>
          <t>^Warhead_MissileAP_Medium</t>
        </is>
      </c>
    </row>
    <row r="721">
      <c r="B721" s="7" t="inlineStr">
        <is>
          <t xml:space="preserve">  ↳ NaxiShrekCons_elite</t>
        </is>
      </c>
      <c r="C721" s="7" t="inlineStr">
        <is>
          <t>Armament@ELITE</t>
        </is>
      </c>
      <c r="L721" s="6" t="n">
        <v>36000</v>
      </c>
      <c r="M721" s="6" t="n">
        <v>135</v>
      </c>
      <c r="N721" s="6" t="n">
        <v>2</v>
      </c>
      <c r="O721" s="6" t="n">
        <v>3</v>
      </c>
      <c r="P721" s="6" t="n">
        <v>6512</v>
      </c>
      <c r="Q721" s="6" t="n">
        <v>1</v>
      </c>
      <c r="R721">
        <f>M721+IF(MAX(N721-1,0)&gt;0,IF(ISBLANK(O721),5*MAX(N721-1,0),IF(ISNUMBER(O721),O721*MAX(N721-1,0),SUM(IFERROR(VALUE(TEXTSPLIT(O721,",")),0)))),0)</f>
        <v/>
      </c>
      <c r="S721">
        <f>IFERROR(L721*MAX(N721,1)/R721*IF(ISBLANK(K719),1,K719),0)</f>
        <v/>
      </c>
      <c r="AB721" s="7" t="inlineStr">
        <is>
          <t>^Warhead_MissileAP_Medium</t>
        </is>
      </c>
    </row>
    <row r="722">
      <c r="B722" s="7" t="inlineStr">
        <is>
          <t xml:space="preserve">  ↳ NaxiShrekCons</t>
        </is>
      </c>
      <c r="C722" s="7" t="inlineStr">
        <is>
          <t>Armament@GARRISONED</t>
        </is>
      </c>
      <c r="L722" s="6" t="n">
        <v>36000</v>
      </c>
      <c r="M722" s="6" t="n">
        <v>135</v>
      </c>
      <c r="N722" s="6" t="n">
        <v>1</v>
      </c>
      <c r="O722" s="6" t="n"/>
      <c r="P722" s="6" t="n">
        <v>5512</v>
      </c>
      <c r="Q722" s="6" t="n">
        <v>1</v>
      </c>
      <c r="R722">
        <f>M722+IF(MAX(N722-1,0)&gt;0,IF(ISBLANK(O722),5*MAX(N722-1,0),IF(ISNUMBER(O722),O722*MAX(N722-1,0),SUM(IFERROR(VALUE(TEXTSPLIT(O722,",")),0)))),0)</f>
        <v/>
      </c>
      <c r="S722">
        <f>IFERROR(L722*MAX(N722,1)/R722*IF(ISBLANK(K719),1,K719),0)</f>
        <v/>
      </c>
      <c r="AB722" s="7" t="inlineStr">
        <is>
          <t>^Warhead_MissileAP_Medium</t>
        </is>
      </c>
    </row>
    <row r="723">
      <c r="B723" s="7" t="inlineStr">
        <is>
          <t xml:space="preserve">  ↳ NaxiShrekCons_elite</t>
        </is>
      </c>
      <c r="C723" s="7" t="inlineStr">
        <is>
          <t>Armament@GARRISONEDELITE</t>
        </is>
      </c>
      <c r="L723" s="6" t="n">
        <v>36000</v>
      </c>
      <c r="M723" s="6" t="n">
        <v>135</v>
      </c>
      <c r="N723" s="6" t="n">
        <v>2</v>
      </c>
      <c r="O723" s="6" t="n">
        <v>3</v>
      </c>
      <c r="P723" s="6" t="n">
        <v>6512</v>
      </c>
      <c r="Q723" s="6" t="n">
        <v>1</v>
      </c>
      <c r="R723">
        <f>M723+IF(MAX(N723-1,0)&gt;0,IF(ISBLANK(O723),5*MAX(N723-1,0),IF(ISNUMBER(O723),O723*MAX(N723-1,0),SUM(IFERROR(VALUE(TEXTSPLIT(O723,",")),0)))),0)</f>
        <v/>
      </c>
      <c r="S723">
        <f>IFERROR(L723*MAX(N723,1)/R723*IF(ISBLANK(K719),1,K719),0)</f>
        <v/>
      </c>
      <c r="AB723" s="7" t="inlineStr">
        <is>
          <t>^Warhead_MissileAP_Medium</t>
        </is>
      </c>
    </row>
    <row r="724">
      <c r="A724" t="inlineStr">
        <is>
          <t>redalert2mod</t>
        </is>
      </c>
      <c r="B724" t="inlineStr">
        <is>
          <t>naxis_panzerschreck</t>
        </is>
      </c>
      <c r="C724" t="inlineStr">
        <is>
          <t>Panzerschreck</t>
        </is>
      </c>
      <c r="D724" s="6" t="inlineStr">
        <is>
          <t>HeavyInfantry</t>
        </is>
      </c>
      <c r="E724" s="6" t="n">
        <v>96000</v>
      </c>
      <c r="F724" s="6" t="n">
        <v>42</v>
      </c>
      <c r="G724" t="inlineStr">
        <is>
          <t>Plate</t>
        </is>
      </c>
      <c r="H724" s="6" t="n">
        <v>0.75</v>
      </c>
      <c r="I724" s="6" t="n">
        <v>0.8</v>
      </c>
      <c r="J724" s="6" t="n">
        <v>1</v>
      </c>
      <c r="P724">
        <f>MAX(P725,P726)</f>
        <v/>
      </c>
      <c r="S724">
        <f>S725+S726</f>
        <v/>
      </c>
      <c r="T724">
        <f>(E724/100000+F724/100+(P724/1000)*J724/5+S724/200)*200*I724*H724</f>
        <v/>
      </c>
      <c r="U724">
        <f>((E724*F724/25000)+((P724/1000)*J724*S724/2.5))*I724*H724</f>
        <v/>
      </c>
      <c r="V724">
        <f>(E724*F724*(P724/1000)*J724*S724*I724*H724)/12500000</f>
        <v/>
      </c>
      <c r="W724">
        <f>(T724+U724+V724)/3</f>
        <v/>
      </c>
      <c r="X724" s="6" t="n">
        <v>600</v>
      </c>
      <c r="Y724">
        <f>IFERROR(W724-X724,"")</f>
        <v/>
      </c>
      <c r="Z724">
        <f>IFERROR(ABS(Y724)/MAX(X724,1),"")</f>
        <v/>
      </c>
      <c r="AA724">
        <f>IFERROR((X724-(((E724/100000+F724/100+S724/200)*200*I724*H724)+((E724*F724/25000)*I724*H724))/3)/(((J724/5)*200*I724*H724)+((J724*S724/2.5)*I724*H724)+((E724*F724*J724*S724*I724*H724)/12500000))/3*1000,"")</f>
        <v/>
      </c>
    </row>
    <row r="725">
      <c r="B725" s="7" t="inlineStr">
        <is>
          <t xml:space="preserve">  ↳ NaxiShrek</t>
        </is>
      </c>
      <c r="C725" s="7" t="inlineStr">
        <is>
          <t>Armament@PRIMARY</t>
        </is>
      </c>
      <c r="L725" s="6" t="n">
        <v>48000</v>
      </c>
      <c r="M725" s="6" t="n">
        <v>124</v>
      </c>
      <c r="N725" s="6" t="n">
        <v>1</v>
      </c>
      <c r="O725" s="6" t="n"/>
      <c r="P725" s="6" t="n">
        <v>6805</v>
      </c>
      <c r="Q725" s="6" t="n">
        <v>1</v>
      </c>
      <c r="R725">
        <f>M725+IF(MAX(N725-1,0)&gt;0,IF(ISBLANK(O725),5*MAX(N725-1,0),IF(ISNUMBER(O725),O725*MAX(N725-1,0),SUM(IFERROR(VALUE(TEXTSPLIT(O725,",")),0)))),0)</f>
        <v/>
      </c>
      <c r="S725">
        <f>IFERROR(L725*MAX(N725,1)/R725*IF(ISBLANK(K724),1,K724),0)</f>
        <v/>
      </c>
      <c r="AB725" s="7" t="inlineStr">
        <is>
          <t>^Warhead_MissileAP_Medium</t>
        </is>
      </c>
    </row>
    <row r="726">
      <c r="B726" s="7" t="inlineStr">
        <is>
          <t xml:space="preserve">  ↳ NaxiShrek_elite</t>
        </is>
      </c>
      <c r="C726" s="7" t="inlineStr">
        <is>
          <t>Armament@ELITE</t>
        </is>
      </c>
      <c r="L726" s="6" t="n">
        <v>48000</v>
      </c>
      <c r="M726" s="6" t="n">
        <v>124</v>
      </c>
      <c r="N726" s="6" t="n">
        <v>2</v>
      </c>
      <c r="O726" s="6" t="n">
        <v>3</v>
      </c>
      <c r="P726" s="6" t="n">
        <v>7805</v>
      </c>
      <c r="Q726" s="6" t="n">
        <v>1</v>
      </c>
      <c r="R726">
        <f>M726+IF(MAX(N726-1,0)&gt;0,IF(ISBLANK(O726),5*MAX(N726-1,0),IF(ISNUMBER(O726),O726*MAX(N726-1,0),SUM(IFERROR(VALUE(TEXTSPLIT(O726,",")),0)))),0)</f>
        <v/>
      </c>
      <c r="S726">
        <f>IFERROR(L726*MAX(N726,1)/R726*IF(ISBLANK(K724),1,K724),0)</f>
        <v/>
      </c>
      <c r="AB726" s="7" t="inlineStr">
        <is>
          <t>^Warhead_MissileAP_Medium</t>
        </is>
      </c>
    </row>
    <row r="727">
      <c r="B727" s="7" t="inlineStr">
        <is>
          <t xml:space="preserve">  ↳ NaxiShrek</t>
        </is>
      </c>
      <c r="C727" s="7" t="inlineStr">
        <is>
          <t>Armament@GARRISONED</t>
        </is>
      </c>
      <c r="L727" s="6" t="n">
        <v>48000</v>
      </c>
      <c r="M727" s="6" t="n">
        <v>124</v>
      </c>
      <c r="N727" s="6" t="n">
        <v>1</v>
      </c>
      <c r="O727" s="6" t="n"/>
      <c r="P727" s="6" t="n">
        <v>6805</v>
      </c>
      <c r="Q727" s="6" t="n">
        <v>1</v>
      </c>
      <c r="R727">
        <f>M727+IF(MAX(N727-1,0)&gt;0,IF(ISBLANK(O727),5*MAX(N727-1,0),IF(ISNUMBER(O727),O727*MAX(N727-1,0),SUM(IFERROR(VALUE(TEXTSPLIT(O727,",")),0)))),0)</f>
        <v/>
      </c>
      <c r="S727">
        <f>IFERROR(L727*MAX(N727,1)/R727*IF(ISBLANK(K724),1,K724),0)</f>
        <v/>
      </c>
      <c r="AB727" s="7" t="inlineStr">
        <is>
          <t>^Warhead_MissileAP_Medium</t>
        </is>
      </c>
    </row>
    <row r="728">
      <c r="B728" s="7" t="inlineStr">
        <is>
          <t xml:space="preserve">  ↳ NaxiShrek_elite</t>
        </is>
      </c>
      <c r="C728" s="7" t="inlineStr">
        <is>
          <t>Armament@GARRISONED_E</t>
        </is>
      </c>
      <c r="L728" s="6" t="n">
        <v>48000</v>
      </c>
      <c r="M728" s="6" t="n">
        <v>124</v>
      </c>
      <c r="N728" s="6" t="n">
        <v>2</v>
      </c>
      <c r="O728" s="6" t="n">
        <v>3</v>
      </c>
      <c r="P728" s="6" t="n">
        <v>7805</v>
      </c>
      <c r="Q728" s="6" t="n">
        <v>1</v>
      </c>
      <c r="R728">
        <f>M728+IF(MAX(N728-1,0)&gt;0,IF(ISBLANK(O728),5*MAX(N728-1,0),IF(ISNUMBER(O728),O728*MAX(N728-1,0),SUM(IFERROR(VALUE(TEXTSPLIT(O728,",")),0)))),0)</f>
        <v/>
      </c>
      <c r="S728">
        <f>IFERROR(L728*MAX(N728,1)/R728*IF(ISBLANK(K724),1,K724),0)</f>
        <v/>
      </c>
      <c r="AB728" s="7" t="inlineStr">
        <is>
          <t>^Warhead_MissileAP_Medium</t>
        </is>
      </c>
    </row>
    <row r="729">
      <c r="A729" t="inlineStr">
        <is>
          <t>redalert2mod</t>
        </is>
      </c>
      <c r="B729" t="inlineStr">
        <is>
          <t>schwarzermond_noidmgarmor</t>
        </is>
      </c>
      <c r="C729" t="inlineStr">
        <is>
          <t>Noid MG Armor</t>
        </is>
      </c>
      <c r="D729" s="6" t="inlineStr">
        <is>
          <t>HeavyInfantry</t>
        </is>
      </c>
      <c r="E729" s="6" t="n">
        <v>50000</v>
      </c>
      <c r="F729" s="6" t="n">
        <v>40</v>
      </c>
      <c r="G729" t="inlineStr">
        <is>
          <t>Plate</t>
        </is>
      </c>
      <c r="H729" s="6" t="n">
        <v>1</v>
      </c>
      <c r="I729" s="6" t="n">
        <v>0.8</v>
      </c>
      <c r="J729" s="6" t="n">
        <v>1</v>
      </c>
      <c r="P729">
        <f>MAX(P730,P731,P732,P733,P734,P735)</f>
        <v/>
      </c>
      <c r="S729">
        <f>S730+S731+S732+S733+S734+S735</f>
        <v/>
      </c>
      <c r="T729">
        <f>(E729/100000+F729/100+(P729/1000)*J729/5+S729/200)*200*I729*H729</f>
        <v/>
      </c>
      <c r="U729">
        <f>((E729*F729/25000)+((P729/1000)*J729*S729/2.5))*I729*H729</f>
        <v/>
      </c>
      <c r="V729">
        <f>(E729*F729*(P729/1000)*J729*S729*I729*H729)/12500000</f>
        <v/>
      </c>
      <c r="W729">
        <f>(T729+U729+V729)/3</f>
        <v/>
      </c>
      <c r="X729" s="6" t="n">
        <v>500</v>
      </c>
      <c r="Y729">
        <f>IFERROR(W729-X729,"")</f>
        <v/>
      </c>
      <c r="Z729">
        <f>IFERROR(ABS(Y729)/MAX(X729,1),"")</f>
        <v/>
      </c>
      <c r="AA729">
        <f>IFERROR((X729-(((E729/100000+F729/100+S729/200)*200*I729*H729)+((E729*F729/25000)*I729*H729))/3)/(((J729/5)*200*I729*H729)+((J729*S729/2.5)*I729*H729)+((E729*F729*J729*S729*I729*H729)/12500000))/3*1000,"")</f>
        <v/>
      </c>
    </row>
    <row r="730">
      <c r="B730" s="7" t="inlineStr">
        <is>
          <t xml:space="preserve">  ↳ NaxiMP40Laser</t>
        </is>
      </c>
      <c r="C730" s="7" t="inlineStr">
        <is>
          <t>Armament@PRIMARY</t>
        </is>
      </c>
      <c r="L730" s="6" t="n">
        <v>12000</v>
      </c>
      <c r="M730" s="6" t="n">
        <v>100</v>
      </c>
      <c r="N730" s="6" t="n">
        <v>5</v>
      </c>
      <c r="O730" s="6" t="n">
        <v>5</v>
      </c>
      <c r="P730" s="6" t="n">
        <v>4384</v>
      </c>
      <c r="Q730" s="6" t="n">
        <v>1</v>
      </c>
      <c r="R730">
        <f>M730+IF(MAX(N730-1,0)&gt;0,IF(ISBLANK(O730),5*MAX(N730-1,0),IF(ISNUMBER(O730),O730*MAX(N730-1,0),SUM(IFERROR(VALUE(TEXTSPLIT(O730,",")),0)))),0)</f>
        <v/>
      </c>
      <c r="S730">
        <f>IFERROR(L730*MAX(N730,1)/R730*IF(ISBLANK(K729),1,K729),0)</f>
        <v/>
      </c>
      <c r="AB730" s="7" t="inlineStr">
        <is>
          <t>^Warhead_Bullet_Light, ^Warhead_Concussion_Light, ^Warhead_CannonHE_Heavy, ^Warhead_Bullet_Medium, ^Warhead_Laser_Heavy</t>
        </is>
      </c>
    </row>
    <row r="731">
      <c r="B731" s="7" t="inlineStr">
        <is>
          <t xml:space="preserve">  ↳ NaxiMP40Laser_elite</t>
        </is>
      </c>
      <c r="C731" s="7" t="inlineStr">
        <is>
          <t>Armament@ELITE</t>
        </is>
      </c>
      <c r="L731" s="6" t="n">
        <v>12000</v>
      </c>
      <c r="M731" s="6" t="n">
        <v>100</v>
      </c>
      <c r="N731" s="6" t="n">
        <v>10</v>
      </c>
      <c r="O731" s="6" t="n">
        <v>3</v>
      </c>
      <c r="P731" s="6" t="n">
        <v>5384</v>
      </c>
      <c r="Q731" s="6" t="n">
        <v>1</v>
      </c>
      <c r="R731">
        <f>M731+IF(MAX(N731-1,0)&gt;0,IF(ISBLANK(O731),5*MAX(N731-1,0),IF(ISNUMBER(O731),O731*MAX(N731-1,0),SUM(IFERROR(VALUE(TEXTSPLIT(O731,",")),0)))),0)</f>
        <v/>
      </c>
      <c r="S731">
        <f>IFERROR(L731*MAX(N731,1)/R731*IF(ISBLANK(K729),1,K729),0)</f>
        <v/>
      </c>
      <c r="AB731" s="7" t="inlineStr">
        <is>
          <t>^Warhead_Bullet_Light, ^Warhead_Concussion_Light, ^Warhead_CannonHE_Heavy, ^Warhead_Bullet_Medium, ^Warhead_Laser_Heavy</t>
        </is>
      </c>
    </row>
    <row r="732">
      <c r="B732" s="7" t="inlineStr">
        <is>
          <t xml:space="preserve">  ↳ Lunar_YellowMP40Laser</t>
        </is>
      </c>
      <c r="C732" s="7" t="inlineStr">
        <is>
          <t>Armament@PRIMARY_UP</t>
        </is>
      </c>
      <c r="L732" s="6" t="n">
        <v>12000</v>
      </c>
      <c r="M732" s="6" t="n">
        <v>100</v>
      </c>
      <c r="N732" s="6" t="n">
        <v>6</v>
      </c>
      <c r="O732" s="6" t="n">
        <v>3</v>
      </c>
      <c r="P732" s="6" t="n">
        <v>4384</v>
      </c>
      <c r="Q732" s="6" t="n">
        <v>1</v>
      </c>
      <c r="R732">
        <f>M732+IF(MAX(N732-1,0)&gt;0,IF(ISBLANK(O732),5*MAX(N732-1,0),IF(ISNUMBER(O732),O732*MAX(N732-1,0),SUM(IFERROR(VALUE(TEXTSPLIT(O732,",")),0)))),0)</f>
        <v/>
      </c>
      <c r="S732">
        <f>IFERROR(L732*MAX(N732,1)/R732*IF(ISBLANK(K729),1,K729),0)</f>
        <v/>
      </c>
      <c r="AB732" s="7" t="inlineStr">
        <is>
          <t>^Warhead_Bullet_Light, ^Warhead_Concussion_Light, ^Warhead_CannonHE_Heavy, ^Warhead_Bullet_Medium, ^Warhead_Laser_Heavy</t>
        </is>
      </c>
    </row>
    <row r="733">
      <c r="B733" s="7" t="inlineStr">
        <is>
          <t xml:space="preserve">  ↳ Lunar_YellowMP40Laser_elite</t>
        </is>
      </c>
      <c r="C733" s="7" t="inlineStr">
        <is>
          <t>Armament@ELITE_UP</t>
        </is>
      </c>
      <c r="L733" s="6" t="n">
        <v>12000</v>
      </c>
      <c r="M733" s="6" t="n">
        <v>100</v>
      </c>
      <c r="N733" s="6" t="n">
        <v>11</v>
      </c>
      <c r="O733" s="6" t="n">
        <v>3</v>
      </c>
      <c r="P733" s="6" t="n">
        <v>5384</v>
      </c>
      <c r="Q733" s="6" t="n">
        <v>1</v>
      </c>
      <c r="R733">
        <f>M733+IF(MAX(N733-1,0)&gt;0,IF(ISBLANK(O733),5*MAX(N733-1,0),IF(ISNUMBER(O733),O733*MAX(N733-1,0),SUM(IFERROR(VALUE(TEXTSPLIT(O733,",")),0)))),0)</f>
        <v/>
      </c>
      <c r="S733">
        <f>IFERROR(L733*MAX(N733,1)/R733*IF(ISBLANK(K729),1,K729),0)</f>
        <v/>
      </c>
      <c r="AB733" s="7" t="inlineStr">
        <is>
          <t>^Warhead_Bullet_Light, ^Warhead_Concussion_Light, ^Warhead_CannonHE_Heavy, ^Warhead_Bullet_Medium, ^Warhead_Laser_Heavy</t>
        </is>
      </c>
    </row>
    <row r="734">
      <c r="B734" s="7" t="inlineStr">
        <is>
          <t xml:space="preserve">  ↳ Lunar_AmplifiedMP40Laser</t>
        </is>
      </c>
      <c r="C734" s="7" t="inlineStr">
        <is>
          <t>Armament@PRIMARY_AMP</t>
        </is>
      </c>
      <c r="L734" s="6" t="n">
        <v>12000</v>
      </c>
      <c r="M734" s="6" t="n">
        <v>100</v>
      </c>
      <c r="N734" s="6" t="n">
        <v>7</v>
      </c>
      <c r="O734" s="6" t="n">
        <v>3</v>
      </c>
      <c r="P734" s="6" t="n">
        <v>4384</v>
      </c>
      <c r="Q734" s="6" t="n">
        <v>1</v>
      </c>
      <c r="R734">
        <f>M734+IF(MAX(N734-1,0)&gt;0,IF(ISBLANK(O734),5*MAX(N734-1,0),IF(ISNUMBER(O734),O734*MAX(N734-1,0),SUM(IFERROR(VALUE(TEXTSPLIT(O734,",")),0)))),0)</f>
        <v/>
      </c>
      <c r="S734">
        <f>IFERROR(L734*MAX(N734,1)/R734*IF(ISBLANK(K729),1,K729),0)</f>
        <v/>
      </c>
      <c r="AB734" s="7" t="inlineStr">
        <is>
          <t>^Warhead_Bullet_Light, ^Warhead_Concussion_Light, ^Warhead_CannonHE_Heavy, ^Warhead_Bullet_Medium, ^Warhead_Laser_Heavy</t>
        </is>
      </c>
    </row>
    <row r="735">
      <c r="B735" s="7" t="inlineStr">
        <is>
          <t xml:space="preserve">  ↳ Lunar_AmplifiedMP40Laser_elite</t>
        </is>
      </c>
      <c r="C735" s="7" t="inlineStr">
        <is>
          <t>Armament@ELITE_AMP</t>
        </is>
      </c>
      <c r="L735" s="6" t="n">
        <v>12000</v>
      </c>
      <c r="M735" s="6" t="n">
        <v>100</v>
      </c>
      <c r="N735" s="6" t="n">
        <v>12</v>
      </c>
      <c r="O735" s="6" t="n">
        <v>3</v>
      </c>
      <c r="P735" s="6" t="n">
        <v>5384</v>
      </c>
      <c r="Q735" s="6" t="n">
        <v>1</v>
      </c>
      <c r="R735">
        <f>M735+IF(MAX(N735-1,0)&gt;0,IF(ISBLANK(O735),5*MAX(N735-1,0),IF(ISNUMBER(O735),O735*MAX(N735-1,0),SUM(IFERROR(VALUE(TEXTSPLIT(O735,",")),0)))),0)</f>
        <v/>
      </c>
      <c r="S735">
        <f>IFERROR(L735*MAX(N735,1)/R735*IF(ISBLANK(K729),1,K729),0)</f>
        <v/>
      </c>
      <c r="AB735" s="7" t="inlineStr">
        <is>
          <t>^Warhead_Bullet_Light, ^Warhead_Concussion_Light, ^Warhead_CannonHE_Heavy, ^Warhead_Bullet_Medium, ^Warhead_Laser_Heavy</t>
        </is>
      </c>
    </row>
    <row r="736">
      <c r="A736" t="inlineStr">
        <is>
          <t>redalert2mod</t>
        </is>
      </c>
      <c r="B736" t="inlineStr">
        <is>
          <t>schwarzermond_ubermensch</t>
        </is>
      </c>
      <c r="C736" t="inlineStr">
        <is>
          <t>Übermensch</t>
        </is>
      </c>
      <c r="D736" s="6" t="inlineStr">
        <is>
          <t>HeavyInfantry</t>
        </is>
      </c>
      <c r="E736" s="6" t="n">
        <v>64000</v>
      </c>
      <c r="F736" s="6" t="n">
        <v>64</v>
      </c>
      <c r="G736" t="inlineStr">
        <is>
          <t>Plate</t>
        </is>
      </c>
      <c r="H736" s="6" t="n">
        <v>0.75</v>
      </c>
      <c r="I736" s="6" t="n">
        <v>0.8</v>
      </c>
      <c r="J736" s="6" t="n">
        <v>1</v>
      </c>
      <c r="P736">
        <f>MAX(P737,P738,P741,P742,P745,P746)</f>
        <v/>
      </c>
      <c r="S736">
        <f>S737+S738+S741+S742+S745+S746</f>
        <v/>
      </c>
      <c r="T736">
        <f>(E736/100000+F736/100+(P736/1000)*J736/5+S736/200)*200*I736*H736</f>
        <v/>
      </c>
      <c r="U736">
        <f>((E736*F736/25000)+((P736/1000)*J736*S736/2.5))*I736*H736</f>
        <v/>
      </c>
      <c r="V736">
        <f>(E736*F736*(P736/1000)*J736*S736*I736*H736)/12500000</f>
        <v/>
      </c>
      <c r="W736">
        <f>(T736+U736+V736)/3</f>
        <v/>
      </c>
      <c r="X736" s="6" t="n">
        <v>700</v>
      </c>
      <c r="Y736">
        <f>IFERROR(W736-X736,"")</f>
        <v/>
      </c>
      <c r="Z736">
        <f>IFERROR(ABS(Y736)/MAX(X736,1),"")</f>
        <v/>
      </c>
      <c r="AA736">
        <f>IFERROR((X736-(((E736/100000+F736/100+S736/200)*200*I736*H736)+((E736*F736/25000)*I736*H736))/3)/(((J736/5)*200*I736*H736)+((J736*S736/2.5)*I736*H736)+((E736*F736*J736*S736*I736*H736)/12500000))/3*1000,"")</f>
        <v/>
      </c>
    </row>
    <row r="737">
      <c r="B737" s="7" t="inlineStr">
        <is>
          <t xml:space="preserve">  ↳ UbermenschLaser</t>
        </is>
      </c>
      <c r="C737" s="7" t="inlineStr">
        <is>
          <t>Armament@PRIMARY</t>
        </is>
      </c>
      <c r="L737" s="6" t="n">
        <v>16000</v>
      </c>
      <c r="M737" s="6" t="n">
        <v>30</v>
      </c>
      <c r="N737" s="6" t="n">
        <v>2</v>
      </c>
      <c r="O737" s="6" t="n">
        <v>3</v>
      </c>
      <c r="P737" s="6" t="n">
        <v>5801</v>
      </c>
      <c r="Q737" s="6" t="n">
        <v>1.125</v>
      </c>
      <c r="R737">
        <f>M737+IF(MAX(N737-1,0)&gt;0,IF(ISBLANK(O737),5*MAX(N737-1,0),IF(ISNUMBER(O737),O737*MAX(N737-1,0),SUM(IFERROR(VALUE(TEXTSPLIT(O737,",")),0)))),0)</f>
        <v/>
      </c>
      <c r="S737">
        <f>IFERROR(L737*MAX(N737,1)/R737*IF(ISBLANK(K736),1,K736),0)</f>
        <v/>
      </c>
      <c r="AB737" s="7" t="inlineStr">
        <is>
          <t>^Warhead_Tesla_Heavy, ^Warhead_CannonHE_Medium</t>
        </is>
      </c>
    </row>
    <row r="738">
      <c r="B738" s="7" t="inlineStr">
        <is>
          <t xml:space="preserve">  ↳ UbermenschLaser_elite</t>
        </is>
      </c>
      <c r="C738" s="7" t="inlineStr">
        <is>
          <t>Armament@ELITE</t>
        </is>
      </c>
      <c r="L738" s="6" t="n">
        <v>16000</v>
      </c>
      <c r="M738" s="6" t="n">
        <v>30</v>
      </c>
      <c r="N738" s="6" t="n">
        <v>4</v>
      </c>
      <c r="O738" s="6" t="n">
        <v>3</v>
      </c>
      <c r="P738" s="6" t="n">
        <v>6801</v>
      </c>
      <c r="Q738" s="6" t="n">
        <v>1.125</v>
      </c>
      <c r="R738">
        <f>M738+IF(MAX(N738-1,0)&gt;0,IF(ISBLANK(O738),5*MAX(N738-1,0),IF(ISNUMBER(O738),O738*MAX(N738-1,0),SUM(IFERROR(VALUE(TEXTSPLIT(O738,",")),0)))),0)</f>
        <v/>
      </c>
      <c r="S738">
        <f>IFERROR(L738*MAX(N738,1)/R738*IF(ISBLANK(K736),1,K736),0)</f>
        <v/>
      </c>
      <c r="AB738" s="7" t="inlineStr">
        <is>
          <t>^Warhead_Tesla_Heavy, ^Warhead_CannonHE_Medium</t>
        </is>
      </c>
    </row>
    <row r="739">
      <c r="B739" s="7" t="inlineStr">
        <is>
          <t xml:space="preserve">  ↳ UbermenschLaser</t>
        </is>
      </c>
      <c r="C739" s="7" t="inlineStr">
        <is>
          <t>Armament@GARRISONED</t>
        </is>
      </c>
      <c r="L739" s="6" t="n">
        <v>16000</v>
      </c>
      <c r="M739" s="6" t="n">
        <v>30</v>
      </c>
      <c r="N739" s="6" t="n">
        <v>2</v>
      </c>
      <c r="O739" s="6" t="n">
        <v>3</v>
      </c>
      <c r="P739" s="6" t="n">
        <v>5801</v>
      </c>
      <c r="Q739" s="6" t="n">
        <v>1.125</v>
      </c>
      <c r="R739">
        <f>M739+IF(MAX(N739-1,0)&gt;0,IF(ISBLANK(O739),5*MAX(N739-1,0),IF(ISNUMBER(O739),O739*MAX(N739-1,0),SUM(IFERROR(VALUE(TEXTSPLIT(O739,",")),0)))),0)</f>
        <v/>
      </c>
      <c r="S739">
        <f>IFERROR(L739*MAX(N739,1)/R739*IF(ISBLANK(K736),1,K736),0)</f>
        <v/>
      </c>
      <c r="AB739" s="7" t="inlineStr">
        <is>
          <t>^Warhead_Tesla_Heavy, ^Warhead_CannonHE_Medium</t>
        </is>
      </c>
    </row>
    <row r="740">
      <c r="B740" s="7" t="inlineStr">
        <is>
          <t xml:space="preserve">  ↳ UbermenschLaser_elite</t>
        </is>
      </c>
      <c r="C740" s="7" t="inlineStr">
        <is>
          <t>Armament@GARRISONEDELITE</t>
        </is>
      </c>
      <c r="L740" s="6" t="n">
        <v>16000</v>
      </c>
      <c r="M740" s="6" t="n">
        <v>30</v>
      </c>
      <c r="N740" s="6" t="n">
        <v>4</v>
      </c>
      <c r="O740" s="6" t="n">
        <v>3</v>
      </c>
      <c r="P740" s="6" t="n">
        <v>6801</v>
      </c>
      <c r="Q740" s="6" t="n">
        <v>1.125</v>
      </c>
      <c r="R740">
        <f>M740+IF(MAX(N740-1,0)&gt;0,IF(ISBLANK(O740),5*MAX(N740-1,0),IF(ISNUMBER(O740),O740*MAX(N740-1,0),SUM(IFERROR(VALUE(TEXTSPLIT(O740,",")),0)))),0)</f>
        <v/>
      </c>
      <c r="S740">
        <f>IFERROR(L740*MAX(N740,1)/R740*IF(ISBLANK(K736),1,K736),0)</f>
        <v/>
      </c>
      <c r="AB740" s="7" t="inlineStr">
        <is>
          <t>^Warhead_Tesla_Heavy, ^Warhead_CannonHE_Medium</t>
        </is>
      </c>
    </row>
    <row r="741">
      <c r="B741" s="7" t="inlineStr">
        <is>
          <t xml:space="preserve">  ↳ Lunar_YellowUbermenschLaser</t>
        </is>
      </c>
      <c r="C741" s="7" t="inlineStr">
        <is>
          <t>Armament@PRIMARY_UP</t>
        </is>
      </c>
      <c r="L741" s="6" t="n">
        <v>16000</v>
      </c>
      <c r="M741" s="6" t="n">
        <v>30</v>
      </c>
      <c r="N741" s="6" t="n">
        <v>3</v>
      </c>
      <c r="O741" s="6" t="n">
        <v>3</v>
      </c>
      <c r="P741" s="6" t="n">
        <v>5801</v>
      </c>
      <c r="Q741" s="6" t="n">
        <v>1.125</v>
      </c>
      <c r="R741">
        <f>M741+IF(MAX(N741-1,0)&gt;0,IF(ISBLANK(O741),5*MAX(N741-1,0),IF(ISNUMBER(O741),O741*MAX(N741-1,0),SUM(IFERROR(VALUE(TEXTSPLIT(O741,",")),0)))),0)</f>
        <v/>
      </c>
      <c r="S741">
        <f>IFERROR(L741*MAX(N741,1)/R741*IF(ISBLANK(K736),1,K736),0)</f>
        <v/>
      </c>
      <c r="AB741" s="7" t="inlineStr">
        <is>
          <t>^Warhead_Tesla_Heavy, ^Warhead_CannonHE_Medium</t>
        </is>
      </c>
    </row>
    <row r="742">
      <c r="B742" s="7" t="inlineStr">
        <is>
          <t xml:space="preserve">  ↳ Lunar_YellowUbermenschLaser_elite</t>
        </is>
      </c>
      <c r="C742" s="7" t="inlineStr">
        <is>
          <t>Armament@ELITE_UP</t>
        </is>
      </c>
      <c r="L742" s="6" t="n">
        <v>16000</v>
      </c>
      <c r="M742" s="6" t="n">
        <v>30</v>
      </c>
      <c r="N742" s="6" t="n">
        <v>5</v>
      </c>
      <c r="O742" s="6" t="n">
        <v>3</v>
      </c>
      <c r="P742" s="6" t="n">
        <v>6801</v>
      </c>
      <c r="Q742" s="6" t="n">
        <v>1.125</v>
      </c>
      <c r="R742">
        <f>M742+IF(MAX(N742-1,0)&gt;0,IF(ISBLANK(O742),5*MAX(N742-1,0),IF(ISNUMBER(O742),O742*MAX(N742-1,0),SUM(IFERROR(VALUE(TEXTSPLIT(O742,",")),0)))),0)</f>
        <v/>
      </c>
      <c r="S742">
        <f>IFERROR(L742*MAX(N742,1)/R742*IF(ISBLANK(K736),1,K736),0)</f>
        <v/>
      </c>
      <c r="AB742" s="7" t="inlineStr">
        <is>
          <t>^Warhead_Tesla_Heavy, ^Warhead_CannonHE_Medium</t>
        </is>
      </c>
    </row>
    <row r="743">
      <c r="B743" s="7" t="inlineStr">
        <is>
          <t xml:space="preserve">  ↳ Lunar_YellowUbermenschLaser</t>
        </is>
      </c>
      <c r="C743" s="7" t="inlineStr">
        <is>
          <t>Armament@GARRISONED_UP</t>
        </is>
      </c>
      <c r="L743" s="6" t="n">
        <v>16000</v>
      </c>
      <c r="M743" s="6" t="n">
        <v>30</v>
      </c>
      <c r="N743" s="6" t="n">
        <v>3</v>
      </c>
      <c r="O743" s="6" t="n">
        <v>3</v>
      </c>
      <c r="P743" s="6" t="n">
        <v>5801</v>
      </c>
      <c r="Q743" s="6" t="n">
        <v>1.125</v>
      </c>
      <c r="R743">
        <f>M743+IF(MAX(N743-1,0)&gt;0,IF(ISBLANK(O743),5*MAX(N743-1,0),IF(ISNUMBER(O743),O743*MAX(N743-1,0),SUM(IFERROR(VALUE(TEXTSPLIT(O743,",")),0)))),0)</f>
        <v/>
      </c>
      <c r="S743">
        <f>IFERROR(L743*MAX(N743,1)/R743*IF(ISBLANK(K736),1,K736),0)</f>
        <v/>
      </c>
      <c r="AB743" s="7" t="inlineStr">
        <is>
          <t>^Warhead_Tesla_Heavy, ^Warhead_CannonHE_Medium</t>
        </is>
      </c>
    </row>
    <row r="744">
      <c r="B744" s="7" t="inlineStr">
        <is>
          <t xml:space="preserve">  ↳ Lunar_YellowUbermenschLaser_elite</t>
        </is>
      </c>
      <c r="C744" s="7" t="inlineStr">
        <is>
          <t>Armament@GARRISONEDELITE_UP</t>
        </is>
      </c>
      <c r="L744" s="6" t="n">
        <v>16000</v>
      </c>
      <c r="M744" s="6" t="n">
        <v>30</v>
      </c>
      <c r="N744" s="6" t="n">
        <v>5</v>
      </c>
      <c r="O744" s="6" t="n">
        <v>3</v>
      </c>
      <c r="P744" s="6" t="n">
        <v>6801</v>
      </c>
      <c r="Q744" s="6" t="n">
        <v>1.125</v>
      </c>
      <c r="R744">
        <f>M744+IF(MAX(N744-1,0)&gt;0,IF(ISBLANK(O744),5*MAX(N744-1,0),IF(ISNUMBER(O744),O744*MAX(N744-1,0),SUM(IFERROR(VALUE(TEXTSPLIT(O744,",")),0)))),0)</f>
        <v/>
      </c>
      <c r="S744">
        <f>IFERROR(L744*MAX(N744,1)/R744*IF(ISBLANK(K736),1,K736),0)</f>
        <v/>
      </c>
      <c r="AB744" s="7" t="inlineStr">
        <is>
          <t>^Warhead_Tesla_Heavy, ^Warhead_CannonHE_Medium</t>
        </is>
      </c>
    </row>
    <row r="745">
      <c r="B745" s="7" t="inlineStr">
        <is>
          <t xml:space="preserve">  ↳ Lunar_AmplifiedUbermenschLaser</t>
        </is>
      </c>
      <c r="C745" s="7" t="inlineStr">
        <is>
          <t>Armament@PRIMARY_AMP</t>
        </is>
      </c>
      <c r="L745" s="6" t="n">
        <v>16000</v>
      </c>
      <c r="M745" s="6" t="n">
        <v>30</v>
      </c>
      <c r="N745" s="6" t="n">
        <v>4</v>
      </c>
      <c r="O745" s="6" t="n">
        <v>3</v>
      </c>
      <c r="P745" s="6" t="n">
        <v>5801</v>
      </c>
      <c r="Q745" s="6" t="n">
        <v>1.125</v>
      </c>
      <c r="R745">
        <f>M745+IF(MAX(N745-1,0)&gt;0,IF(ISBLANK(O745),5*MAX(N745-1,0),IF(ISNUMBER(O745),O745*MAX(N745-1,0),SUM(IFERROR(VALUE(TEXTSPLIT(O745,",")),0)))),0)</f>
        <v/>
      </c>
      <c r="S745">
        <f>IFERROR(L745*MAX(N745,1)/R745*IF(ISBLANK(K736),1,K736),0)</f>
        <v/>
      </c>
      <c r="AB745" s="7" t="inlineStr">
        <is>
          <t>^Warhead_Tesla_Heavy, ^Warhead_CannonHE_Medium</t>
        </is>
      </c>
    </row>
    <row r="746">
      <c r="B746" s="7" t="inlineStr">
        <is>
          <t xml:space="preserve">  ↳ Lunar_AmplifiedUbermenschLaser_elite</t>
        </is>
      </c>
      <c r="C746" s="7" t="inlineStr">
        <is>
          <t>Armament@ELITE_AMP</t>
        </is>
      </c>
      <c r="L746" s="6" t="n">
        <v>16000</v>
      </c>
      <c r="M746" s="6" t="n">
        <v>30</v>
      </c>
      <c r="N746" s="6" t="n">
        <v>6</v>
      </c>
      <c r="O746" s="6" t="n">
        <v>3</v>
      </c>
      <c r="P746" s="6" t="n">
        <v>6801</v>
      </c>
      <c r="Q746" s="6" t="n">
        <v>1.125</v>
      </c>
      <c r="R746">
        <f>M746+IF(MAX(N746-1,0)&gt;0,IF(ISBLANK(O746),5*MAX(N746-1,0),IF(ISNUMBER(O746),O746*MAX(N746-1,0),SUM(IFERROR(VALUE(TEXTSPLIT(O746,",")),0)))),0)</f>
        <v/>
      </c>
      <c r="S746">
        <f>IFERROR(L746*MAX(N746,1)/R746*IF(ISBLANK(K736),1,K736),0)</f>
        <v/>
      </c>
      <c r="AB746" s="7" t="inlineStr">
        <is>
          <t>^Warhead_Tesla_Heavy, ^Warhead_CannonHE_Medium</t>
        </is>
      </c>
    </row>
    <row r="747">
      <c r="B747" s="7" t="inlineStr">
        <is>
          <t xml:space="preserve">  ↳ Lunar_AmplifiedUbermenschLaser</t>
        </is>
      </c>
      <c r="C747" s="7" t="inlineStr">
        <is>
          <t>Armament@GARRISONED_AMP</t>
        </is>
      </c>
      <c r="L747" s="6" t="n">
        <v>16000</v>
      </c>
      <c r="M747" s="6" t="n">
        <v>30</v>
      </c>
      <c r="N747" s="6" t="n">
        <v>4</v>
      </c>
      <c r="O747" s="6" t="n">
        <v>3</v>
      </c>
      <c r="P747" s="6" t="n">
        <v>5801</v>
      </c>
      <c r="Q747" s="6" t="n">
        <v>1.125</v>
      </c>
      <c r="R747">
        <f>M747+IF(MAX(N747-1,0)&gt;0,IF(ISBLANK(O747),5*MAX(N747-1,0),IF(ISNUMBER(O747),O747*MAX(N747-1,0),SUM(IFERROR(VALUE(TEXTSPLIT(O747,",")),0)))),0)</f>
        <v/>
      </c>
      <c r="S747">
        <f>IFERROR(L747*MAX(N747,1)/R747*IF(ISBLANK(K736),1,K736),0)</f>
        <v/>
      </c>
      <c r="AB747" s="7" t="inlineStr">
        <is>
          <t>^Warhead_Tesla_Heavy, ^Warhead_CannonHE_Medium</t>
        </is>
      </c>
    </row>
    <row r="748">
      <c r="B748" s="7" t="inlineStr">
        <is>
          <t xml:space="preserve">  ↳ Lunar_AmplifiedUbermenschLaser_elite</t>
        </is>
      </c>
      <c r="C748" s="7" t="inlineStr">
        <is>
          <t>Armament@GARRISONEDELITE_AMP</t>
        </is>
      </c>
      <c r="L748" s="6" t="n">
        <v>16000</v>
      </c>
      <c r="M748" s="6" t="n">
        <v>30</v>
      </c>
      <c r="N748" s="6" t="n">
        <v>6</v>
      </c>
      <c r="O748" s="6" t="n">
        <v>3</v>
      </c>
      <c r="P748" s="6" t="n">
        <v>6801</v>
      </c>
      <c r="Q748" s="6" t="n">
        <v>1.125</v>
      </c>
      <c r="R748">
        <f>M748+IF(MAX(N748-1,0)&gt;0,IF(ISBLANK(O748),5*MAX(N748-1,0),IF(ISNUMBER(O748),O748*MAX(N748-1,0),SUM(IFERROR(VALUE(TEXTSPLIT(O748,",")),0)))),0)</f>
        <v/>
      </c>
      <c r="S748">
        <f>IFERROR(L748*MAX(N748,1)/R748*IF(ISBLANK(K736),1,K736),0)</f>
        <v/>
      </c>
      <c r="AB748" s="7" t="inlineStr">
        <is>
          <t>^Warhead_Tesla_Heavy, ^Warhead_CannonHE_Medium</t>
        </is>
      </c>
    </row>
    <row r="749">
      <c r="A749" t="inlineStr">
        <is>
          <t>redalert2mod</t>
        </is>
      </c>
      <c r="B749" t="inlineStr">
        <is>
          <t>tkm_juggernaut</t>
        </is>
      </c>
      <c r="C749" t="inlineStr">
        <is>
          <t>Juggernaut</t>
        </is>
      </c>
      <c r="D749" s="6" t="inlineStr">
        <is>
          <t>HeavyInfantry</t>
        </is>
      </c>
      <c r="E749" s="6" t="n">
        <v>36000</v>
      </c>
      <c r="F749" s="6" t="n">
        <v>45</v>
      </c>
      <c r="G749" t="inlineStr">
        <is>
          <t>Plate</t>
        </is>
      </c>
      <c r="H749" s="6" t="n">
        <v>0.6522</v>
      </c>
      <c r="I749" s="6" t="n">
        <v>1</v>
      </c>
      <c r="J749" s="6" t="n">
        <v>1</v>
      </c>
      <c r="P749">
        <f>MAX(P750,P751)</f>
        <v/>
      </c>
      <c r="S749">
        <f>S750+S751</f>
        <v/>
      </c>
      <c r="T749">
        <f>(E749/100000+F749/100+(P749/1000)*J749/5+S749/200)*200*I749*H749</f>
        <v/>
      </c>
      <c r="U749">
        <f>((E749*F749/25000)+((P749/1000)*J749*S749/2.5))*I749*H749</f>
        <v/>
      </c>
      <c r="V749">
        <f>(E749*F749*(P749/1000)*J749*S749*I749*H749)/12500000</f>
        <v/>
      </c>
      <c r="W749">
        <f>(T749+U749+V749)/3</f>
        <v/>
      </c>
      <c r="X749" s="6" t="n">
        <v>650</v>
      </c>
      <c r="Y749">
        <f>IFERROR(W749-X749,"")</f>
        <v/>
      </c>
      <c r="Z749">
        <f>IFERROR(ABS(Y749)/MAX(X749,1),"")</f>
        <v/>
      </c>
      <c r="AA749">
        <f>IFERROR((X749-(((E749/100000+F749/100+S749/200)*200*I749*H749)+((E749*F749/25000)*I749*H749))/3)/(((J749/5)*200*I749*H749)+((J749*S749/2.5)*I749*H749)+((E749*F749*J749*S749*I749*H749)/12500000))/3*1000,"")</f>
        <v/>
      </c>
    </row>
    <row r="750">
      <c r="B750" s="7" t="inlineStr">
        <is>
          <t xml:space="preserve">  ↳ tkm_juggernaut</t>
        </is>
      </c>
      <c r="C750" s="7" t="inlineStr">
        <is>
          <t>Armament@PRIMARY</t>
        </is>
      </c>
      <c r="L750" s="6" t="n">
        <v>4000</v>
      </c>
      <c r="M750" s="6" t="n">
        <v>8</v>
      </c>
      <c r="N750" s="6" t="n">
        <v>1</v>
      </c>
      <c r="O750" s="6" t="n"/>
      <c r="P750" s="6" t="n">
        <v>4490</v>
      </c>
      <c r="Q750" s="6" t="n">
        <v>1</v>
      </c>
      <c r="R750">
        <f>M750+IF(MAX(N750-1,0)&gt;0,IF(ISBLANK(O750),5*MAX(N750-1,0),IF(ISNUMBER(O750),O750*MAX(N750-1,0),SUM(IFERROR(VALUE(TEXTSPLIT(O750,",")),0)))),0)</f>
        <v/>
      </c>
      <c r="S750">
        <f>IFERROR(L750*MAX(N750,1)/R750*IF(ISBLANK(K749),1,K749),0)</f>
        <v/>
      </c>
      <c r="AB750" s="7" t="inlineStr">
        <is>
          <t>^Warhead_Bullet_Medium</t>
        </is>
      </c>
    </row>
    <row r="751">
      <c r="B751" s="7" t="inlineStr">
        <is>
          <t xml:space="preserve">  ↳ tkmjuggap</t>
        </is>
      </c>
      <c r="C751" s="7" t="inlineStr">
        <is>
          <t>Armament@PRIMARYUPGRADE</t>
        </is>
      </c>
      <c r="L751" s="6" t="n">
        <v>8000</v>
      </c>
      <c r="M751" s="6" t="n">
        <v>9</v>
      </c>
      <c r="N751" s="6" t="n">
        <v>3</v>
      </c>
      <c r="O751" s="6" t="n">
        <v>6</v>
      </c>
      <c r="P751" s="6" t="n">
        <v>4792</v>
      </c>
      <c r="Q751" s="6" t="n">
        <v>0.75</v>
      </c>
      <c r="R751">
        <f>M751+IF(MAX(N751-1,0)&gt;0,IF(ISBLANK(O751),5*MAX(N751-1,0),IF(ISNUMBER(O751),O751*MAX(N751-1,0),SUM(IFERROR(VALUE(TEXTSPLIT(O751,",")),0)))),0)</f>
        <v/>
      </c>
      <c r="S751">
        <f>IFERROR(L751*MAX(N751,1)/R751*IF(ISBLANK(K749),1,K749),0)</f>
        <v/>
      </c>
      <c r="AB751" s="7" t="inlineStr">
        <is>
          <t>^Warhead_Bullet_Light, ^Warhead_Demolition_Light</t>
        </is>
      </c>
    </row>
    <row r="752">
      <c r="B752" s="7" t="inlineStr">
        <is>
          <t xml:space="preserve">  ↳ tkm_juggernaut</t>
        </is>
      </c>
      <c r="C752" s="7" t="inlineStr">
        <is>
          <t>Armament@GARRISONED</t>
        </is>
      </c>
      <c r="L752" s="6" t="n">
        <v>4000</v>
      </c>
      <c r="M752" s="6" t="n">
        <v>8</v>
      </c>
      <c r="N752" s="6" t="n">
        <v>1</v>
      </c>
      <c r="O752" s="6" t="n"/>
      <c r="P752" s="6" t="n">
        <v>4490</v>
      </c>
      <c r="Q752" s="6" t="n">
        <v>1</v>
      </c>
      <c r="R752">
        <f>M752+IF(MAX(N752-1,0)&gt;0,IF(ISBLANK(O752),5*MAX(N752-1,0),IF(ISNUMBER(O752),O752*MAX(N752-1,0),SUM(IFERROR(VALUE(TEXTSPLIT(O752,",")),0)))),0)</f>
        <v/>
      </c>
      <c r="S752">
        <f>IFERROR(L752*MAX(N752,1)/R752*IF(ISBLANK(K749),1,K749),0)</f>
        <v/>
      </c>
      <c r="AB752" s="7" t="inlineStr">
        <is>
          <t>^Warhead_Bullet_Medium</t>
        </is>
      </c>
    </row>
    <row r="753">
      <c r="B753" s="7" t="inlineStr">
        <is>
          <t xml:space="preserve">  ↳ tkmjuggap</t>
        </is>
      </c>
      <c r="C753" s="7" t="inlineStr">
        <is>
          <t>Armament@GARRISONEDUPGRADE</t>
        </is>
      </c>
      <c r="L753" s="6" t="n">
        <v>8000</v>
      </c>
      <c r="M753" s="6" t="n">
        <v>9</v>
      </c>
      <c r="N753" s="6" t="n">
        <v>3</v>
      </c>
      <c r="O753" s="6" t="n">
        <v>6</v>
      </c>
      <c r="P753" s="6" t="n">
        <v>4792</v>
      </c>
      <c r="Q753" s="6" t="n">
        <v>0.75</v>
      </c>
      <c r="R753">
        <f>M753+IF(MAX(N753-1,0)&gt;0,IF(ISBLANK(O753),5*MAX(N753-1,0),IF(ISNUMBER(O753),O753*MAX(N753-1,0),SUM(IFERROR(VALUE(TEXTSPLIT(O753,",")),0)))),0)</f>
        <v/>
      </c>
      <c r="S753">
        <f>IFERROR(L753*MAX(N753,1)/R753*IF(ISBLANK(K749),1,K749),0)</f>
        <v/>
      </c>
      <c r="AB753" s="7" t="inlineStr">
        <is>
          <t>^Warhead_Bullet_Light, ^Warhead_Demolition_Light</t>
        </is>
      </c>
    </row>
    <row r="754">
      <c r="A754" t="inlineStr">
        <is>
          <t>d2k</t>
        </is>
      </c>
      <c r="B754" t="inlineStr">
        <is>
          <t>ordos_chemicaltrooper</t>
        </is>
      </c>
      <c r="C754" t="inlineStr">
        <is>
          <t>Ordos Chemical Trooper</t>
        </is>
      </c>
      <c r="D754" s="6" t="inlineStr">
        <is>
          <t>HeavyInfantry</t>
        </is>
      </c>
      <c r="E754" s="6" t="n">
        <v>30000</v>
      </c>
      <c r="F754" s="6" t="n">
        <v>45</v>
      </c>
      <c r="G754" t="inlineStr">
        <is>
          <t>Plate</t>
        </is>
      </c>
      <c r="H754" s="6" t="n">
        <v>1</v>
      </c>
      <c r="I754" s="6" t="n">
        <v>0.8</v>
      </c>
      <c r="J754" s="6" t="n">
        <v>1</v>
      </c>
      <c r="P754">
        <f>MAX(P755)</f>
        <v/>
      </c>
      <c r="S754">
        <f>S755</f>
        <v/>
      </c>
      <c r="T754">
        <f>(E754/100000+F754/100+(P754/1000)*J754/5+S754/200)*200*I754*H754</f>
        <v/>
      </c>
      <c r="U754">
        <f>((E754*F754/25000)+((P754/1000)*J754*S754/2.5))*I754*H754</f>
        <v/>
      </c>
      <c r="V754">
        <f>(E754*F754*(P754/1000)*J754*S754*I754*H754)/12500000</f>
        <v/>
      </c>
      <c r="W754">
        <f>(T754+U754+V754)/3</f>
        <v/>
      </c>
      <c r="X754" s="6" t="n">
        <v>400</v>
      </c>
      <c r="Y754">
        <f>IFERROR(W754-X754,"")</f>
        <v/>
      </c>
      <c r="Z754">
        <f>IFERROR(ABS(Y754)/MAX(X754,1),"")</f>
        <v/>
      </c>
      <c r="AA754">
        <f>IFERROR((X754-(((E754/100000+F754/100+S754/200)*200*I754*H754)+((E754*F754/25000)*I754*H754))/3)/(((J754/5)*200*I754*H754)+((J754*S754/2.5)*I754*H754)+((E754*F754*J754*S754*I754*H754)/12500000))/3*1000,"")</f>
        <v/>
      </c>
    </row>
    <row r="755">
      <c r="B755" s="7" t="inlineStr">
        <is>
          <t xml:space="preserve">  ↳ d2k_chemgun</t>
        </is>
      </c>
      <c r="C755" s="7" t="inlineStr">
        <is>
          <t>Armament@PRIMARY</t>
        </is>
      </c>
      <c r="L755" s="6" t="n">
        <v>30000</v>
      </c>
      <c r="M755" s="6" t="n">
        <v>75</v>
      </c>
      <c r="N755" s="6" t="n">
        <v>1</v>
      </c>
      <c r="O755" s="6" t="n"/>
      <c r="P755" s="6" t="n">
        <v>5177</v>
      </c>
      <c r="Q755" s="6" t="n">
        <v>0.75</v>
      </c>
      <c r="R755">
        <f>M755+IF(MAX(N755-1,0)&gt;0,IF(ISBLANK(O755),5*MAX(N755-1,0),IF(ISNUMBER(O755),O755*MAX(N755-1,0),SUM(IFERROR(VALUE(TEXTSPLIT(O755,",")),0)))),0)</f>
        <v/>
      </c>
      <c r="S755">
        <f>IFERROR(L755*MAX(N755,1)/R755*IF(ISBLANK(K754),1,K754),0)</f>
        <v/>
      </c>
      <c r="AB755" s="7" t="inlineStr">
        <is>
          <t>^Warhead_Chemical_Light</t>
        </is>
      </c>
    </row>
    <row r="756">
      <c r="B756" s="7" t="inlineStr">
        <is>
          <t xml:space="preserve">  ↳ d2k_chemgun</t>
        </is>
      </c>
      <c r="C756" s="7" t="inlineStr">
        <is>
          <t>Armament@GARRISONED</t>
        </is>
      </c>
      <c r="L756" s="6" t="n">
        <v>30000</v>
      </c>
      <c r="M756" s="6" t="n">
        <v>75</v>
      </c>
      <c r="N756" s="6" t="n">
        <v>1</v>
      </c>
      <c r="O756" s="6" t="n"/>
      <c r="P756" s="6" t="n">
        <v>5177</v>
      </c>
      <c r="Q756" s="6" t="n">
        <v>0.75</v>
      </c>
      <c r="R756">
        <f>M756+IF(MAX(N756-1,0)&gt;0,IF(ISBLANK(O756),5*MAX(N756-1,0),IF(ISNUMBER(O756),O756*MAX(N756-1,0),SUM(IFERROR(VALUE(TEXTSPLIT(O756,",")),0)))),0)</f>
        <v/>
      </c>
      <c r="S756">
        <f>IFERROR(L756*MAX(N756,1)/R756*IF(ISBLANK(K754),1,K754),0)</f>
        <v/>
      </c>
      <c r="AB756" s="7" t="inlineStr">
        <is>
          <t>^Warhead_Chemical_Light</t>
        </is>
      </c>
    </row>
    <row r="757">
      <c r="A757" t="inlineStr">
        <is>
          <t>d2k</t>
        </is>
      </c>
      <c r="B757" t="inlineStr">
        <is>
          <t>ixian_shockinfantry</t>
        </is>
      </c>
      <c r="C757" t="inlineStr">
        <is>
          <t>Shock Infantry</t>
        </is>
      </c>
      <c r="D757" s="6" t="inlineStr">
        <is>
          <t>HeavyInfantry</t>
        </is>
      </c>
      <c r="E757" s="6" t="n">
        <v>36000</v>
      </c>
      <c r="F757" s="6" t="n">
        <v>45</v>
      </c>
      <c r="G757" t="inlineStr">
        <is>
          <t>Plate</t>
        </is>
      </c>
      <c r="H757" s="6" t="n">
        <v>0.5238</v>
      </c>
      <c r="I757" s="6" t="n">
        <v>1</v>
      </c>
      <c r="J757" s="6" t="n">
        <v>1</v>
      </c>
      <c r="P757">
        <f>MAX(P758)</f>
        <v/>
      </c>
      <c r="S757">
        <f>S758</f>
        <v/>
      </c>
      <c r="T757">
        <f>(E757/100000+F757/100+(P757/1000)*J757/5+S757/200)*200*I757*H757</f>
        <v/>
      </c>
      <c r="U757">
        <f>((E757*F757/25000)+((P757/1000)*J757*S757/2.5))*I757*H757</f>
        <v/>
      </c>
      <c r="V757">
        <f>(E757*F757*(P757/1000)*J757*S757*I757*H757)/12500000</f>
        <v/>
      </c>
      <c r="W757">
        <f>(T757+U757+V757)/3</f>
        <v/>
      </c>
      <c r="X757" s="6" t="n">
        <v>500</v>
      </c>
      <c r="Y757">
        <f>IFERROR(W757-X757,"")</f>
        <v/>
      </c>
      <c r="Z757">
        <f>IFERROR(ABS(Y757)/MAX(X757,1),"")</f>
        <v/>
      </c>
      <c r="AA757">
        <f>IFERROR((X757-(((E757/100000+F757/100+S757/200)*200*I757*H757)+((E757*F757/25000)*I757*H757))/3)/(((J757/5)*200*I757*H757)+((J757*S757/2.5)*I757*H757)+((E757*F757*J757*S757*I757*H757)/12500000))/3*1000,"")</f>
        <v/>
      </c>
    </row>
    <row r="758">
      <c r="B758" s="7" t="inlineStr">
        <is>
          <t xml:space="preserve">  ↳ D2K_ShockGunInf</t>
        </is>
      </c>
      <c r="C758" s="7" t="inlineStr">
        <is>
          <t>Armament@PRIMARY</t>
        </is>
      </c>
      <c r="L758" s="6" t="n">
        <v>18000</v>
      </c>
      <c r="M758" s="6" t="n">
        <v>45</v>
      </c>
      <c r="N758" s="6" t="n">
        <v>1</v>
      </c>
      <c r="O758" s="6" t="n"/>
      <c r="P758" s="6" t="n">
        <v>5818</v>
      </c>
      <c r="Q758" s="6" t="n">
        <v>1.25</v>
      </c>
      <c r="R758">
        <f>M758+IF(MAX(N758-1,0)&gt;0,IF(ISBLANK(O758),5*MAX(N758-1,0),IF(ISNUMBER(O758),O758*MAX(N758-1,0),SUM(IFERROR(VALUE(TEXTSPLIT(O758,",")),0)))),0)</f>
        <v/>
      </c>
      <c r="S758">
        <f>IFERROR(L758*MAX(N758,1)/R758*IF(ISBLANK(K757),1,K757),0)</f>
        <v/>
      </c>
      <c r="AB758" s="7" t="inlineStr">
        <is>
          <t>^Warhead_Storm_Heavy</t>
        </is>
      </c>
    </row>
    <row r="759">
      <c r="B759" s="7" t="inlineStr">
        <is>
          <t xml:space="preserve">  ↳ D2K_ShockGunInf</t>
        </is>
      </c>
      <c r="C759" s="7" t="inlineStr">
        <is>
          <t>Armament@GARRISONED</t>
        </is>
      </c>
      <c r="L759" s="6" t="n">
        <v>18000</v>
      </c>
      <c r="M759" s="6" t="n">
        <v>45</v>
      </c>
      <c r="N759" s="6" t="n">
        <v>1</v>
      </c>
      <c r="O759" s="6" t="n"/>
      <c r="P759" s="6" t="n">
        <v>5818</v>
      </c>
      <c r="Q759" s="6" t="n">
        <v>1.25</v>
      </c>
      <c r="R759">
        <f>M759+IF(MAX(N759-1,0)&gt;0,IF(ISBLANK(O759),5*MAX(N759-1,0),IF(ISNUMBER(O759),O759*MAX(N759-1,0),SUM(IFERROR(VALUE(TEXTSPLIT(O759,",")),0)))),0)</f>
        <v/>
      </c>
      <c r="S759">
        <f>IFERROR(L759*MAX(N759,1)/R759*IF(ISBLANK(K757),1,K757),0)</f>
        <v/>
      </c>
      <c r="AB759" s="7" t="inlineStr">
        <is>
          <t>^Warhead_Storm_Heavy</t>
        </is>
      </c>
    </row>
    <row r="760">
      <c r="A760" t="inlineStr">
        <is>
          <t>d2k</t>
        </is>
      </c>
      <c r="B760" t="inlineStr">
        <is>
          <t>ixian_storminfantry</t>
        </is>
      </c>
      <c r="C760" t="inlineStr">
        <is>
          <t>Storm Infantry</t>
        </is>
      </c>
      <c r="D760" s="6" t="inlineStr">
        <is>
          <t>HeavyInfantry</t>
        </is>
      </c>
      <c r="E760" s="6" t="n">
        <v>44000</v>
      </c>
      <c r="F760" s="6" t="n">
        <v>44</v>
      </c>
      <c r="G760" t="inlineStr">
        <is>
          <t>Plate</t>
        </is>
      </c>
      <c r="H760" s="6" t="n">
        <v>0.5238</v>
      </c>
      <c r="I760" s="6" t="n">
        <v>1</v>
      </c>
      <c r="J760" s="6" t="n">
        <v>1</v>
      </c>
      <c r="P760">
        <f>MAX(P761)</f>
        <v/>
      </c>
      <c r="S760">
        <f>S761</f>
        <v/>
      </c>
      <c r="T760">
        <f>(E760/100000+F760/100+(P760/1000)*J760/5+S760/200)*200*I760*H760</f>
        <v/>
      </c>
      <c r="U760">
        <f>((E760*F760/25000)+((P760/1000)*J760*S760/2.5))*I760*H760</f>
        <v/>
      </c>
      <c r="V760">
        <f>(E760*F760*(P760/1000)*J760*S760*I760*H760)/12500000</f>
        <v/>
      </c>
      <c r="W760">
        <f>(T760+U760+V760)/3</f>
        <v/>
      </c>
      <c r="X760" s="6" t="n">
        <v>800</v>
      </c>
      <c r="Y760">
        <f>IFERROR(W760-X760,"")</f>
        <v/>
      </c>
      <c r="Z760">
        <f>IFERROR(ABS(Y760)/MAX(X760,1),"")</f>
        <v/>
      </c>
      <c r="AA760">
        <f>IFERROR((X760-(((E760/100000+F760/100+S760/200)*200*I760*H760)+((E760*F760/25000)*I760*H760))/3)/(((J760/5)*200*I760*H760)+((J760*S760/2.5)*I760*H760)+((E760*F760*J760*S760*I760*H760)/12500000))/3*1000,"")</f>
        <v/>
      </c>
    </row>
    <row r="761">
      <c r="B761" s="7" t="inlineStr">
        <is>
          <t xml:space="preserve">  ↳ D2K_StormGunInf</t>
        </is>
      </c>
      <c r="C761" s="7" t="inlineStr">
        <is>
          <t>Armament@PRIMARY</t>
        </is>
      </c>
      <c r="L761" s="6" t="n">
        <v>24000</v>
      </c>
      <c r="M761" s="6" t="n">
        <v>66</v>
      </c>
      <c r="N761" s="6" t="n">
        <v>1</v>
      </c>
      <c r="O761" s="6" t="n"/>
      <c r="P761" s="6" t="n">
        <v>6275</v>
      </c>
      <c r="Q761" s="6" t="n">
        <v>1.25</v>
      </c>
      <c r="R761">
        <f>M761+IF(MAX(N761-1,0)&gt;0,IF(ISBLANK(O761),5*MAX(N761-1,0),IF(ISNUMBER(O761),O761*MAX(N761-1,0),SUM(IFERROR(VALUE(TEXTSPLIT(O761,",")),0)))),0)</f>
        <v/>
      </c>
      <c r="S761">
        <f>IFERROR(L761*MAX(N761,1)/R761*IF(ISBLANK(K760),1,K760),0)</f>
        <v/>
      </c>
      <c r="AB761" s="7" t="inlineStr">
        <is>
          <t>^Warhead_Storm_Heavy</t>
        </is>
      </c>
    </row>
    <row r="762">
      <c r="B762" s="7" t="inlineStr">
        <is>
          <t xml:space="preserve">  ↳ D2K_StormGunInf</t>
        </is>
      </c>
      <c r="C762" s="7" t="inlineStr">
        <is>
          <t>Armament@GARRISONED</t>
        </is>
      </c>
      <c r="L762" s="6" t="n">
        <v>24000</v>
      </c>
      <c r="M762" s="6" t="n">
        <v>66</v>
      </c>
      <c r="N762" s="6" t="n">
        <v>1</v>
      </c>
      <c r="O762" s="6" t="n"/>
      <c r="P762" s="6" t="n">
        <v>6275</v>
      </c>
      <c r="Q762" s="6" t="n">
        <v>1.25</v>
      </c>
      <c r="R762">
        <f>M762+IF(MAX(N762-1,0)&gt;0,IF(ISBLANK(O762),5*MAX(N762-1,0),IF(ISNUMBER(O762),O762*MAX(N762-1,0),SUM(IFERROR(VALUE(TEXTSPLIT(O762,",")),0)))),0)</f>
        <v/>
      </c>
      <c r="S762">
        <f>IFERROR(L762*MAX(N762,1)/R762*IF(ISBLANK(K760),1,K760),0)</f>
        <v/>
      </c>
      <c r="AB762" s="7" t="inlineStr">
        <is>
          <t>^Warhead_Storm_Heavy</t>
        </is>
      </c>
    </row>
    <row r="763">
      <c r="A763" t="inlineStr">
        <is>
          <t>starcraft</t>
        </is>
      </c>
      <c r="B763" t="inlineStr">
        <is>
          <t>protoss_adept</t>
        </is>
      </c>
      <c r="C763" t="inlineStr">
        <is>
          <t>Adept</t>
        </is>
      </c>
      <c r="D763" s="6" t="inlineStr">
        <is>
          <t>HeavyInfantry</t>
        </is>
      </c>
      <c r="E763" s="6" t="n">
        <v>30000</v>
      </c>
      <c r="F763" s="6" t="n">
        <v>70</v>
      </c>
      <c r="G763" t="inlineStr">
        <is>
          <t>Plate</t>
        </is>
      </c>
      <c r="H763" s="6" t="n">
        <v>1</v>
      </c>
      <c r="I763" s="6" t="n">
        <v>1</v>
      </c>
      <c r="J763" s="6" t="n">
        <v>1</v>
      </c>
      <c r="P763">
        <f>MAX(P764)</f>
        <v/>
      </c>
      <c r="S763">
        <f>S764</f>
        <v/>
      </c>
      <c r="T763">
        <f>(E763/100000+F763/100+(P763/1000)*J763/5+S763/200)*200*I763*H763</f>
        <v/>
      </c>
      <c r="U763">
        <f>((E763*F763/25000)+((P763/1000)*J763*S763/2.5))*I763*H763</f>
        <v/>
      </c>
      <c r="V763">
        <f>(E763*F763*(P763/1000)*J763*S763*I763*H763)/12500000</f>
        <v/>
      </c>
      <c r="W763">
        <f>(T763+U763+V763)/3</f>
        <v/>
      </c>
      <c r="X763" s="6" t="n">
        <v>650</v>
      </c>
      <c r="Y763">
        <f>IFERROR(W763-X763,"")</f>
        <v/>
      </c>
      <c r="Z763">
        <f>IFERROR(ABS(Y763)/MAX(X763,1),"")</f>
        <v/>
      </c>
      <c r="AA763">
        <f>IFERROR((X763-(((E763/100000+F763/100+S763/200)*200*I763*H763)+((E763*F763/25000)*I763*H763))/3)/(((J763/5)*200*I763*H763)+((J763*S763/2.5)*I763*H763)+((E763*F763*J763*S763*I763*H763)/12500000))/3*1000,"")</f>
        <v/>
      </c>
    </row>
    <row r="764">
      <c r="B764" s="7" t="inlineStr">
        <is>
          <t xml:space="preserve">  ↳ GlaveCanon</t>
        </is>
      </c>
      <c r="C764" s="7" t="inlineStr">
        <is>
          <t>Armament</t>
        </is>
      </c>
      <c r="L764" s="6" t="n">
        <v>16000</v>
      </c>
      <c r="M764" s="6" t="n">
        <v>40</v>
      </c>
      <c r="N764" s="6" t="n">
        <v>1</v>
      </c>
      <c r="O764" s="6" t="n"/>
      <c r="P764" s="6" t="n">
        <v>5250</v>
      </c>
      <c r="Q764" s="6" t="n">
        <v>1</v>
      </c>
      <c r="R764">
        <f>M764+IF(MAX(N764-1,0)&gt;0,IF(ISBLANK(O764),5*MAX(N764-1,0),IF(ISNUMBER(O764),O764*MAX(N764-1,0),SUM(IFERROR(VALUE(TEXTSPLIT(O764,",")),0)))),0)</f>
        <v/>
      </c>
      <c r="S764">
        <f>IFERROR(L764*MAX(N764,1)/R764*IF(ISBLANK(K763),1,K763),0)</f>
        <v/>
      </c>
      <c r="AB764" s="7" t="inlineStr">
        <is>
          <t>^Warhead_Demolition_Light, ^Warhead_Railgun_Heavy</t>
        </is>
      </c>
    </row>
    <row r="765">
      <c r="B765" s="7" t="inlineStr">
        <is>
          <t xml:space="preserve">  ↳ GlaveCanon</t>
        </is>
      </c>
      <c r="C765" s="7" t="inlineStr">
        <is>
          <t>Armament@GARRISONED</t>
        </is>
      </c>
      <c r="L765" s="6" t="n">
        <v>16000</v>
      </c>
      <c r="M765" s="6" t="n">
        <v>40</v>
      </c>
      <c r="N765" s="6" t="n">
        <v>1</v>
      </c>
      <c r="O765" s="6" t="n"/>
      <c r="P765" s="6" t="n">
        <v>5250</v>
      </c>
      <c r="Q765" s="6" t="n">
        <v>1</v>
      </c>
      <c r="R765">
        <f>M765+IF(MAX(N765-1,0)&gt;0,IF(ISBLANK(O765),5*MAX(N765-1,0),IF(ISNUMBER(O765),O765*MAX(N765-1,0),SUM(IFERROR(VALUE(TEXTSPLIT(O765,",")),0)))),0)</f>
        <v/>
      </c>
      <c r="S765">
        <f>IFERROR(L765*MAX(N765,1)/R765*IF(ISBLANK(K763),1,K763),0)</f>
        <v/>
      </c>
      <c r="AB765" s="7" t="inlineStr">
        <is>
          <t>^Warhead_Demolition_Light, ^Warhead_Railgun_Heavy</t>
        </is>
      </c>
    </row>
    <row r="766">
      <c r="A766" t="inlineStr">
        <is>
          <t>starcraft</t>
        </is>
      </c>
      <c r="B766" t="inlineStr">
        <is>
          <t>terran_marauder</t>
        </is>
      </c>
      <c r="C766" t="inlineStr">
        <is>
          <t>Marauder</t>
        </is>
      </c>
      <c r="D766" s="6" t="inlineStr">
        <is>
          <t>HeavyInfantry</t>
        </is>
      </c>
      <c r="E766" s="6" t="n">
        <v>90000</v>
      </c>
      <c r="F766" s="6" t="n">
        <v>45</v>
      </c>
      <c r="G766" t="inlineStr">
        <is>
          <t>Plate</t>
        </is>
      </c>
      <c r="H766" s="6" t="n">
        <v>1</v>
      </c>
      <c r="I766" s="6" t="n">
        <v>0.8</v>
      </c>
      <c r="J766" s="6" t="n">
        <v>1</v>
      </c>
      <c r="P766">
        <f>MAX(P767)</f>
        <v/>
      </c>
      <c r="S766">
        <f>S767</f>
        <v/>
      </c>
      <c r="T766">
        <f>(E766/100000+F766/100+(P766/1000)*J766/5+S766/200)*200*I766*H766</f>
        <v/>
      </c>
      <c r="U766">
        <f>((E766*F766/25000)+((P766/1000)*J766*S766/2.5))*I766*H766</f>
        <v/>
      </c>
      <c r="V766">
        <f>(E766*F766*(P766/1000)*J766*S766*I766*H766)/12500000</f>
        <v/>
      </c>
      <c r="W766">
        <f>IFERROR((((E766/50000)+(F766/50)+(S766/1000)+((P766/5000)*J766))*800/4+(((E766/50000)*(F766/50))+(((P766/5000)*J766)*(S766/1000)))*800/2+((E766/50000)*(F766/50)*((P766/5000)*J766)*(S766/1000))*800)*(H766/0.75)/3,"")</f>
        <v/>
      </c>
      <c r="X766" s="6" t="n">
        <v>1000</v>
      </c>
      <c r="Y766">
        <f>IFERROR(W766-X766,"")</f>
        <v/>
      </c>
      <c r="Z766">
        <f>IFERROR(ABS(Y766)/MAX(X766,1),"")</f>
        <v/>
      </c>
      <c r="AA766">
        <f>IFERROR(ROUND(((3*X766-(((E766/50000)+(F766/50)+(S766/1000))*800/4+((E766/50000)*(F766/50))*800/2)*(H766/0.75))/(800/4+((S766/1000))*800/2+((E766/50000)*(F766/50)*(S766/1000))*800)*(H766/0.75)*5000)/J766,-1),"")</f>
        <v/>
      </c>
    </row>
    <row r="767">
      <c r="B767" s="7" t="inlineStr">
        <is>
          <t xml:space="preserve">  ↳ MarauderMissiles</t>
        </is>
      </c>
      <c r="C767" s="7" t="inlineStr">
        <is>
          <t>Armament@1</t>
        </is>
      </c>
      <c r="L767" s="6" t="n">
        <v>30000</v>
      </c>
      <c r="M767" s="6" t="n">
        <v>60</v>
      </c>
      <c r="N767" s="6" t="n">
        <v>1</v>
      </c>
      <c r="O767" s="6" t="n"/>
      <c r="P767" s="6" t="n">
        <v>7010</v>
      </c>
      <c r="Q767" s="6" t="n">
        <v>1.25</v>
      </c>
      <c r="R767">
        <f>M767+IF(MAX(N767-1,0)&gt;0,IF(ISBLANK(O767),5*MAX(N767-1,0),IF(ISNUMBER(O767),O767*MAX(N767-1,0),SUM(IFERROR(VALUE(TEXTSPLIT(O767,",")),0)))),0)</f>
        <v/>
      </c>
      <c r="S767">
        <f>IFERROR(L767*MAX(N767,1)/R767*IF(ISBLANK(K766),1,K766),0)</f>
        <v/>
      </c>
      <c r="AB767" s="7" t="inlineStr">
        <is>
          <t>^Warhead_CannonHE_Heavy</t>
        </is>
      </c>
    </row>
    <row r="768">
      <c r="B768" s="7" t="inlineStr">
        <is>
          <t xml:space="preserve">  ↳ MarauderMissiles</t>
        </is>
      </c>
      <c r="C768" s="7" t="inlineStr">
        <is>
          <t>Armament@GARRISONED1</t>
        </is>
      </c>
      <c r="L768" s="6" t="n">
        <v>30000</v>
      </c>
      <c r="M768" s="6" t="n">
        <v>60</v>
      </c>
      <c r="N768" s="6" t="n">
        <v>1</v>
      </c>
      <c r="O768" s="6" t="n"/>
      <c r="P768" s="6" t="n">
        <v>7010</v>
      </c>
      <c r="Q768" s="6" t="n">
        <v>1.25</v>
      </c>
      <c r="R768">
        <f>M768+IF(MAX(N768-1,0)&gt;0,IF(ISBLANK(O768),5*MAX(N768-1,0),IF(ISNUMBER(O768),O768*MAX(N768-1,0),SUM(IFERROR(VALUE(TEXTSPLIT(O768,",")),0)))),0)</f>
        <v/>
      </c>
      <c r="S768">
        <f>IFERROR(L768*MAX(N768,1)/R768*IF(ISBLANK(K766),1,K766),0)</f>
        <v/>
      </c>
      <c r="AB768" s="7" t="inlineStr">
        <is>
          <t>^Warhead_CannonHE_Heavy</t>
        </is>
      </c>
    </row>
    <row r="769">
      <c r="A769" t="inlineStr">
        <is>
          <t>warcraft2</t>
        </is>
      </c>
      <c r="B769" t="inlineStr">
        <is>
          <t>wc2_humans_dwarvenrifleman</t>
        </is>
      </c>
      <c r="C769" t="inlineStr">
        <is>
          <t>Dwarven Rifleman</t>
        </is>
      </c>
      <c r="D769" s="6" t="inlineStr">
        <is>
          <t>HeavyInfantry</t>
        </is>
      </c>
      <c r="E769" s="6" t="n">
        <v>24000</v>
      </c>
      <c r="F769" s="6" t="n">
        <v>64</v>
      </c>
      <c r="G769" t="inlineStr">
        <is>
          <t>Plate</t>
        </is>
      </c>
      <c r="H769" s="6" t="n">
        <v>1</v>
      </c>
      <c r="I769" s="6" t="n">
        <v>0.8</v>
      </c>
      <c r="J769" s="6" t="n">
        <v>1</v>
      </c>
      <c r="K769" t="n">
        <v>0.005</v>
      </c>
      <c r="P769">
        <f>MAX(P770)</f>
        <v/>
      </c>
      <c r="S769">
        <f>S770</f>
        <v/>
      </c>
      <c r="T769">
        <f>(E769/100000+F769/100+(P769/1000)*J769/5+S769/200)*200*I769*H769</f>
        <v/>
      </c>
      <c r="U769">
        <f>((E769*F769/25000)+((P769/1000)*J769*S769/2.5))*I769*H769</f>
        <v/>
      </c>
      <c r="V769">
        <f>(E769*F769*(P769/1000)*J769*S769*I769*H769)/12500000</f>
        <v/>
      </c>
      <c r="W769">
        <f>(T769+U769+V769)/3</f>
        <v/>
      </c>
      <c r="X769" s="6" t="n">
        <v>600</v>
      </c>
      <c r="Y769">
        <f>IFERROR(W769-X769,"")</f>
        <v/>
      </c>
      <c r="Z769">
        <f>IFERROR(ABS(Y769)/MAX(X769,1),"")</f>
        <v/>
      </c>
      <c r="AA769">
        <f>IFERROR((X769-(((E769/100000+F769/100+S769/200)*200*I769*H769)+((E769*F769/25000)*I769*H769))/3)/(((J769/5)*200*I769*H769)+((J769*S769/2.5)*I769*H769)+((E769*F769*J769*S769*I769*H769)/12500000))/3*1000,"")</f>
        <v/>
      </c>
    </row>
    <row r="770">
      <c r="B770" s="7" t="inlineStr">
        <is>
          <t xml:space="preserve">  ↳ wc2_dwarf_Rifle</t>
        </is>
      </c>
      <c r="C770" s="7" t="inlineStr">
        <is>
          <t>Armament</t>
        </is>
      </c>
      <c r="L770" s="6" t="n">
        <v>24000</v>
      </c>
      <c r="M770" s="6" t="n">
        <v>60</v>
      </c>
      <c r="N770" s="6" t="n">
        <v>1</v>
      </c>
      <c r="O770" s="6" t="n"/>
      <c r="P770" s="6" t="n">
        <v>6936</v>
      </c>
      <c r="Q770" s="6" t="n">
        <v>1</v>
      </c>
      <c r="R770">
        <f>M770+IF(MAX(N770-1,0)&gt;0,IF(ISBLANK(O770),5*MAX(N770-1,0),IF(ISNUMBER(O770),O770*MAX(N770-1,0),SUM(IFERROR(VALUE(TEXTSPLIT(O770,",")),0)))),0)</f>
        <v/>
      </c>
      <c r="S770">
        <f>IFERROR(L770*MAX(N770,1)/R770*IF(ISBLANK(K769),1,K769),0)</f>
        <v/>
      </c>
      <c r="AB770" s="7" t="inlineStr">
        <is>
          <t>^RailgunWeapon, ^MediumMissile, ^TankDestroyerCannon</t>
        </is>
      </c>
    </row>
    <row r="771">
      <c r="B771" s="7" t="inlineStr">
        <is>
          <t xml:space="preserve">  ↳ wc2_dwarf_Rifle</t>
        </is>
      </c>
      <c r="C771" s="7" t="inlineStr">
        <is>
          <t>Armament@GARRISONED</t>
        </is>
      </c>
      <c r="L771" s="6" t="n">
        <v>24000</v>
      </c>
      <c r="M771" s="6" t="n">
        <v>60</v>
      </c>
      <c r="N771" s="6" t="n">
        <v>1</v>
      </c>
      <c r="O771" s="6" t="n"/>
      <c r="P771" s="6" t="n">
        <v>6936</v>
      </c>
      <c r="Q771" s="6" t="n">
        <v>1</v>
      </c>
      <c r="R771">
        <f>M771+IF(MAX(N771-1,0)&gt;0,IF(ISBLANK(O771),5*MAX(N771-1,0),IF(ISNUMBER(O771),O771*MAX(N771-1,0),SUM(IFERROR(VALUE(TEXTSPLIT(O771,",")),0)))),0)</f>
        <v/>
      </c>
      <c r="S771">
        <f>IFERROR(L771*MAX(N771,1)/R771*IF(ISBLANK(K769),1,K769),0)</f>
        <v/>
      </c>
      <c r="AB771" s="7" t="inlineStr">
        <is>
          <t>^RailgunWeapon, ^MediumMissile, ^TankDestroyerCannon</t>
        </is>
      </c>
    </row>
    <row r="772">
      <c r="A772" s="4" t="inlineStr">
        <is>
          <t>MeleeInfantry</t>
        </is>
      </c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  <c r="AB772" s="5" t="n"/>
    </row>
    <row r="773">
      <c r="A773" t="inlineStr">
        <is>
          <t>tiberiandawn</t>
        </is>
      </c>
      <c r="B773" t="inlineStr">
        <is>
          <t>td_nod_chemicalwarrior</t>
        </is>
      </c>
      <c r="C773" t="inlineStr">
        <is>
          <t>Chemical Warrior</t>
        </is>
      </c>
      <c r="D773" s="6" t="inlineStr">
        <is>
          <t>MeleeInfantry</t>
        </is>
      </c>
      <c r="E773" s="6" t="n">
        <v>48000</v>
      </c>
      <c r="F773" s="6" t="n">
        <v>48</v>
      </c>
      <c r="G773" t="inlineStr">
        <is>
          <t>Plate</t>
        </is>
      </c>
      <c r="H773" s="6" t="n">
        <v>0.75</v>
      </c>
      <c r="I773" s="6" t="n">
        <v>0.75</v>
      </c>
      <c r="J773" s="6" t="n">
        <v>1</v>
      </c>
      <c r="P773">
        <f>MAX(P774)</f>
        <v/>
      </c>
      <c r="S773">
        <f>S774</f>
        <v/>
      </c>
      <c r="T773">
        <f>(E773/100000+F773/100+(P773/1000)*J773/5+S773/200)*200*I773*H773</f>
        <v/>
      </c>
      <c r="U773">
        <f>((E773*F773/25000)+((P773/1000)*J773*S773/2.5))*I773*H773</f>
        <v/>
      </c>
      <c r="V773">
        <f>(E773*F773*(P773/1000)*J773*S773*I773*H773)/12500000</f>
        <v/>
      </c>
      <c r="W773">
        <f>(T773+U773+V773)/3</f>
        <v/>
      </c>
      <c r="X773" s="6" t="n">
        <v>500</v>
      </c>
      <c r="Y773">
        <f>IFERROR(W773-X773,"")</f>
        <v/>
      </c>
      <c r="Z773">
        <f>IFERROR(ABS(Y773)/MAX(X773,1),"")</f>
        <v/>
      </c>
      <c r="AA773">
        <f>IFERROR((X773-(((E773/100000+F773/100+S773/200)*200*I773*H773)+((E773*F773/25000)*I773*H773))/3)/(((J773/5)*200*I773*H773)+((J773*S773/2.5)*I773*H773)+((E773*F773*J773*S773*I773*H773)/12500000))/3*1000,"")</f>
        <v/>
      </c>
    </row>
    <row r="774">
      <c r="B774" s="7" t="inlineStr">
        <is>
          <t xml:space="preserve">  ↳ Chemspray</t>
        </is>
      </c>
      <c r="C774" s="7" t="inlineStr">
        <is>
          <t>Armament</t>
        </is>
      </c>
      <c r="L774" s="6" t="n">
        <v>48000</v>
      </c>
      <c r="M774" s="6" t="n">
        <v>48</v>
      </c>
      <c r="N774" s="6" t="n">
        <v>1</v>
      </c>
      <c r="O774" s="6" t="n"/>
      <c r="P774" s="6" t="n">
        <v>3414</v>
      </c>
      <c r="Q774" s="6" t="n">
        <v>0.75</v>
      </c>
      <c r="R774">
        <f>M774+IF(MAX(N774-1,0)&gt;0,IF(ISBLANK(O774),5*MAX(N774-1,0),IF(ISNUMBER(O774),O774*MAX(N774-1,0),SUM(IFERROR(VALUE(TEXTSPLIT(O774,",")),0)))),0)</f>
        <v/>
      </c>
      <c r="S774">
        <f>IFERROR(L774*MAX(N774,1)/R774*IF(ISBLANK(K773),1,K773),0)</f>
        <v/>
      </c>
      <c r="AB774" s="7" t="inlineStr">
        <is>
          <t>^Warhead_Chemical_Light</t>
        </is>
      </c>
    </row>
    <row r="775">
      <c r="B775" s="7" t="inlineStr">
        <is>
          <t xml:space="preserve">  ↳ Chemspray</t>
        </is>
      </c>
      <c r="C775" s="7" t="inlineStr">
        <is>
          <t>Armament@GARRISONED</t>
        </is>
      </c>
      <c r="L775" s="6" t="n">
        <v>48000</v>
      </c>
      <c r="M775" s="6" t="n">
        <v>48</v>
      </c>
      <c r="N775" s="6" t="n">
        <v>1</v>
      </c>
      <c r="O775" s="6" t="n"/>
      <c r="P775" s="6" t="n">
        <v>3414</v>
      </c>
      <c r="Q775" s="6" t="n">
        <v>0.75</v>
      </c>
      <c r="R775">
        <f>M775+IF(MAX(N775-1,0)&gt;0,IF(ISBLANK(O775),5*MAX(N775-1,0),IF(ISNUMBER(O775),O775*MAX(N775-1,0),SUM(IFERROR(VALUE(TEXTSPLIT(O775,",")),0)))),0)</f>
        <v/>
      </c>
      <c r="S775">
        <f>IFERROR(L775*MAX(N775,1)/R775*IF(ISBLANK(K773),1,K773),0)</f>
        <v/>
      </c>
      <c r="AB775" s="7" t="inlineStr">
        <is>
          <t>^Warhead_Chemical_Light</t>
        </is>
      </c>
    </row>
    <row r="776">
      <c r="A776" t="inlineStr">
        <is>
          <t>tiberiandawn</t>
        </is>
      </c>
      <c r="B776" t="inlineStr">
        <is>
          <t>td_nod_flamethrower</t>
        </is>
      </c>
      <c r="C776" t="inlineStr">
        <is>
          <t>Nod Flamethrower</t>
        </is>
      </c>
      <c r="D776" s="6" t="inlineStr">
        <is>
          <t>MeleeInfantry</t>
        </is>
      </c>
      <c r="E776" s="6" t="n">
        <v>20000</v>
      </c>
      <c r="F776" s="6" t="n">
        <v>60</v>
      </c>
      <c r="G776" t="inlineStr">
        <is>
          <t>Plate</t>
        </is>
      </c>
      <c r="H776" s="6" t="n">
        <v>1</v>
      </c>
      <c r="I776" s="6" t="n">
        <v>0.75</v>
      </c>
      <c r="J776" s="6" t="n">
        <v>1</v>
      </c>
      <c r="P776">
        <f>MAX(P777)</f>
        <v/>
      </c>
      <c r="S776">
        <f>S777</f>
        <v/>
      </c>
      <c r="T776">
        <f>(E776/100000+F776/100+(P776/1000)*J776/5+S776/200)*200*I776*H776</f>
        <v/>
      </c>
      <c r="U776">
        <f>((E776*F776/25000)+((P776/1000)*J776*S776/2.5))*I776*H776</f>
        <v/>
      </c>
      <c r="V776">
        <f>(E776*F776*(P776/1000)*J776*S776*I776*H776)/12500000</f>
        <v/>
      </c>
      <c r="W776">
        <f>(T776+U776+V776)/3</f>
        <v/>
      </c>
      <c r="X776" s="6" t="n">
        <v>200</v>
      </c>
      <c r="Y776">
        <f>IFERROR(W776-X776,"")</f>
        <v/>
      </c>
      <c r="Z776">
        <f>IFERROR(ABS(Y776)/MAX(X776,1),"")</f>
        <v/>
      </c>
      <c r="AA776">
        <f>IFERROR((X776-(((E776/100000+F776/100+S776/200)*200*I776*H776)+((E776*F776/25000)*I776*H776))/3)/(((J776/5)*200*I776*H776)+((J776*S776/2.5)*I776*H776)+((E776*F776*J776*S776*I776*H776)/12500000))/3*1000,"")</f>
        <v/>
      </c>
    </row>
    <row r="777">
      <c r="B777" s="7" t="inlineStr">
        <is>
          <t xml:space="preserve">  ↳ Flamethrower</t>
        </is>
      </c>
      <c r="C777" s="7" t="inlineStr">
        <is>
          <t>Armament</t>
        </is>
      </c>
      <c r="L777" s="6" t="n">
        <v>20000</v>
      </c>
      <c r="M777" s="6" t="n">
        <v>60</v>
      </c>
      <c r="N777" s="6" t="n">
        <v>1</v>
      </c>
      <c r="O777" s="6" t="n"/>
      <c r="P777" s="6" t="n">
        <v>2085</v>
      </c>
      <c r="Q777" s="6" t="n">
        <v>0.75</v>
      </c>
      <c r="R777">
        <f>M777+IF(MAX(N777-1,0)&gt;0,IF(ISBLANK(O777),5*MAX(N777-1,0),IF(ISNUMBER(O777),O777*MAX(N777-1,0),SUM(IFERROR(VALUE(TEXTSPLIT(O777,",")),0)))),0)</f>
        <v/>
      </c>
      <c r="S777">
        <f>IFERROR(L777*MAX(N777,1)/R777*IF(ISBLANK(K776),1,K776),0)</f>
        <v/>
      </c>
      <c r="AB777" s="7" t="inlineStr">
        <is>
          <t>^Warhead_Flame_Light</t>
        </is>
      </c>
    </row>
    <row r="778">
      <c r="B778" s="7" t="inlineStr">
        <is>
          <t xml:space="preserve">  ↳ Flamethrower</t>
        </is>
      </c>
      <c r="C778" s="7" t="inlineStr">
        <is>
          <t>Armament@GARRISONED</t>
        </is>
      </c>
      <c r="L778" s="6" t="n">
        <v>20000</v>
      </c>
      <c r="M778" s="6" t="n">
        <v>60</v>
      </c>
      <c r="N778" s="6" t="n">
        <v>1</v>
      </c>
      <c r="O778" s="6" t="n"/>
      <c r="P778" s="6" t="n">
        <v>2085</v>
      </c>
      <c r="Q778" s="6" t="n">
        <v>0.75</v>
      </c>
      <c r="R778">
        <f>M778+IF(MAX(N778-1,0)&gt;0,IF(ISBLANK(O778),5*MAX(N778-1,0),IF(ISNUMBER(O778),O778*MAX(N778-1,0),SUM(IFERROR(VALUE(TEXTSPLIT(O778,",")),0)))),0)</f>
        <v/>
      </c>
      <c r="S778">
        <f>IFERROR(L778*MAX(N778,1)/R778*IF(ISBLANK(K776),1,K776),0)</f>
        <v/>
      </c>
      <c r="AB778" s="7" t="inlineStr">
        <is>
          <t>^Warhead_Flame_Light</t>
        </is>
      </c>
    </row>
    <row r="779">
      <c r="A779" t="inlineStr">
        <is>
          <t>redalert</t>
        </is>
      </c>
      <c r="B779" t="inlineStr">
        <is>
          <t>japan_samurai</t>
        </is>
      </c>
      <c r="C779" t="inlineStr">
        <is>
          <t>Samurai</t>
        </is>
      </c>
      <c r="D779" s="6" t="inlineStr">
        <is>
          <t>MeleeInfantry</t>
        </is>
      </c>
      <c r="E779" s="6" t="n">
        <v>35000</v>
      </c>
      <c r="F779" s="6" t="n">
        <v>65</v>
      </c>
      <c r="G779" t="inlineStr">
        <is>
          <t>Plate</t>
        </is>
      </c>
      <c r="H779" s="6" t="n">
        <v>1</v>
      </c>
      <c r="I779" s="6" t="n">
        <v>0.75</v>
      </c>
      <c r="J779" s="6" t="n">
        <v>1</v>
      </c>
      <c r="P779">
        <f>MAX(P780,P782)</f>
        <v/>
      </c>
      <c r="S779">
        <f>S780+S782</f>
        <v/>
      </c>
      <c r="T779">
        <f>(E779/100000+F779/100+(P779/1000)*J779/5+S779/200)*200*I779*H779</f>
        <v/>
      </c>
      <c r="U779">
        <f>((E779*F779/25000)+((P779/1000)*J779*S779/2.5))*I779*H779</f>
        <v/>
      </c>
      <c r="V779">
        <f>(E779*F779*(P779/1000)*J779*S779*I779*H779)/12500000</f>
        <v/>
      </c>
      <c r="W779">
        <f>(T779+U779+V779)/3</f>
        <v/>
      </c>
      <c r="X779" s="6" t="n">
        <v>300</v>
      </c>
      <c r="Y779">
        <f>IFERROR(W779-X779,"")</f>
        <v/>
      </c>
      <c r="Z779">
        <f>IFERROR(ABS(Y779)/MAX(X779,1),"")</f>
        <v/>
      </c>
      <c r="AA779">
        <f>IFERROR((X779-(((E779/100000+F779/100+S779/200)*200*I779*H779)+((E779*F779/25000)*I779*H779))/3)/(((J779/5)*200*I779*H779)+((J779*S779/2.5)*I779*H779)+((E779*F779*J779*S779*I779*H779)/12500000))/3*1000,"")</f>
        <v/>
      </c>
    </row>
    <row r="780">
      <c r="B780" s="7" t="inlineStr">
        <is>
          <t xml:space="preserve">  ↳ SamuraiBlade</t>
        </is>
      </c>
      <c r="C780" s="7" t="inlineStr">
        <is>
          <t>Armament@PRIMARY</t>
        </is>
      </c>
      <c r="L780" s="6" t="n">
        <v>10000</v>
      </c>
      <c r="M780" s="6" t="n">
        <v>20</v>
      </c>
      <c r="N780" s="6" t="n">
        <v>1</v>
      </c>
      <c r="O780" s="6" t="n"/>
      <c r="P780" s="6" t="n">
        <v>1637</v>
      </c>
      <c r="Q780" s="6" t="n">
        <v>1</v>
      </c>
      <c r="R780">
        <f>M780+IF(MAX(N780-1,0)&gt;0,IF(ISBLANK(O780),5*MAX(N780-1,0),IF(ISNUMBER(O780),O780*MAX(N780-1,0),SUM(IFERROR(VALUE(TEXTSPLIT(O780,",")),0)))),0)</f>
        <v/>
      </c>
      <c r="S780">
        <f>IFERROR(L780*MAX(N780,1)/R780*IF(ISBLANK(K779),1,K779),0)</f>
        <v/>
      </c>
      <c r="AB780" s="7" t="inlineStr">
        <is>
          <t>^Warhead_Melee_Medium</t>
        </is>
      </c>
    </row>
    <row r="781">
      <c r="B781" s="7" t="inlineStr">
        <is>
          <t xml:space="preserve">  ↳ SamuraiBlade</t>
        </is>
      </c>
      <c r="C781" s="7" t="inlineStr">
        <is>
          <t>Armament@GARRISONED</t>
        </is>
      </c>
      <c r="L781" s="6" t="n">
        <v>10000</v>
      </c>
      <c r="M781" s="6" t="n">
        <v>20</v>
      </c>
      <c r="N781" s="6" t="n">
        <v>1</v>
      </c>
      <c r="O781" s="6" t="n"/>
      <c r="P781" s="6" t="n">
        <v>1637</v>
      </c>
      <c r="Q781" s="6" t="n">
        <v>1</v>
      </c>
      <c r="R781">
        <f>M781+IF(MAX(N781-1,0)&gt;0,IF(ISBLANK(O781),5*MAX(N781-1,0),IF(ISNUMBER(O781),O781*MAX(N781-1,0),SUM(IFERROR(VALUE(TEXTSPLIT(O781,",")),0)))),0)</f>
        <v/>
      </c>
      <c r="S781">
        <f>IFERROR(L781*MAX(N781,1)/R781*IF(ISBLANK(K779),1,K779),0)</f>
        <v/>
      </c>
      <c r="AB781" s="7" t="inlineStr">
        <is>
          <t>^Warhead_Melee_Medium</t>
        </is>
      </c>
    </row>
    <row r="782">
      <c r="B782" s="7" t="inlineStr">
        <is>
          <t xml:space="preserve">  ↳ SamuraiBladeCharged</t>
        </is>
      </c>
      <c r="C782" s="7" t="inlineStr">
        <is>
          <t>Armament@Upgrade</t>
        </is>
      </c>
      <c r="L782" s="6" t="n">
        <v>20000</v>
      </c>
      <c r="M782" s="6" t="n">
        <v>20</v>
      </c>
      <c r="N782" s="6" t="n">
        <v>1</v>
      </c>
      <c r="O782" s="6" t="n"/>
      <c r="P782" s="6" t="n">
        <v>1637</v>
      </c>
      <c r="Q782" s="6" t="n">
        <v>1</v>
      </c>
      <c r="R782">
        <f>M782+IF(MAX(N782-1,0)&gt;0,IF(ISBLANK(O782),5*MAX(N782-1,0),IF(ISNUMBER(O782),O782*MAX(N782-1,0),SUM(IFERROR(VALUE(TEXTSPLIT(O782,",")),0)))),0)</f>
        <v/>
      </c>
      <c r="S782">
        <f>IFERROR(L782*MAX(N782,1)/R782*IF(ISBLANK(K779),1,K779),0)</f>
        <v/>
      </c>
      <c r="AB782" s="7" t="inlineStr">
        <is>
          <t>^TeslaWeapon, ^SwordWeapon</t>
        </is>
      </c>
    </row>
    <row r="783">
      <c r="B783" s="7" t="inlineStr">
        <is>
          <t xml:space="preserve">  ↳ SamuraiBladeCharged</t>
        </is>
      </c>
      <c r="C783" s="7" t="inlineStr">
        <is>
          <t>Armament@UpgradeGARRISONED</t>
        </is>
      </c>
      <c r="L783" s="6" t="n">
        <v>20000</v>
      </c>
      <c r="M783" s="6" t="n">
        <v>20</v>
      </c>
      <c r="N783" s="6" t="n">
        <v>1</v>
      </c>
      <c r="O783" s="6" t="n"/>
      <c r="P783" s="6" t="n">
        <v>1637</v>
      </c>
      <c r="Q783" s="6" t="n">
        <v>1</v>
      </c>
      <c r="R783">
        <f>M783+IF(MAX(N783-1,0)&gt;0,IF(ISBLANK(O783),5*MAX(N783-1,0),IF(ISNUMBER(O783),O783*MAX(N783-1,0),SUM(IFERROR(VALUE(TEXTSPLIT(O783,",")),0)))),0)</f>
        <v/>
      </c>
      <c r="S783">
        <f>IFERROR(L783*MAX(N783,1)/R783*IF(ISBLANK(K779),1,K779),0)</f>
        <v/>
      </c>
      <c r="AB783" s="7" t="inlineStr">
        <is>
          <t>^TeslaWeapon, ^SwordWeapon</t>
        </is>
      </c>
    </row>
    <row r="784">
      <c r="A784" t="inlineStr">
        <is>
          <t>tiberiansun</t>
        </is>
      </c>
      <c r="B784" t="inlineStr">
        <is>
          <t>ts_nod_chameleonspy</t>
        </is>
      </c>
      <c r="C784" t="inlineStr">
        <is>
          <t>Chameleon Spy</t>
        </is>
      </c>
      <c r="D784" s="6" t="inlineStr">
        <is>
          <t>MeleeInfantry</t>
        </is>
      </c>
      <c r="E784" s="6" t="n">
        <v>30000</v>
      </c>
      <c r="F784" s="6" t="n">
        <v>90</v>
      </c>
      <c r="G784" t="inlineStr">
        <is>
          <t>Plate</t>
        </is>
      </c>
      <c r="H784" s="6" t="n">
        <v>1</v>
      </c>
      <c r="I784" s="6" t="n">
        <v>1</v>
      </c>
      <c r="J784" s="6" t="n">
        <v>1</v>
      </c>
      <c r="P784">
        <f>MAX(P785)</f>
        <v/>
      </c>
      <c r="S784">
        <f>S785</f>
        <v/>
      </c>
      <c r="T784">
        <f>(E784/100000+F784/100+(P784/1000)*J784/5+S784/200)*200*I784*H784</f>
        <v/>
      </c>
      <c r="U784">
        <f>((E784*F784/25000)+((P784/1000)*J784*S784/2.5))*I784*H784</f>
        <v/>
      </c>
      <c r="V784">
        <f>(E784*F784*(P784/1000)*J784*S784*I784*H784)/12500000</f>
        <v/>
      </c>
      <c r="W784">
        <f>(T784+U784+V784)/3</f>
        <v/>
      </c>
      <c r="X784" s="6" t="n">
        <v>500</v>
      </c>
      <c r="Y784">
        <f>IFERROR(W784-X784,"")</f>
        <v/>
      </c>
      <c r="Z784">
        <f>IFERROR(ABS(Y784)/MAX(X784,1),"")</f>
        <v/>
      </c>
      <c r="AA784">
        <f>IFERROR((X784-(((E784/100000+F784/100+S784/200)*200*I784*H784)+((E784*F784/25000)*I784*H784))/3)/(((J784/5)*200*I784*H784)+((J784*S784/2.5)*I784*H784)+((E784*F784*J784*S784*I784*H784)/12500000))/3*1000,"")</f>
        <v/>
      </c>
    </row>
    <row r="785">
      <c r="B785" s="7" t="inlineStr">
        <is>
          <t xml:space="preserve">  ↳ ChamBlade</t>
        </is>
      </c>
      <c r="C785" s="7" t="inlineStr">
        <is>
          <t>Armament@PRIMARY</t>
        </is>
      </c>
      <c r="L785" s="6" t="n">
        <v>50000</v>
      </c>
      <c r="M785" s="6" t="n">
        <v>52</v>
      </c>
      <c r="N785" s="6" t="n">
        <v>1</v>
      </c>
      <c r="O785" s="6" t="n"/>
      <c r="P785" s="6" t="n">
        <v>1538</v>
      </c>
      <c r="Q785" s="6" t="n">
        <v>0.75</v>
      </c>
      <c r="R785">
        <f>M785+IF(MAX(N785-1,0)&gt;0,IF(ISBLANK(O785),5*MAX(N785-1,0),IF(ISNUMBER(O785),O785*MAX(N785-1,0),SUM(IFERROR(VALUE(TEXTSPLIT(O785,",")),0)))),0)</f>
        <v/>
      </c>
      <c r="S785">
        <f>IFERROR(L785*MAX(N785,1)/R785*IF(ISBLANK(K784),1,K784),0)</f>
        <v/>
      </c>
      <c r="AB785" s="7" t="inlineStr">
        <is>
          <t>^Warhead_Sniper_Light</t>
        </is>
      </c>
    </row>
    <row r="786">
      <c r="A786" t="inlineStr">
        <is>
          <t>tiberiansun</t>
        </is>
      </c>
      <c r="B786" t="inlineStr">
        <is>
          <t>ts_nod_shadowteam</t>
        </is>
      </c>
      <c r="C786" t="inlineStr">
        <is>
          <t>actor_ts_nod_shadowteam.name</t>
        </is>
      </c>
      <c r="D786" s="6" t="inlineStr">
        <is>
          <t>MeleeInfantry</t>
        </is>
      </c>
      <c r="E786" s="6" t="n">
        <v>30000</v>
      </c>
      <c r="F786" s="6" t="n">
        <v>60</v>
      </c>
      <c r="G786" t="inlineStr">
        <is>
          <t>Plate</t>
        </is>
      </c>
      <c r="H786" s="6" t="n">
        <v>0.7269</v>
      </c>
      <c r="I786" s="6" t="n">
        <v>1</v>
      </c>
      <c r="J786" s="6" t="n">
        <v>1</v>
      </c>
      <c r="P786">
        <f>MAX(P787)</f>
        <v/>
      </c>
      <c r="S786">
        <f>S787</f>
        <v/>
      </c>
      <c r="T786">
        <f>(E786/100000+F786/100+(P786/1000)*J786/5+S786/200)*200*I786*H786</f>
        <v/>
      </c>
      <c r="U786">
        <f>((E786*F786/25000)+((P786/1000)*J786*S786/2.5))*I786*H786</f>
        <v/>
      </c>
      <c r="V786">
        <f>(E786*F786*(P786/1000)*J786*S786*I786*H786)/12500000</f>
        <v/>
      </c>
      <c r="W786">
        <f>(T786+U786+V786)/3</f>
        <v/>
      </c>
      <c r="X786" s="6" t="n">
        <v>900</v>
      </c>
      <c r="Y786">
        <f>IFERROR(W786-X786,"")</f>
        <v/>
      </c>
      <c r="Z786">
        <f>IFERROR(ABS(Y786)/MAX(X786,1),"")</f>
        <v/>
      </c>
      <c r="AA786">
        <f>IFERROR((X786-(((E786/100000+F786/100+S786/200)*200*I786*H786)+((E786*F786/25000)*I786*H786))/3)/(((J786/5)*200*I786*H786)+((J786*S786/2.5)*I786*H786)+((E786*F786*J786*S786*I786*H786)/12500000))/3*1000,"")</f>
        <v/>
      </c>
    </row>
    <row r="787">
      <c r="B787" s="7" t="inlineStr">
        <is>
          <t xml:space="preserve">  ↳ TSShadowTeamPistols</t>
        </is>
      </c>
      <c r="C787" s="7" t="inlineStr">
        <is>
          <t>Armament@PRIMARY</t>
        </is>
      </c>
      <c r="L787" s="6" t="n">
        <v>7000</v>
      </c>
      <c r="M787" s="6" t="n">
        <v>12</v>
      </c>
      <c r="N787" s="6" t="n">
        <v>2</v>
      </c>
      <c r="O787" s="6" t="n">
        <v>3</v>
      </c>
      <c r="P787" s="6" t="n">
        <v>8000</v>
      </c>
      <c r="Q787" s="6" t="n">
        <v>0.75</v>
      </c>
      <c r="R787">
        <f>M787+IF(MAX(N787-1,0)&gt;0,IF(ISBLANK(O787),5*MAX(N787-1,0),IF(ISNUMBER(O787),O787*MAX(N787-1,0),SUM(IFERROR(VALUE(TEXTSPLIT(O787,",")),0)))),0)</f>
        <v/>
      </c>
      <c r="S787">
        <f>IFERROR(L787*MAX(N787,1)/R787*IF(ISBLANK(K786),1,K786),0)</f>
        <v/>
      </c>
      <c r="AB787" s="7" t="inlineStr">
        <is>
          <t>^Warhead_Sniper_Light</t>
        </is>
      </c>
    </row>
    <row r="788">
      <c r="B788" s="7" t="inlineStr">
        <is>
          <t xml:space="preserve">  ↳ TSShadowTeamPistols</t>
        </is>
      </c>
      <c r="C788" s="7" t="inlineStr">
        <is>
          <t>Armament@GARRISONED</t>
        </is>
      </c>
      <c r="L788" s="6" t="n">
        <v>7000</v>
      </c>
      <c r="M788" s="6" t="n">
        <v>12</v>
      </c>
      <c r="N788" s="6" t="n">
        <v>2</v>
      </c>
      <c r="O788" s="6" t="n">
        <v>3</v>
      </c>
      <c r="P788" s="6" t="n">
        <v>8000</v>
      </c>
      <c r="Q788" s="6" t="n">
        <v>0.75</v>
      </c>
      <c r="R788">
        <f>M788+IF(MAX(N788-1,0)&gt;0,IF(ISBLANK(O788),5*MAX(N788-1,0),IF(ISNUMBER(O788),O788*MAX(N788-1,0),SUM(IFERROR(VALUE(TEXTSPLIT(O788,",")),0)))),0)</f>
        <v/>
      </c>
      <c r="S788">
        <f>IFERROR(L788*MAX(N788,1)/R788*IF(ISBLANK(K786),1,K786),0)</f>
        <v/>
      </c>
      <c r="AB788" s="7" t="inlineStr">
        <is>
          <t>^Warhead_Sniper_Light</t>
        </is>
      </c>
    </row>
    <row r="789">
      <c r="B789" s="7" t="inlineStr">
        <is>
          <t xml:space="preserve">  ↳ TSShadowTeamAttach</t>
        </is>
      </c>
      <c r="C789" s="7" t="inlineStr">
        <is>
          <t>Armament@C4</t>
        </is>
      </c>
      <c r="M789" s="6" t="n">
        <v>20</v>
      </c>
      <c r="N789" s="6" t="n">
        <v>1</v>
      </c>
      <c r="O789" s="6" t="n"/>
      <c r="P789" s="6" t="n">
        <v>2000</v>
      </c>
      <c r="Q789" s="6" t="n">
        <v>1</v>
      </c>
      <c r="R789">
        <f>M789+IF(MAX(N789-1,0)&gt;0,IF(ISBLANK(O789),5*MAX(N789-1,0),IF(ISNUMBER(O789),O789*MAX(N789-1,0),SUM(IFERROR(VALUE(TEXTSPLIT(O789,",")),0)))),0)</f>
        <v/>
      </c>
      <c r="S789">
        <f>IFERROR(L789*MAX(N789,1)/R789*IF(ISBLANK(K786),1,K786),0)</f>
        <v/>
      </c>
      <c r="AB789" s="7" t="inlineStr"/>
    </row>
    <row r="790">
      <c r="A790" t="inlineStr">
        <is>
          <t>tiberiansun</t>
        </is>
      </c>
      <c r="B790" t="inlineStr">
        <is>
          <t>ts_gdi_riottrooper</t>
        </is>
      </c>
      <c r="C790" t="inlineStr">
        <is>
          <t>Riot Trooper</t>
        </is>
      </c>
      <c r="D790" s="6" t="inlineStr">
        <is>
          <t>MeleeInfantry</t>
        </is>
      </c>
      <c r="E790" s="6" t="n">
        <v>54000</v>
      </c>
      <c r="F790" s="6" t="n">
        <v>60</v>
      </c>
      <c r="G790" t="inlineStr">
        <is>
          <t>Plate</t>
        </is>
      </c>
      <c r="H790" s="6" t="n">
        <v>1</v>
      </c>
      <c r="I790" s="6" t="n">
        <v>1</v>
      </c>
      <c r="J790" s="6" t="n">
        <v>1</v>
      </c>
      <c r="P790">
        <f>MAX(P791)</f>
        <v/>
      </c>
      <c r="S790">
        <f>S791</f>
        <v/>
      </c>
      <c r="T790">
        <f>(E790/100000+F790/100+(P790/1000)*J790/5+S790/200)*200*I790*H790</f>
        <v/>
      </c>
      <c r="U790">
        <f>((E790*F790/25000)+((P790/1000)*J790*S790/2.5))*I790*H790</f>
        <v/>
      </c>
      <c r="V790">
        <f>(E790*F790*(P790/1000)*J790*S790*I790*H790)/12500000</f>
        <v/>
      </c>
      <c r="W790">
        <f>(T790+U790+V790)/3</f>
        <v/>
      </c>
      <c r="X790" s="6" t="n">
        <v>700</v>
      </c>
      <c r="Y790">
        <f>IFERROR(W790-X790,"")</f>
        <v/>
      </c>
      <c r="Z790">
        <f>IFERROR(ABS(Y790)/MAX(X790,1),"")</f>
        <v/>
      </c>
      <c r="AA790">
        <f>IFERROR((X790-(((E790/100000+F790/100+S790/200)*200*I790*H790)+((E790*F790/25000)*I790*H790))/3)/(((J790/5)*200*I790*H790)+((J790*S790/2.5)*I790*H790)+((E790*F790*J790*S790*I790*H790)/12500000))/3*1000,"")</f>
        <v/>
      </c>
    </row>
    <row r="791">
      <c r="B791" s="7" t="inlineStr">
        <is>
          <t xml:space="preserve">  ↳ TSShotgun</t>
        </is>
      </c>
      <c r="C791" s="7" t="inlineStr">
        <is>
          <t>Armament@PRIMARY</t>
        </is>
      </c>
      <c r="L791" s="6" t="n">
        <v>24000</v>
      </c>
      <c r="M791" s="6" t="n">
        <v>46</v>
      </c>
      <c r="N791" s="6" t="n">
        <v>1</v>
      </c>
      <c r="O791" s="6" t="n"/>
      <c r="P791" s="6" t="n">
        <v>4002</v>
      </c>
      <c r="Q791" s="6" t="n">
        <v>1</v>
      </c>
      <c r="R791">
        <f>M791+IF(MAX(N791-1,0)&gt;0,IF(ISBLANK(O791),5*MAX(N791-1,0),IF(ISNUMBER(O791),O791*MAX(N791-1,0),SUM(IFERROR(VALUE(TEXTSPLIT(O791,",")),0)))),0)</f>
        <v/>
      </c>
      <c r="S791">
        <f>IFERROR(L791*MAX(N791,1)/R791*IF(ISBLANK(K790),1,K790),0)</f>
        <v/>
      </c>
      <c r="AB791" s="7" t="inlineStr">
        <is>
          <t>^Warhead_CannonHE_Medium</t>
        </is>
      </c>
    </row>
    <row r="792">
      <c r="B792" s="7" t="inlineStr">
        <is>
          <t xml:space="preserve">  ↳ TSShotgun</t>
        </is>
      </c>
      <c r="C792" s="7" t="inlineStr">
        <is>
          <t>Armament@GARRISONED</t>
        </is>
      </c>
      <c r="L792" s="6" t="n">
        <v>24000</v>
      </c>
      <c r="M792" s="6" t="n">
        <v>46</v>
      </c>
      <c r="N792" s="6" t="n">
        <v>1</v>
      </c>
      <c r="O792" s="6" t="n"/>
      <c r="P792" s="6" t="n">
        <v>4002</v>
      </c>
      <c r="Q792" s="6" t="n">
        <v>1</v>
      </c>
      <c r="R792">
        <f>M792+IF(MAX(N792-1,0)&gt;0,IF(ISBLANK(O792),5*MAX(N792-1,0),IF(ISNUMBER(O792),O792*MAX(N792-1,0),SUM(IFERROR(VALUE(TEXTSPLIT(O792,",")),0)))),0)</f>
        <v/>
      </c>
      <c r="S792">
        <f>IFERROR(L792*MAX(N792,1)/R792*IF(ISBLANK(K790),1,K790),0)</f>
        <v/>
      </c>
      <c r="AB792" s="7" t="inlineStr">
        <is>
          <t>^Warhead_CannonHE_Medium</t>
        </is>
      </c>
    </row>
    <row r="793">
      <c r="A793" t="inlineStr">
        <is>
          <t>tiberiansun</t>
        </is>
      </c>
      <c r="B793" t="inlineStr">
        <is>
          <t>forgotten_chemsprayinfantry</t>
        </is>
      </c>
      <c r="C793" t="inlineStr">
        <is>
          <t>actor_forgotten_chemsprayinfantry.name</t>
        </is>
      </c>
      <c r="D793" s="6" t="inlineStr">
        <is>
          <t>MeleeInfantry</t>
        </is>
      </c>
      <c r="E793" s="6" t="n">
        <v>64000</v>
      </c>
      <c r="F793" s="6" t="n">
        <v>55</v>
      </c>
      <c r="G793" t="inlineStr">
        <is>
          <t>Plate</t>
        </is>
      </c>
      <c r="H793" s="6" t="n">
        <v>0.8376</v>
      </c>
      <c r="I793" s="6" t="n">
        <v>1</v>
      </c>
      <c r="J793" s="6" t="n">
        <v>1</v>
      </c>
      <c r="P793">
        <f>MAX(P794,P795)</f>
        <v/>
      </c>
      <c r="S793">
        <f>S794+S795</f>
        <v/>
      </c>
      <c r="T793">
        <f>(E793/100000+F793/100+(P793/1000)*J793/5+S793/200)*200*I793*H793</f>
        <v/>
      </c>
      <c r="U793">
        <f>((E793*F793/25000)+((P793/1000)*J793*S793/2.5))*I793*H793</f>
        <v/>
      </c>
      <c r="V793">
        <f>(E793*F793*(P793/1000)*J793*S793*I793*H793)/12500000</f>
        <v/>
      </c>
      <c r="W793">
        <f>(T793+U793+V793)/3</f>
        <v/>
      </c>
      <c r="X793" s="6" t="n">
        <v>700</v>
      </c>
      <c r="Y793">
        <f>IFERROR(W793-X793,"")</f>
        <v/>
      </c>
      <c r="Z793">
        <f>IFERROR(ABS(Y793)/MAX(X793,1),"")</f>
        <v/>
      </c>
      <c r="AA793">
        <f>IFERROR((X793-(((E793/100000+F793/100+S793/200)*200*I793*H793)+((E793*F793/25000)*I793*H793))/3)/(((J793/5)*200*I793*H793)+((J793*S793/2.5)*I793*H793)+((E793*F793*J793*S793*I793*H793)/12500000))/3*1000,"")</f>
        <v/>
      </c>
    </row>
    <row r="794">
      <c r="B794" s="7" t="inlineStr">
        <is>
          <t xml:space="preserve">  ↳ TSChemspray</t>
        </is>
      </c>
      <c r="C794" s="7" t="inlineStr">
        <is>
          <t>Armament@PRIMARY</t>
        </is>
      </c>
      <c r="L794" s="6" t="n">
        <v>32000</v>
      </c>
      <c r="M794" s="6" t="n">
        <v>55</v>
      </c>
      <c r="N794" s="6" t="n">
        <v>1</v>
      </c>
      <c r="O794" s="6" t="n"/>
      <c r="P794" s="6" t="n">
        <v>3183</v>
      </c>
      <c r="Q794" s="6" t="n">
        <v>0.75</v>
      </c>
      <c r="R794">
        <f>M794+IF(MAX(N794-1,0)&gt;0,IF(ISBLANK(O794),5*MAX(N794-1,0),IF(ISNUMBER(O794),O794*MAX(N794-1,0),SUM(IFERROR(VALUE(TEXTSPLIT(O794,",")),0)))),0)</f>
        <v/>
      </c>
      <c r="S794">
        <f>IFERROR(L794*MAX(N794,1)/R794*IF(ISBLANK(K793),1,K793),0)</f>
        <v/>
      </c>
      <c r="AB794" s="7" t="inlineStr">
        <is>
          <t>^Warhead_Chemical_Light</t>
        </is>
      </c>
    </row>
    <row r="795">
      <c r="B795" s="7" t="inlineStr">
        <is>
          <t xml:space="preserve">  ↳ TSChemsprayUp</t>
        </is>
      </c>
      <c r="C795" s="7" t="inlineStr">
        <is>
          <t>Armament@UPGRADE</t>
        </is>
      </c>
      <c r="L795" s="6" t="n">
        <v>96000</v>
      </c>
      <c r="M795" s="6" t="n">
        <v>55</v>
      </c>
      <c r="N795" s="6" t="n">
        <v>1</v>
      </c>
      <c r="O795" s="6" t="n"/>
      <c r="P795" s="6" t="n">
        <v>3183</v>
      </c>
      <c r="Q795" s="6" t="n">
        <v>1</v>
      </c>
      <c r="R795">
        <f>M795+IF(MAX(N795-1,0)&gt;0,IF(ISBLANK(O795),5*MAX(N795-1,0),IF(ISNUMBER(O795),O795*MAX(N795-1,0),SUM(IFERROR(VALUE(TEXTSPLIT(O795,",")),0)))),0)</f>
        <v/>
      </c>
      <c r="S795">
        <f>IFERROR(L795*MAX(N795,1)/R795*IF(ISBLANK(K793),1,K793),0)</f>
        <v/>
      </c>
      <c r="AB795" s="7" t="inlineStr">
        <is>
          <t>^LightChemicalWeapon, ^MediumChemicalWeapon, ^HeavyChemicalWeapon</t>
        </is>
      </c>
    </row>
    <row r="796">
      <c r="B796" s="7" t="inlineStr">
        <is>
          <t xml:space="preserve">  ↳ TSChemspray</t>
        </is>
      </c>
      <c r="C796" s="7" t="inlineStr">
        <is>
          <t>Armament@GARRISONED</t>
        </is>
      </c>
      <c r="L796" s="6" t="n">
        <v>32000</v>
      </c>
      <c r="M796" s="6" t="n">
        <v>55</v>
      </c>
      <c r="N796" s="6" t="n">
        <v>1</v>
      </c>
      <c r="O796" s="6" t="n"/>
      <c r="P796" s="6" t="n">
        <v>3183</v>
      </c>
      <c r="Q796" s="6" t="n">
        <v>0.75</v>
      </c>
      <c r="R796">
        <f>M796+IF(MAX(N796-1,0)&gt;0,IF(ISBLANK(O796),5*MAX(N796-1,0),IF(ISNUMBER(O796),O796*MAX(N796-1,0),SUM(IFERROR(VALUE(TEXTSPLIT(O796,",")),0)))),0)</f>
        <v/>
      </c>
      <c r="S796">
        <f>IFERROR(L796*MAX(N796,1)/R796*IF(ISBLANK(K793),1,K793),0)</f>
        <v/>
      </c>
      <c r="AB796" s="7" t="inlineStr">
        <is>
          <t>^Warhead_Chemical_Light</t>
        </is>
      </c>
    </row>
    <row r="797">
      <c r="B797" s="7" t="inlineStr">
        <is>
          <t xml:space="preserve">  ↳ TSChemsprayUP</t>
        </is>
      </c>
      <c r="C797" s="7" t="inlineStr">
        <is>
          <t>Armament@GARRISONEDUPGRADE</t>
        </is>
      </c>
      <c r="L797" s="6" t="n">
        <v>96000</v>
      </c>
      <c r="M797" s="6" t="n">
        <v>55</v>
      </c>
      <c r="N797" s="6" t="n">
        <v>1</v>
      </c>
      <c r="O797" s="6" t="n"/>
      <c r="P797" s="6" t="n">
        <v>3183</v>
      </c>
      <c r="Q797" s="6" t="n">
        <v>1</v>
      </c>
      <c r="R797">
        <f>M797+IF(MAX(N797-1,0)&gt;0,IF(ISBLANK(O797),5*MAX(N797-1,0),IF(ISNUMBER(O797),O797*MAX(N797-1,0),SUM(IFERROR(VALUE(TEXTSPLIT(O797,",")),0)))),0)</f>
        <v/>
      </c>
      <c r="S797">
        <f>IFERROR(L797*MAX(N797,1)/R797*IF(ISBLANK(K793),1,K793),0)</f>
        <v/>
      </c>
      <c r="AB797" s="7" t="inlineStr">
        <is>
          <t>^LightChemicalWeapon, ^MediumChemicalWeapon, ^HeavyChemicalWeapon</t>
        </is>
      </c>
    </row>
    <row r="798">
      <c r="A798" t="inlineStr">
        <is>
          <t>tiberiansun</t>
        </is>
      </c>
      <c r="B798" t="inlineStr">
        <is>
          <t>forgotten_runnershotgal</t>
        </is>
      </c>
      <c r="C798" t="inlineStr">
        <is>
          <t>actor_forgotten_runnershotgal.name</t>
        </is>
      </c>
      <c r="D798" s="6" t="inlineStr">
        <is>
          <t>MeleeInfantry</t>
        </is>
      </c>
      <c r="E798" s="6" t="n">
        <v>30000</v>
      </c>
      <c r="F798" s="6" t="n">
        <v>85</v>
      </c>
      <c r="G798" t="inlineStr">
        <is>
          <t>Plate</t>
        </is>
      </c>
      <c r="H798" s="6" t="n">
        <v>1</v>
      </c>
      <c r="I798" s="6" t="n">
        <v>1</v>
      </c>
      <c r="J798" s="6" t="n">
        <v>1</v>
      </c>
      <c r="P798">
        <f>MAX(P799)</f>
        <v/>
      </c>
      <c r="S798">
        <f>S799</f>
        <v/>
      </c>
      <c r="T798">
        <f>(E798/100000+F798/100+(P798/1000)*J798/5+S798/200)*200*I798*H798</f>
        <v/>
      </c>
      <c r="U798">
        <f>((E798*F798/25000)+((P798/1000)*J798*S798/2.5))*I798*H798</f>
        <v/>
      </c>
      <c r="V798">
        <f>(E798*F798*(P798/1000)*J798*S798*I798*H798)/12500000</f>
        <v/>
      </c>
      <c r="W798">
        <f>(T798+U798+V798)/3</f>
        <v/>
      </c>
      <c r="X798" s="6" t="n">
        <v>750</v>
      </c>
      <c r="Y798">
        <f>IFERROR(W798-X798,"")</f>
        <v/>
      </c>
      <c r="Z798">
        <f>IFERROR(ABS(Y798)/MAX(X798,1),"")</f>
        <v/>
      </c>
      <c r="AA798">
        <f>IFERROR((X798-(((E798/100000+F798/100+S798/200)*200*I798*H798)+((E798*F798/25000)*I798*H798))/3)/(((J798/5)*200*I798*H798)+((J798*S798/2.5)*I798*H798)+((E798*F798*J798*S798*I798*H798)/12500000))/3*1000,"")</f>
        <v/>
      </c>
    </row>
    <row r="799">
      <c r="B799" s="7" t="inlineStr">
        <is>
          <t xml:space="preserve">  ↳ TSMutShotgun</t>
        </is>
      </c>
      <c r="C799" s="7" t="inlineStr">
        <is>
          <t>Armament@PRIMARY</t>
        </is>
      </c>
      <c r="L799" s="6" t="n">
        <v>24000</v>
      </c>
      <c r="M799" s="6" t="n">
        <v>32</v>
      </c>
      <c r="N799" s="6" t="n">
        <v>1</v>
      </c>
      <c r="O799" s="6" t="n"/>
      <c r="P799" s="6" t="n">
        <v>3112</v>
      </c>
      <c r="Q799" s="6" t="n">
        <v>1</v>
      </c>
      <c r="R799">
        <f>M799+IF(MAX(N799-1,0)&gt;0,IF(ISBLANK(O799),5*MAX(N799-1,0),IF(ISNUMBER(O799),O799*MAX(N799-1,0),SUM(IFERROR(VALUE(TEXTSPLIT(O799,",")),0)))),0)</f>
        <v/>
      </c>
      <c r="S799">
        <f>IFERROR(L799*MAX(N799,1)/R799*IF(ISBLANK(K798),1,K798),0)</f>
        <v/>
      </c>
      <c r="AB799" s="7" t="inlineStr">
        <is>
          <t>^Warhead_CannonHE_Medium</t>
        </is>
      </c>
    </row>
    <row r="800">
      <c r="B800" s="7" t="inlineStr">
        <is>
          <t xml:space="preserve">  ↳ TSMutShotgun</t>
        </is>
      </c>
      <c r="C800" s="7" t="inlineStr">
        <is>
          <t>Armament@GARRISONED</t>
        </is>
      </c>
      <c r="L800" s="6" t="n">
        <v>24000</v>
      </c>
      <c r="M800" s="6" t="n">
        <v>32</v>
      </c>
      <c r="N800" s="6" t="n">
        <v>1</v>
      </c>
      <c r="O800" s="6" t="n"/>
      <c r="P800" s="6" t="n">
        <v>3112</v>
      </c>
      <c r="Q800" s="6" t="n">
        <v>1</v>
      </c>
      <c r="R800">
        <f>M800+IF(MAX(N800-1,0)&gt;0,IF(ISBLANK(O800),5*MAX(N800-1,0),IF(ISNUMBER(O800),O800*MAX(N800-1,0),SUM(IFERROR(VALUE(TEXTSPLIT(O800,",")),0)))),0)</f>
        <v/>
      </c>
      <c r="S800">
        <f>IFERROR(L800*MAX(N800,1)/R800*IF(ISBLANK(K798),1,K798),0)</f>
        <v/>
      </c>
      <c r="AB800" s="7" t="inlineStr">
        <is>
          <t>^Warhead_CannonHE_Medium</t>
        </is>
      </c>
    </row>
    <row r="801">
      <c r="A801" t="inlineStr">
        <is>
          <t>tiberiansun</t>
        </is>
      </c>
      <c r="B801" t="inlineStr">
        <is>
          <t>forgotten_visceroid</t>
        </is>
      </c>
      <c r="C801" t="inlineStr">
        <is>
          <t>Spray'em</t>
        </is>
      </c>
      <c r="D801" s="6" t="inlineStr">
        <is>
          <t>MeleeInfantry</t>
        </is>
      </c>
      <c r="E801" s="6" t="n">
        <v>50000</v>
      </c>
      <c r="F801" s="6" t="n">
        <v>80</v>
      </c>
      <c r="G801" t="inlineStr">
        <is>
          <t>Plate</t>
        </is>
      </c>
      <c r="H801" s="6" t="n">
        <v>1</v>
      </c>
      <c r="I801" s="6" t="n">
        <v>1</v>
      </c>
      <c r="J801" s="6" t="n">
        <v>1</v>
      </c>
      <c r="P801">
        <f>MAX(P802,P804)</f>
        <v/>
      </c>
      <c r="S801">
        <f>S802+S804</f>
        <v/>
      </c>
      <c r="T801">
        <f>(E801/100000+F801/100+(P801/1000)*J801/5+S801/200)*200*I801*H801</f>
        <v/>
      </c>
      <c r="U801">
        <f>((E801*F801/25000)+((P801/1000)*J801*S801/2.5))*I801*H801</f>
        <v/>
      </c>
      <c r="V801">
        <f>(E801*F801*(P801/1000)*J801*S801*I801*H801)/12500000</f>
        <v/>
      </c>
      <c r="W801">
        <f>(T801+U801+V801)/3</f>
        <v/>
      </c>
      <c r="X801" s="6" t="n">
        <v>500</v>
      </c>
      <c r="Y801">
        <f>IFERROR(W801-X801,"")</f>
        <v/>
      </c>
      <c r="Z801">
        <f>IFERROR(ABS(Y801)/MAX(X801,1),"")</f>
        <v/>
      </c>
      <c r="AA801">
        <f>IFERROR((X801-(((E801/100000+F801/100+S801/200)*200*I801*H801)+((E801*F801/25000)*I801*H801))/3)/(((J801/5)*200*I801*H801)+((J801*S801/2.5)*I801*H801)+((E801*F801*J801*S801*I801*H801)/12500000))/3*1000,"")</f>
        <v/>
      </c>
    </row>
    <row r="802">
      <c r="B802" s="7" t="inlineStr">
        <is>
          <t xml:space="preserve">  ↳ TSVisceroidSpray</t>
        </is>
      </c>
      <c r="C802" s="7" t="inlineStr">
        <is>
          <t>Armament@PRIMARY</t>
        </is>
      </c>
      <c r="L802" s="6" t="n">
        <v>10000</v>
      </c>
      <c r="M802" s="6" t="n">
        <v>25</v>
      </c>
      <c r="N802" s="6" t="n">
        <v>1</v>
      </c>
      <c r="O802" s="6" t="n"/>
      <c r="P802" s="6" t="n">
        <v>1618</v>
      </c>
      <c r="Q802" s="6" t="n">
        <v>0.75</v>
      </c>
      <c r="R802">
        <f>M802+IF(MAX(N802-1,0)&gt;0,IF(ISBLANK(O802),5*MAX(N802-1,0),IF(ISNUMBER(O802),O802*MAX(N802-1,0),SUM(IFERROR(VALUE(TEXTSPLIT(O802,",")),0)))),0)</f>
        <v/>
      </c>
      <c r="S802">
        <f>IFERROR(L802*MAX(N802,1)/R802*IF(ISBLANK(K801),1,K801),0)</f>
        <v/>
      </c>
      <c r="AB802" s="7" t="inlineStr">
        <is>
          <t>^Warhead_Chemical_Light</t>
        </is>
      </c>
    </row>
    <row r="803">
      <c r="B803" s="7" t="inlineStr">
        <is>
          <t xml:space="preserve">  ↳ TSVisceroidSpray</t>
        </is>
      </c>
      <c r="C803" s="7" t="inlineStr">
        <is>
          <t>Armament@GARRISONED</t>
        </is>
      </c>
      <c r="L803" s="6" t="n">
        <v>10000</v>
      </c>
      <c r="M803" s="6" t="n">
        <v>25</v>
      </c>
      <c r="N803" s="6" t="n">
        <v>1</v>
      </c>
      <c r="O803" s="6" t="n"/>
      <c r="P803" s="6" t="n">
        <v>1618</v>
      </c>
      <c r="Q803" s="6" t="n">
        <v>0.75</v>
      </c>
      <c r="R803">
        <f>M803+IF(MAX(N803-1,0)&gt;0,IF(ISBLANK(O803),5*MAX(N803-1,0),IF(ISNUMBER(O803),O803*MAX(N803-1,0),SUM(IFERROR(VALUE(TEXTSPLIT(O803,",")),0)))),0)</f>
        <v/>
      </c>
      <c r="S803">
        <f>IFERROR(L803*MAX(N803,1)/R803*IF(ISBLANK(K801),1,K801),0)</f>
        <v/>
      </c>
      <c r="AB803" s="7" t="inlineStr">
        <is>
          <t>^Warhead_Chemical_Light</t>
        </is>
      </c>
    </row>
    <row r="804">
      <c r="B804" s="7" t="inlineStr">
        <is>
          <t xml:space="preserve">  ↳ TSVisceroidSprayUP</t>
        </is>
      </c>
      <c r="C804" s="7" t="inlineStr">
        <is>
          <t>Armament@UPGRADE</t>
        </is>
      </c>
      <c r="L804" s="6" t="n">
        <v>30000</v>
      </c>
      <c r="M804" s="6" t="n">
        <v>25</v>
      </c>
      <c r="N804" s="6" t="n">
        <v>1</v>
      </c>
      <c r="O804" s="6" t="n"/>
      <c r="P804" s="6" t="n">
        <v>1618</v>
      </c>
      <c r="Q804" s="6" t="n">
        <v>1</v>
      </c>
      <c r="R804">
        <f>M804+IF(MAX(N804-1,0)&gt;0,IF(ISBLANK(O804),5*MAX(N804-1,0),IF(ISNUMBER(O804),O804*MAX(N804-1,0),SUM(IFERROR(VALUE(TEXTSPLIT(O804,",")),0)))),0)</f>
        <v/>
      </c>
      <c r="S804">
        <f>IFERROR(L804*MAX(N804,1)/R804*IF(ISBLANK(K801),1,K801),0)</f>
        <v/>
      </c>
      <c r="AB804" s="7" t="inlineStr">
        <is>
          <t>^LightChemicalWeapon, ^MediumChemicalWeapon, ^HeavyChemicalWeapon</t>
        </is>
      </c>
    </row>
    <row r="805">
      <c r="B805" s="7" t="inlineStr">
        <is>
          <t xml:space="preserve">  ↳ TSVisceroidSprayUP</t>
        </is>
      </c>
      <c r="C805" s="7" t="inlineStr">
        <is>
          <t>Armament@GARRISONEDUPGRADE</t>
        </is>
      </c>
      <c r="L805" s="6" t="n">
        <v>30000</v>
      </c>
      <c r="M805" s="6" t="n">
        <v>25</v>
      </c>
      <c r="N805" s="6" t="n">
        <v>1</v>
      </c>
      <c r="O805" s="6" t="n"/>
      <c r="P805" s="6" t="n">
        <v>1618</v>
      </c>
      <c r="Q805" s="6" t="n">
        <v>1</v>
      </c>
      <c r="R805">
        <f>M805+IF(MAX(N805-1,0)&gt;0,IF(ISBLANK(O805),5*MAX(N805-1,0),IF(ISNUMBER(O805),O805*MAX(N805-1,0),SUM(IFERROR(VALUE(TEXTSPLIT(O805,",")),0)))),0)</f>
        <v/>
      </c>
      <c r="S805">
        <f>IFERROR(L805*MAX(N805,1)/R805*IF(ISBLANK(K801),1,K801),0)</f>
        <v/>
      </c>
      <c r="AB805" s="7" t="inlineStr">
        <is>
          <t>^LightChemicalWeapon, ^MediumChemicalWeapon, ^HeavyChemicalWeapon</t>
        </is>
      </c>
    </row>
    <row r="806">
      <c r="A806" t="inlineStr">
        <is>
          <t>tiberiansun</t>
        </is>
      </c>
      <c r="B806" t="inlineStr">
        <is>
          <t>forgotten_zombiemutant</t>
        </is>
      </c>
      <c r="C806" t="inlineStr">
        <is>
          <t>actor_forgotten_zombiemutant.name</t>
        </is>
      </c>
      <c r="D806" s="6" t="inlineStr">
        <is>
          <t>MeleeInfantry</t>
        </is>
      </c>
      <c r="E806" s="6" t="n">
        <v>45000</v>
      </c>
      <c r="F806" s="6" t="n">
        <v>100</v>
      </c>
      <c r="G806" t="inlineStr">
        <is>
          <t>Plate</t>
        </is>
      </c>
      <c r="H806" s="6" t="n">
        <v>1</v>
      </c>
      <c r="I806" s="6" t="n">
        <v>1</v>
      </c>
      <c r="J806" s="6" t="n">
        <v>1</v>
      </c>
      <c r="P806">
        <f>MAX(P807)</f>
        <v/>
      </c>
      <c r="S806">
        <f>S807</f>
        <v/>
      </c>
      <c r="T806">
        <f>(E806/100000+F806/100+(P806/1000)*J806/5+S806/200)*200*I806*H806</f>
        <v/>
      </c>
      <c r="U806">
        <f>((E806*F806/25000)+((P806/1000)*J806*S806/2.5))*I806*H806</f>
        <v/>
      </c>
      <c r="V806">
        <f>(E806*F806*(P806/1000)*J806*S806*I806*H806)/12500000</f>
        <v/>
      </c>
      <c r="W806">
        <f>(T806+U806+V806)/3</f>
        <v/>
      </c>
      <c r="X806" s="6" t="n">
        <v>500</v>
      </c>
      <c r="Y806">
        <f>IFERROR(W806-X806,"")</f>
        <v/>
      </c>
      <c r="Z806">
        <f>IFERROR(ABS(Y806)/MAX(X806,1),"")</f>
        <v/>
      </c>
      <c r="AA806">
        <f>IFERROR((X806-(((E806/100000+F806/100+S806/200)*200*I806*H806)+((E806*F806/25000)*I806*H806))/3)/(((J806/5)*200*I806*H806)+((J806*S806/2.5)*I806*H806)+((E806*F806*J806*S806*I806*H806)/12500000))/3*1000,"")</f>
        <v/>
      </c>
    </row>
    <row r="807">
      <c r="B807" s="7" t="inlineStr">
        <is>
          <t xml:space="preserve">  ↳ TSZombieAttack</t>
        </is>
      </c>
      <c r="C807" s="7" t="inlineStr">
        <is>
          <t>Armament@PRIMARY</t>
        </is>
      </c>
      <c r="L807" s="6" t="n">
        <v>16000</v>
      </c>
      <c r="M807" s="6" t="n">
        <v>20</v>
      </c>
      <c r="N807" s="6" t="n">
        <v>1</v>
      </c>
      <c r="O807" s="6" t="n"/>
      <c r="P807" s="6" t="n">
        <v>1127</v>
      </c>
      <c r="Q807" s="6" t="n">
        <v>1</v>
      </c>
      <c r="R807">
        <f>M807+IF(MAX(N807-1,0)&gt;0,IF(ISBLANK(O807),5*MAX(N807-1,0),IF(ISNUMBER(O807),O807*MAX(N807-1,0),SUM(IFERROR(VALUE(TEXTSPLIT(O807,",")),0)))),0)</f>
        <v/>
      </c>
      <c r="S807">
        <f>IFERROR(L807*MAX(N807,1)/R807*IF(ISBLANK(K806),1,K806),0)</f>
        <v/>
      </c>
      <c r="AB807" s="7" t="inlineStr">
        <is>
          <t>^Warhead_Melee_Medium</t>
        </is>
      </c>
    </row>
    <row r="808">
      <c r="B808" s="7" t="inlineStr">
        <is>
          <t xml:space="preserve">  ↳ TSZombieAttack</t>
        </is>
      </c>
      <c r="C808" s="7" t="inlineStr">
        <is>
          <t>Armament@GARRISONED</t>
        </is>
      </c>
      <c r="L808" s="6" t="n">
        <v>16000</v>
      </c>
      <c r="M808" s="6" t="n">
        <v>20</v>
      </c>
      <c r="N808" s="6" t="n">
        <v>1</v>
      </c>
      <c r="O808" s="6" t="n"/>
      <c r="P808" s="6" t="n">
        <v>1127</v>
      </c>
      <c r="Q808" s="6" t="n">
        <v>1</v>
      </c>
      <c r="R808">
        <f>M808+IF(MAX(N808-1,0)&gt;0,IF(ISBLANK(O808),5*MAX(N808-1,0),IF(ISNUMBER(O808),O808*MAX(N808-1,0),SUM(IFERROR(VALUE(TEXTSPLIT(O808,",")),0)))),0)</f>
        <v/>
      </c>
      <c r="S808">
        <f>IFERROR(L808*MAX(N808,1)/R808*IF(ISBLANK(K806),1,K806),0)</f>
        <v/>
      </c>
      <c r="AB808" s="7" t="inlineStr">
        <is>
          <t>^Warhead_Melee_Medium</t>
        </is>
      </c>
    </row>
    <row r="809">
      <c r="A809" t="inlineStr">
        <is>
          <t>shared</t>
        </is>
      </c>
      <c r="B809" t="inlineStr">
        <is>
          <t>YRSLAV</t>
        </is>
      </c>
      <c r="C809" t="inlineStr">
        <is>
          <t>Slave</t>
        </is>
      </c>
      <c r="D809" s="6" t="inlineStr">
        <is>
          <t>MeleeInfantry</t>
        </is>
      </c>
      <c r="E809" s="6" t="n">
        <v>10000</v>
      </c>
      <c r="F809" s="6" t="n">
        <v>60</v>
      </c>
      <c r="G809" t="inlineStr">
        <is>
          <t>Plate</t>
        </is>
      </c>
      <c r="H809" s="6" t="n">
        <v>1</v>
      </c>
      <c r="I809" s="6" t="n">
        <v>1</v>
      </c>
      <c r="J809" s="6" t="n">
        <v>1</v>
      </c>
      <c r="P809">
        <f>MAX(P810)</f>
        <v/>
      </c>
      <c r="S809">
        <f>S810</f>
        <v/>
      </c>
      <c r="T809">
        <f>(E809/100000+F809/100+(P809/1000)*J809/5+S809/200)*200*I809*H809</f>
        <v/>
      </c>
      <c r="U809">
        <f>((E809*F809/25000)+((P809/1000)*J809*S809/2.5))*I809*H809</f>
        <v/>
      </c>
      <c r="V809">
        <f>(E809*F809*(P809/1000)*J809*S809*I809*H809)/12500000</f>
        <v/>
      </c>
      <c r="W809">
        <f>(T809+U809+V809)/3</f>
        <v/>
      </c>
      <c r="X809" s="6" t="n">
        <v>250</v>
      </c>
      <c r="Y809">
        <f>IFERROR(W809-X809,"")</f>
        <v/>
      </c>
      <c r="Z809">
        <f>IFERROR(ABS(Y809)/MAX(X809,1),"")</f>
        <v/>
      </c>
      <c r="AA809">
        <f>IFERROR((X809-(((E809/100000+F809/100+S809/200)*200*I809*H809)+((E809*F809/25000)*I809*H809))/3)/(((J809/5)*200*I809*H809)+((J809*S809/2.5)*I809*H809)+((E809*F809*J809*S809*I809*H809)/12500000))/3*1000,"")</f>
        <v/>
      </c>
    </row>
    <row r="810">
      <c r="B810" s="7" t="inlineStr">
        <is>
          <t xml:space="preserve">  ↳ RA2Shovel</t>
        </is>
      </c>
      <c r="C810" s="7" t="inlineStr">
        <is>
          <t>Armament@PRIMARY</t>
        </is>
      </c>
      <c r="L810" s="6" t="n">
        <v>2000</v>
      </c>
      <c r="M810" s="6" t="n">
        <v>30</v>
      </c>
      <c r="N810" s="6" t="n">
        <v>1</v>
      </c>
      <c r="O810" s="6" t="n"/>
      <c r="P810" s="6" t="n">
        <v>1500</v>
      </c>
      <c r="Q810" s="6" t="n">
        <v>1</v>
      </c>
      <c r="R810">
        <f>M810+IF(MAX(N810-1,0)&gt;0,IF(ISBLANK(O810),5*MAX(N810-1,0),IF(ISNUMBER(O810),O810*MAX(N810-1,0),SUM(IFERROR(VALUE(TEXTSPLIT(O810,",")),0)))),0)</f>
        <v/>
      </c>
      <c r="S810">
        <f>IFERROR(L810*MAX(N810,1)/R810*IF(ISBLANK(K809),1,K809),0)</f>
        <v/>
      </c>
      <c r="AB810" s="7" t="inlineStr">
        <is>
          <t>^Warhead_Melee_Medium</t>
        </is>
      </c>
    </row>
    <row r="811">
      <c r="B811" s="7" t="inlineStr">
        <is>
          <t xml:space="preserve">  ↳ RA2Shovel</t>
        </is>
      </c>
      <c r="C811" s="7" t="inlineStr">
        <is>
          <t>Armament@GARRISONED</t>
        </is>
      </c>
      <c r="L811" s="6" t="n">
        <v>2000</v>
      </c>
      <c r="M811" s="6" t="n">
        <v>30</v>
      </c>
      <c r="N811" s="6" t="n">
        <v>1</v>
      </c>
      <c r="O811" s="6" t="n"/>
      <c r="P811" s="6" t="n">
        <v>1500</v>
      </c>
      <c r="Q811" s="6" t="n">
        <v>1</v>
      </c>
      <c r="R811">
        <f>M811+IF(MAX(N811-1,0)&gt;0,IF(ISBLANK(O811),5*MAX(N811-1,0),IF(ISNUMBER(O811),O811*MAX(N811-1,0),SUM(IFERROR(VALUE(TEXTSPLIT(O811,",")),0)))),0)</f>
        <v/>
      </c>
      <c r="S811">
        <f>IFERROR(L811*MAX(N811,1)/R811*IF(ISBLANK(K809),1,K809),0)</f>
        <v/>
      </c>
      <c r="AB811" s="7" t="inlineStr">
        <is>
          <t>^Warhead_Melee_Medium</t>
        </is>
      </c>
    </row>
    <row r="812">
      <c r="A812" t="inlineStr">
        <is>
          <t>redalert2</t>
        </is>
      </c>
      <c r="B812" t="inlineStr">
        <is>
          <t>ra2_allies_seal</t>
        </is>
      </c>
      <c r="C812" t="inlineStr">
        <is>
          <t>SEAL</t>
        </is>
      </c>
      <c r="D812" s="6" t="inlineStr">
        <is>
          <t>MeleeInfantry</t>
        </is>
      </c>
      <c r="E812" s="6" t="n">
        <v>31000</v>
      </c>
      <c r="F812" s="6" t="n">
        <v>59</v>
      </c>
      <c r="G812" t="inlineStr">
        <is>
          <t>Plate</t>
        </is>
      </c>
      <c r="H812" s="6" t="n">
        <v>0.75</v>
      </c>
      <c r="I812" s="6" t="n">
        <v>0.75</v>
      </c>
      <c r="J812" s="6" t="n">
        <v>1.25</v>
      </c>
      <c r="K812" t="n">
        <v>0.009300000000000001</v>
      </c>
      <c r="P812">
        <f>MAX(P813,P814)</f>
        <v/>
      </c>
      <c r="S812">
        <f>S813+S814</f>
        <v/>
      </c>
      <c r="T812">
        <f>(E812/100000+F812/100+(P812/1000)*J812/5+S812/200)*200*I812*H812</f>
        <v/>
      </c>
      <c r="U812">
        <f>((E812*F812/25000)+((P812/1000)*J812*S812/2.5))*I812*H812</f>
        <v/>
      </c>
      <c r="V812">
        <f>(E812*F812*(P812/1000)*J812*S812*I812*H812)/12500000</f>
        <v/>
      </c>
      <c r="W812">
        <f>IFERROR((((E812/15000)+(F812/50)+(S812/240)+((P812/6000)*J812))*200/4+(((E812/15000)*(F812/50))+(((P812/6000)*J812)*(S812/240)))*200/2+((E812/15000)*(F812/50)*((P812/6000)*J812)*(S812/240))*200)*(H812/1.0)/3,"")</f>
        <v/>
      </c>
      <c r="X812" s="6" t="n">
        <v>1162</v>
      </c>
      <c r="Y812">
        <f>IFERROR(W812-X812,"")</f>
        <v/>
      </c>
      <c r="Z812">
        <f>IFERROR(ABS(Y812)/MAX(X812,1),"")</f>
        <v/>
      </c>
      <c r="AA812">
        <f>IFERROR(ROUND(((3*X812-(((E812/15000)+(F812/50)+(S812/240))*200/4+((E812/15000)*(F812/50))*200/2)*(H812/1.0))/(200/4+((S812/240))*200/2+((E812/15000)*(F812/50)*(S812/240))*200)*(H812/1.0)*6000)/J812,-1),"")</f>
        <v/>
      </c>
    </row>
    <row r="813">
      <c r="B813" s="7" t="inlineStr">
        <is>
          <t xml:space="preserve">  ↳ RA2MP5</t>
        </is>
      </c>
      <c r="C813" s="7" t="inlineStr">
        <is>
          <t>Armament@PRIMARY</t>
        </is>
      </c>
      <c r="L813" s="6" t="n">
        <v>4000</v>
      </c>
      <c r="M813" s="6" t="n">
        <v>10</v>
      </c>
      <c r="N813" s="6" t="n">
        <v>4</v>
      </c>
      <c r="O813" s="6" t="n">
        <v>3</v>
      </c>
      <c r="P813" s="6" t="n">
        <v>6386</v>
      </c>
      <c r="Q813" s="6" t="n">
        <v>0.75</v>
      </c>
      <c r="R813">
        <f>M813+IF(MAX(N813-1,0)&gt;0,IF(ISBLANK(O813),5*MAX(N813-1,0),IF(ISNUMBER(O813),O813*MAX(N813-1,0),SUM(IFERROR(VALUE(TEXTSPLIT(O813,",")),0)))),0)</f>
        <v/>
      </c>
      <c r="S813">
        <f>IFERROR(L813*MAX(N813,1)/R813*IF(ISBLANK(K812),1,K812),0)</f>
        <v/>
      </c>
      <c r="AB813" s="7" t="inlineStr">
        <is>
          <t>^Warhead_Sniper_Light</t>
        </is>
      </c>
    </row>
    <row r="814">
      <c r="B814" s="7" t="inlineStr">
        <is>
          <t xml:space="preserve">  ↳ RA2MP5_elite</t>
        </is>
      </c>
      <c r="C814" s="7" t="inlineStr">
        <is>
          <t>Armament@ELITE</t>
        </is>
      </c>
      <c r="L814" s="6" t="n">
        <v>4000</v>
      </c>
      <c r="M814" s="6" t="n">
        <v>10</v>
      </c>
      <c r="N814" s="6" t="n">
        <v>8</v>
      </c>
      <c r="O814" s="6" t="n">
        <v>3</v>
      </c>
      <c r="P814" s="6" t="n">
        <v>6000</v>
      </c>
      <c r="Q814" s="6" t="n">
        <v>0.75</v>
      </c>
      <c r="R814">
        <f>M814+IF(MAX(N814-1,0)&gt;0,IF(ISBLANK(O814),5*MAX(N814-1,0),IF(ISNUMBER(O814),O814*MAX(N814-1,0),SUM(IFERROR(VALUE(TEXTSPLIT(O814,",")),0)))),0)</f>
        <v/>
      </c>
      <c r="S814">
        <f>IFERROR(L814*MAX(N814,1)/R814*IF(ISBLANK(K812),1,K812),0)</f>
        <v/>
      </c>
      <c r="AB814" s="7" t="inlineStr">
        <is>
          <t>^Warhead_Sniper_Light</t>
        </is>
      </c>
    </row>
    <row r="815">
      <c r="B815" s="7" t="inlineStr">
        <is>
          <t xml:space="preserve">  ↳ RA2MP5</t>
        </is>
      </c>
      <c r="C815" s="7" t="inlineStr">
        <is>
          <t>Armament@GARRISONED</t>
        </is>
      </c>
      <c r="L815" s="6" t="n">
        <v>4000</v>
      </c>
      <c r="M815" s="6" t="n">
        <v>10</v>
      </c>
      <c r="N815" s="6" t="n">
        <v>4</v>
      </c>
      <c r="O815" s="6" t="n">
        <v>3</v>
      </c>
      <c r="P815" s="6" t="n">
        <v>6386</v>
      </c>
      <c r="Q815" s="6" t="n">
        <v>0.75</v>
      </c>
      <c r="R815">
        <f>M815+IF(MAX(N815-1,0)&gt;0,IF(ISBLANK(O815),5*MAX(N815-1,0),IF(ISNUMBER(O815),O815*MAX(N815-1,0),SUM(IFERROR(VALUE(TEXTSPLIT(O815,",")),0)))),0)</f>
        <v/>
      </c>
      <c r="S815">
        <f>IFERROR(L815*MAX(N815,1)/R815*IF(ISBLANK(K812),1,K812),0)</f>
        <v/>
      </c>
      <c r="AB815" s="7" t="inlineStr">
        <is>
          <t>^Warhead_Sniper_Light</t>
        </is>
      </c>
    </row>
    <row r="816">
      <c r="B816" s="7" t="inlineStr">
        <is>
          <t xml:space="preserve">  ↳ RA2MP5_elite</t>
        </is>
      </c>
      <c r="C816" s="7" t="inlineStr">
        <is>
          <t>Armament@GARRISONEDELITE</t>
        </is>
      </c>
      <c r="L816" s="6" t="n">
        <v>4000</v>
      </c>
      <c r="M816" s="6" t="n">
        <v>10</v>
      </c>
      <c r="N816" s="6" t="n">
        <v>8</v>
      </c>
      <c r="O816" s="6" t="n">
        <v>3</v>
      </c>
      <c r="P816" s="6" t="n">
        <v>6000</v>
      </c>
      <c r="Q816" s="6" t="n">
        <v>0.75</v>
      </c>
      <c r="R816">
        <f>M816+IF(MAX(N816-1,0)&gt;0,IF(ISBLANK(O816),5*MAX(N816-1,0),IF(ISNUMBER(O816),O816*MAX(N816-1,0),SUM(IFERROR(VALUE(TEXTSPLIT(O816,",")),0)))),0)</f>
        <v/>
      </c>
      <c r="S816">
        <f>IFERROR(L816*MAX(N816,1)/R816*IF(ISBLANK(K812),1,K812),0)</f>
        <v/>
      </c>
      <c r="AB816" s="7" t="inlineStr">
        <is>
          <t>^Warhead_Sniper_Light</t>
        </is>
      </c>
    </row>
    <row r="817">
      <c r="B817" s="7" t="inlineStr">
        <is>
          <t xml:space="preserve">  ↳ SEALAttach</t>
        </is>
      </c>
      <c r="C817" s="7" t="inlineStr">
        <is>
          <t>Armament@shipc4</t>
        </is>
      </c>
      <c r="M817" s="6" t="n">
        <v>20</v>
      </c>
      <c r="N817" s="6" t="n">
        <v>1</v>
      </c>
      <c r="O817" s="6" t="n"/>
      <c r="P817" s="6" t="n">
        <v>2000</v>
      </c>
      <c r="Q817" s="6" t="n">
        <v>1</v>
      </c>
      <c r="R817">
        <f>M817+IF(MAX(N817-1,0)&gt;0,IF(ISBLANK(O817),5*MAX(N817-1,0),IF(ISNUMBER(O817),O817*MAX(N817-1,0),SUM(IFERROR(VALUE(TEXTSPLIT(O817,",")),0)))),0)</f>
        <v/>
      </c>
      <c r="S817">
        <f>IFERROR(L817*MAX(N817,1)/R817*IF(ISBLANK(K812),1,K812),0)</f>
        <v/>
      </c>
      <c r="AB817" s="7" t="inlineStr">
        <is>
          <t>TanyaAttach</t>
        </is>
      </c>
    </row>
    <row r="818">
      <c r="A818" t="inlineStr">
        <is>
          <t>redalert2</t>
        </is>
      </c>
      <c r="B818" t="inlineStr">
        <is>
          <t>ra2_soviets_crazyivan</t>
        </is>
      </c>
      <c r="C818" t="inlineStr">
        <is>
          <t>Crazy Ivan</t>
        </is>
      </c>
      <c r="D818" s="6" t="inlineStr">
        <is>
          <t>MeleeInfantry</t>
        </is>
      </c>
      <c r="E818" s="6" t="n">
        <v>10000</v>
      </c>
      <c r="F818" s="6" t="n">
        <v>100</v>
      </c>
      <c r="G818" t="inlineStr">
        <is>
          <t>Plate</t>
        </is>
      </c>
      <c r="H818" s="6" t="n">
        <v>0.9322</v>
      </c>
      <c r="I818" s="6" t="n">
        <v>1</v>
      </c>
      <c r="J818" s="6" t="n">
        <v>1</v>
      </c>
      <c r="X818" s="6" t="n">
        <v>600</v>
      </c>
    </row>
    <row r="819">
      <c r="B819" s="7" t="inlineStr">
        <is>
          <t xml:space="preserve">  ↳ IvanAttach</t>
        </is>
      </c>
      <c r="C819" s="7" t="inlineStr">
        <is>
          <t>Armament</t>
        </is>
      </c>
      <c r="M819" s="6" t="n">
        <v>20</v>
      </c>
      <c r="N819" s="6" t="n">
        <v>1</v>
      </c>
      <c r="O819" s="6" t="n"/>
      <c r="P819" s="6" t="n">
        <v>2000</v>
      </c>
      <c r="Q819" s="6" t="n">
        <v>1</v>
      </c>
      <c r="R819">
        <f>M819+IF(MAX(N819-1,0)&gt;0,IF(ISBLANK(O819),5*MAX(N819-1,0),IF(ISNUMBER(O819),O819*MAX(N819-1,0),SUM(IFERROR(VALUE(TEXTSPLIT(O819,",")),0)))),0)</f>
        <v/>
      </c>
      <c r="S819">
        <f>IFERROR(L819*MAX(N819,1)/R819*IF(ISBLANK(K818),1,K818),0)</f>
        <v/>
      </c>
      <c r="AB819" s="7" t="inlineStr"/>
    </row>
    <row r="820">
      <c r="B820" s="7" t="inlineStr">
        <is>
          <t xml:space="preserve">  ↳ IvanAttachAir</t>
        </is>
      </c>
      <c r="C820" s="7" t="inlineStr">
        <is>
          <t>Armament@aa</t>
        </is>
      </c>
      <c r="M820" s="6" t="n">
        <v>20</v>
      </c>
      <c r="N820" s="6" t="n">
        <v>1</v>
      </c>
      <c r="O820" s="6" t="n"/>
      <c r="P820" s="6" t="n">
        <v>2000</v>
      </c>
      <c r="Q820" s="6" t="n">
        <v>1</v>
      </c>
      <c r="R820">
        <f>M820+IF(MAX(N820-1,0)&gt;0,IF(ISBLANK(O820),5*MAX(N820-1,0),IF(ISNUMBER(O820),O820*MAX(N820-1,0),SUM(IFERROR(VALUE(TEXTSPLIT(O820,",")),0)))),0)</f>
        <v/>
      </c>
      <c r="S820">
        <f>IFERROR(L820*MAX(N820,1)/R820*IF(ISBLANK(K818),1,K818),0)</f>
        <v/>
      </c>
      <c r="AB820" s="7" t="inlineStr">
        <is>
          <t>IvanAttach</t>
        </is>
      </c>
    </row>
    <row r="821">
      <c r="A821" t="inlineStr">
        <is>
          <t>redalert2</t>
        </is>
      </c>
      <c r="B821" t="inlineStr">
        <is>
          <t>yuri_brute</t>
        </is>
      </c>
      <c r="C821" t="inlineStr">
        <is>
          <t>Brute</t>
        </is>
      </c>
      <c r="D821" s="6" t="inlineStr">
        <is>
          <t>MeleeInfantry</t>
        </is>
      </c>
      <c r="E821" s="6" t="n">
        <v>45000</v>
      </c>
      <c r="F821" s="6" t="n">
        <v>80</v>
      </c>
      <c r="G821" t="inlineStr">
        <is>
          <t>Plate</t>
        </is>
      </c>
      <c r="H821" s="6" t="n">
        <v>1</v>
      </c>
      <c r="I821" s="6" t="n">
        <v>0.75</v>
      </c>
      <c r="J821" s="6" t="n">
        <v>1</v>
      </c>
      <c r="P821">
        <f>MAX(P822,P823)</f>
        <v/>
      </c>
      <c r="S821">
        <f>S822+S823</f>
        <v/>
      </c>
      <c r="T821">
        <f>(E821/100000+F821/100+(P821/1000)*J821/5+S821/200)*200*I821*H821</f>
        <v/>
      </c>
      <c r="U821">
        <f>((E821*F821/25000)+((P821/1000)*J821*S821/2.5))*I821*H821</f>
        <v/>
      </c>
      <c r="V821">
        <f>(E821*F821*(P821/1000)*J821*S821*I821*H821)/12500000</f>
        <v/>
      </c>
      <c r="W821">
        <f>(T821+U821+V821)/3</f>
        <v/>
      </c>
      <c r="X821" s="6" t="n">
        <v>400</v>
      </c>
      <c r="Y821">
        <f>IFERROR(W821-X821,"")</f>
        <v/>
      </c>
      <c r="Z821">
        <f>IFERROR(ABS(Y821)/MAX(X821,1),"")</f>
        <v/>
      </c>
      <c r="AA821">
        <f>IFERROR((X821-(((E821/100000+F821/100+S821/200)*200*I821*H821)+((E821*F821/25000)*I821*H821))/3)/(((J821/5)*200*I821*H821)+((J821*S821/2.5)*I821*H821)+((E821*F821*J821*S821*I821*H821)/12500000))/3*1000,"")</f>
        <v/>
      </c>
    </row>
    <row r="822">
      <c r="B822" s="7" t="inlineStr">
        <is>
          <t xml:space="preserve">  ↳ RA2BrutePunch</t>
        </is>
      </c>
      <c r="C822" s="7" t="inlineStr">
        <is>
          <t>Armament@PRIMARY</t>
        </is>
      </c>
      <c r="L822" s="6" t="n">
        <v>20000</v>
      </c>
      <c r="M822" s="6" t="n">
        <v>37</v>
      </c>
      <c r="N822" s="6" t="n">
        <v>1</v>
      </c>
      <c r="O822" s="6" t="n"/>
      <c r="P822" s="6" t="n">
        <v>1616</v>
      </c>
      <c r="Q822" s="6" t="n">
        <v>1</v>
      </c>
      <c r="R822">
        <f>M822+IF(MAX(N822-1,0)&gt;0,IF(ISBLANK(O822),5*MAX(N822-1,0),IF(ISNUMBER(O822),O822*MAX(N822-1,0),SUM(IFERROR(VALUE(TEXTSPLIT(O822,",")),0)))),0)</f>
        <v/>
      </c>
      <c r="S822">
        <f>IFERROR(L822*MAX(N822,1)/R822*IF(ISBLANK(K821),1,K821),0)</f>
        <v/>
      </c>
      <c r="AB822" s="7" t="inlineStr">
        <is>
          <t>^Warhead_Melee_Medium</t>
        </is>
      </c>
    </row>
    <row r="823">
      <c r="B823" s="7" t="inlineStr">
        <is>
          <t xml:space="preserve">  ↳ RA2BrutePunch_elite</t>
        </is>
      </c>
      <c r="C823" s="7" t="inlineStr">
        <is>
          <t>Armament@ELITE</t>
        </is>
      </c>
      <c r="L823" s="6" t="n">
        <v>20000</v>
      </c>
      <c r="M823" s="6" t="n">
        <v>37</v>
      </c>
      <c r="N823" s="6" t="n">
        <v>2</v>
      </c>
      <c r="O823" s="6" t="n">
        <v>3</v>
      </c>
      <c r="P823" s="6" t="n">
        <v>1616</v>
      </c>
      <c r="Q823" s="6" t="n">
        <v>1</v>
      </c>
      <c r="R823">
        <f>M823+IF(MAX(N823-1,0)&gt;0,IF(ISBLANK(O823),5*MAX(N823-1,0),IF(ISNUMBER(O823),O823*MAX(N823-1,0),SUM(IFERROR(VALUE(TEXTSPLIT(O823,",")),0)))),0)</f>
        <v/>
      </c>
      <c r="S823">
        <f>IFERROR(L823*MAX(N823,1)/R823*IF(ISBLANK(K821),1,K821),0)</f>
        <v/>
      </c>
      <c r="AB823" s="7" t="inlineStr">
        <is>
          <t>^Warhead_Melee_Medium</t>
        </is>
      </c>
    </row>
    <row r="824">
      <c r="A824" t="inlineStr">
        <is>
          <t>redalert2mod</t>
        </is>
      </c>
      <c r="B824" t="inlineStr">
        <is>
          <t>asianalliance_alligator</t>
        </is>
      </c>
      <c r="C824" t="inlineStr">
        <is>
          <t>Alligator</t>
        </is>
      </c>
      <c r="D824" s="6" t="inlineStr">
        <is>
          <t>MeleeInfantry</t>
        </is>
      </c>
      <c r="E824" s="6" t="n">
        <v>27000</v>
      </c>
      <c r="F824" s="6" t="n">
        <v>108</v>
      </c>
      <c r="G824" t="inlineStr">
        <is>
          <t>None</t>
        </is>
      </c>
      <c r="H824" s="6" t="n">
        <v>1</v>
      </c>
      <c r="I824" s="6" t="n">
        <v>0.75</v>
      </c>
      <c r="J824" s="6" t="n">
        <v>1</v>
      </c>
      <c r="P824">
        <f>MAX(P825,P826)</f>
        <v/>
      </c>
      <c r="S824">
        <f>S825+S826</f>
        <v/>
      </c>
      <c r="T824">
        <f>(E824/100000+F824/100+(P824/1000)*J824/5+S824/200)*200*I824*H824</f>
        <v/>
      </c>
      <c r="U824">
        <f>((E824*F824/25000)+((P824/1000)*J824*S824/2.5))*I824*H824</f>
        <v/>
      </c>
      <c r="V824">
        <f>(E824*F824*(P824/1000)*J824*S824*I824*H824)/12500000</f>
        <v/>
      </c>
      <c r="W824">
        <f>(T824+U824+V824)/3</f>
        <v/>
      </c>
      <c r="X824" s="6" t="n">
        <v>300</v>
      </c>
      <c r="Y824">
        <f>IFERROR(W824-X824,"")</f>
        <v/>
      </c>
      <c r="Z824">
        <f>IFERROR(ABS(Y824)/MAX(X824,1),"")</f>
        <v/>
      </c>
      <c r="AA824">
        <f>IFERROR((X824-(((E824/100000+F824/100+S824/200)*200*I824*H824)+((E824*F824/25000)*I824*H824))/3)/(((J824/5)*200*I824*H824)+((J824*S824/2.5)*I824*H824)+((E824*F824*J824*S824*I824*H824)/12500000))/3*1000,"")</f>
        <v/>
      </c>
    </row>
    <row r="825">
      <c r="B825" s="7" t="inlineStr">
        <is>
          <t xml:space="preserve">  ↳ AsianCrocBite</t>
        </is>
      </c>
      <c r="C825" s="7" t="inlineStr">
        <is>
          <t>Armament@PRIMARY</t>
        </is>
      </c>
      <c r="L825" s="6" t="n">
        <v>16000</v>
      </c>
      <c r="M825" s="6" t="n">
        <v>39</v>
      </c>
      <c r="N825" s="6" t="n">
        <v>1</v>
      </c>
      <c r="O825" s="6" t="n"/>
      <c r="P825" s="6" t="n">
        <v>1345</v>
      </c>
      <c r="Q825" s="6" t="n">
        <v>1</v>
      </c>
      <c r="R825">
        <f>M825+IF(MAX(N825-1,0)&gt;0,IF(ISBLANK(O825),5*MAX(N825-1,0),IF(ISNUMBER(O825),O825*MAX(N825-1,0),SUM(IFERROR(VALUE(TEXTSPLIT(O825,",")),0)))),0)</f>
        <v/>
      </c>
      <c r="S825">
        <f>IFERROR(L825*MAX(N825,1)/R825*IF(ISBLANK(K824),1,K824),0)</f>
        <v/>
      </c>
      <c r="AB825" s="7" t="inlineStr">
        <is>
          <t>^Warhead_Melee_Medium</t>
        </is>
      </c>
    </row>
    <row r="826">
      <c r="B826" s="7" t="inlineStr">
        <is>
          <t xml:space="preserve">  ↳ AsianCrocBite_elite</t>
        </is>
      </c>
      <c r="C826" s="7" t="inlineStr">
        <is>
          <t>Armament@ELITE</t>
        </is>
      </c>
      <c r="L826" s="6" t="n">
        <v>16000</v>
      </c>
      <c r="M826" s="6" t="n">
        <v>39</v>
      </c>
      <c r="N826" s="6" t="n">
        <v>2</v>
      </c>
      <c r="O826" s="6" t="n">
        <v>3</v>
      </c>
      <c r="P826" s="6" t="n">
        <v>1345</v>
      </c>
      <c r="Q826" s="6" t="n">
        <v>1</v>
      </c>
      <c r="R826">
        <f>M826+IF(MAX(N826-1,0)&gt;0,IF(ISBLANK(O826),5*MAX(N826-1,0),IF(ISNUMBER(O826),O826*MAX(N826-1,0),SUM(IFERROR(VALUE(TEXTSPLIT(O826,",")),0)))),0)</f>
        <v/>
      </c>
      <c r="S826">
        <f>IFERROR(L826*MAX(N826,1)/R826*IF(ISBLANK(K824),1,K824),0)</f>
        <v/>
      </c>
      <c r="AB826" s="7" t="inlineStr">
        <is>
          <t>^Warhead_Melee_Medium</t>
        </is>
      </c>
    </row>
    <row r="827">
      <c r="A827" t="inlineStr">
        <is>
          <t>redalert2mod</t>
        </is>
      </c>
      <c r="B827" t="inlineStr">
        <is>
          <t>asianalliance_japanesesamurai</t>
        </is>
      </c>
      <c r="C827" t="inlineStr">
        <is>
          <t>Japanese Samurai</t>
        </is>
      </c>
      <c r="D827" s="6" t="inlineStr">
        <is>
          <t>MeleeInfantry</t>
        </is>
      </c>
      <c r="E827" s="6" t="n">
        <v>40000</v>
      </c>
      <c r="F827" s="6" t="n">
        <v>72</v>
      </c>
      <c r="G827" t="inlineStr">
        <is>
          <t>Plate</t>
        </is>
      </c>
      <c r="H827" s="6" t="n">
        <v>0.75</v>
      </c>
      <c r="I827" s="6" t="n">
        <v>1</v>
      </c>
      <c r="J827" s="6" t="n">
        <v>1</v>
      </c>
      <c r="P827">
        <f>MAX(P828,P829,P830)</f>
        <v/>
      </c>
      <c r="S827">
        <f>S828+S829+S830</f>
        <v/>
      </c>
      <c r="T827">
        <f>(E827/100000+F827/100+(P827/1000)*J827/5+S827/200)*200*I827*H827</f>
        <v/>
      </c>
      <c r="U827">
        <f>((E827*F827/25000)+((P827/1000)*J827*S827/2.5))*I827*H827</f>
        <v/>
      </c>
      <c r="V827">
        <f>(E827*F827*(P827/1000)*J827*S827*I827*H827)/12500000</f>
        <v/>
      </c>
      <c r="W827">
        <f>(T827+U827+V827)/3</f>
        <v/>
      </c>
      <c r="X827" s="6" t="n">
        <v>350</v>
      </c>
      <c r="Y827">
        <f>IFERROR(W827-X827,"")</f>
        <v/>
      </c>
      <c r="Z827">
        <f>IFERROR(ABS(Y827)/MAX(X827,1),"")</f>
        <v/>
      </c>
      <c r="AA827">
        <f>IFERROR((X827-(((E827/100000+F827/100+S827/200)*200*I827*H827)+((E827*F827/25000)*I827*H827))/3)/(((J827/5)*200*I827*H827)+((J827*S827/2.5)*I827*H827)+((E827*F827*J827*S827*I827*H827)/12500000))/3*1000,"")</f>
        <v/>
      </c>
    </row>
    <row r="828">
      <c r="B828" s="7" t="inlineStr">
        <is>
          <t xml:space="preserve">  ↳ AsianSamuraiSword1</t>
        </is>
      </c>
      <c r="C828" s="7" t="inlineStr">
        <is>
          <t>Armament@Sword1</t>
        </is>
      </c>
      <c r="L828" s="6" t="n">
        <v>20000</v>
      </c>
      <c r="M828" s="6" t="n">
        <v>40</v>
      </c>
      <c r="N828" s="6" t="n">
        <v>1</v>
      </c>
      <c r="O828" s="6" t="n"/>
      <c r="P828" s="6" t="n">
        <v>1579</v>
      </c>
      <c r="Q828" s="6" t="n">
        <v>1</v>
      </c>
      <c r="R828">
        <f>M828+IF(MAX(N828-1,0)&gt;0,IF(ISBLANK(O828),5*MAX(N828-1,0),IF(ISNUMBER(O828),O828*MAX(N828-1,0),SUM(IFERROR(VALUE(TEXTSPLIT(O828,",")),0)))),0)</f>
        <v/>
      </c>
      <c r="S828">
        <f>IFERROR(L828*MAX(N828,1)/R828*IF(ISBLANK(K827),1,K827),0)</f>
        <v/>
      </c>
      <c r="AB828" s="7" t="inlineStr">
        <is>
          <t>^Warhead_Melee_Medium</t>
        </is>
      </c>
    </row>
    <row r="829">
      <c r="B829" s="7" t="inlineStr">
        <is>
          <t xml:space="preserve">  ↳ AsianSamuraiSword2</t>
        </is>
      </c>
      <c r="C829" s="7" t="inlineStr">
        <is>
          <t>Armament@Sword2</t>
        </is>
      </c>
      <c r="L829" s="6" t="n">
        <v>20000</v>
      </c>
      <c r="M829" s="6" t="n">
        <v>40</v>
      </c>
      <c r="N829" s="6" t="n">
        <v>2</v>
      </c>
      <c r="O829" s="6" t="n">
        <v>3</v>
      </c>
      <c r="P829" s="6" t="n">
        <v>1579</v>
      </c>
      <c r="Q829" s="6" t="n">
        <v>1</v>
      </c>
      <c r="R829">
        <f>M829+IF(MAX(N829-1,0)&gt;0,IF(ISBLANK(O829),5*MAX(N829-1,0),IF(ISNUMBER(O829),O829*MAX(N829-1,0),SUM(IFERROR(VALUE(TEXTSPLIT(O829,",")),0)))),0)</f>
        <v/>
      </c>
      <c r="S829">
        <f>IFERROR(L829*MAX(N829,1)/R829*IF(ISBLANK(K827),1,K827),0)</f>
        <v/>
      </c>
      <c r="AB829" s="7" t="inlineStr">
        <is>
          <t>^Warhead_Melee_Medium</t>
        </is>
      </c>
    </row>
    <row r="830">
      <c r="B830" s="7" t="inlineStr">
        <is>
          <t xml:space="preserve">  ↳ AsianSamuraiSword3</t>
        </is>
      </c>
      <c r="C830" s="7" t="inlineStr">
        <is>
          <t>Armament@Sword3</t>
        </is>
      </c>
      <c r="L830" s="6" t="n">
        <v>20000</v>
      </c>
      <c r="M830" s="6" t="n">
        <v>40</v>
      </c>
      <c r="N830" s="6" t="n">
        <v>3</v>
      </c>
      <c r="O830" s="6" t="n">
        <v>3</v>
      </c>
      <c r="P830" s="6" t="n">
        <v>1579</v>
      </c>
      <c r="Q830" s="6" t="n">
        <v>1</v>
      </c>
      <c r="R830">
        <f>M830+IF(MAX(N830-1,0)&gt;0,IF(ISBLANK(O830),5*MAX(N830-1,0),IF(ISNUMBER(O830),O830*MAX(N830-1,0),SUM(IFERROR(VALUE(TEXTSPLIT(O830,",")),0)))),0)</f>
        <v/>
      </c>
      <c r="S830">
        <f>IFERROR(L830*MAX(N830,1)/R830*IF(ISBLANK(K827),1,K827),0)</f>
        <v/>
      </c>
      <c r="AB830" s="7" t="inlineStr">
        <is>
          <t>^Warhead_Melee_Medium</t>
        </is>
      </c>
    </row>
    <row r="831">
      <c r="A831" t="inlineStr">
        <is>
          <t>redalert2mod</t>
        </is>
      </c>
      <c r="B831" t="inlineStr">
        <is>
          <t>latinsyndicate_terrorist</t>
        </is>
      </c>
      <c r="C831" t="inlineStr">
        <is>
          <t>Terrorist</t>
        </is>
      </c>
      <c r="D831" s="6" t="inlineStr">
        <is>
          <t>MeleeInfantry</t>
        </is>
      </c>
      <c r="E831" s="6" t="n">
        <v>15000</v>
      </c>
      <c r="F831" s="6" t="n">
        <v>75</v>
      </c>
      <c r="G831" t="inlineStr">
        <is>
          <t>Plate</t>
        </is>
      </c>
      <c r="H831" s="6" t="n">
        <v>1</v>
      </c>
      <c r="I831" s="6" t="n">
        <v>1</v>
      </c>
      <c r="J831" s="6" t="n">
        <v>1</v>
      </c>
      <c r="K831" t="n">
        <v>0.02</v>
      </c>
      <c r="X831" s="6" t="n">
        <v>200</v>
      </c>
    </row>
    <row r="832">
      <c r="B832" s="7" t="inlineStr">
        <is>
          <t xml:space="preserve">  ↳ SuicideBomberTargeting</t>
        </is>
      </c>
      <c r="C832" s="7" t="inlineStr">
        <is>
          <t>Armament@PRIMARY</t>
        </is>
      </c>
      <c r="M832" s="6" t="n">
        <v>1</v>
      </c>
      <c r="N832" s="6" t="n">
        <v>1</v>
      </c>
      <c r="O832" s="6" t="n"/>
      <c r="P832" s="6" t="n">
        <v>1536</v>
      </c>
      <c r="Q832" s="6" t="n">
        <v>1</v>
      </c>
      <c r="R832">
        <f>M832+IF(MAX(N832-1,0)&gt;0,IF(ISBLANK(O832),5*MAX(N832-1,0),IF(ISNUMBER(O832),O832*MAX(N832-1,0),SUM(IFERROR(VALUE(TEXTSPLIT(O832,",")),0)))),0)</f>
        <v/>
      </c>
      <c r="S832">
        <f>IFERROR(L832*MAX(N832,1)/R832*IF(ISBLANK(K831),1,K831),0)</f>
        <v/>
      </c>
      <c r="AB832" s="7" t="inlineStr">
        <is>
          <t>DemoTruckTargeting</t>
        </is>
      </c>
    </row>
    <row r="833">
      <c r="A833" t="inlineStr">
        <is>
          <t>redalert2mod</t>
        </is>
      </c>
      <c r="B833" t="inlineStr">
        <is>
          <t>frank.nax</t>
        </is>
      </c>
      <c r="C833" t="inlineStr">
        <is>
          <t>Übermutant</t>
        </is>
      </c>
      <c r="D833" s="6" t="inlineStr">
        <is>
          <t>MeleeInfantry</t>
        </is>
      </c>
      <c r="E833" s="6" t="n">
        <v>85000</v>
      </c>
      <c r="F833" s="6" t="n">
        <v>61</v>
      </c>
      <c r="G833" t="inlineStr">
        <is>
          <t>Plate</t>
        </is>
      </c>
      <c r="H833" s="6" t="n">
        <v>1</v>
      </c>
      <c r="I833" s="6" t="n">
        <v>0.75</v>
      </c>
      <c r="J833" s="6" t="n">
        <v>1</v>
      </c>
      <c r="P833">
        <f>MAX(P834,P835)</f>
        <v/>
      </c>
      <c r="S833">
        <f>S834+S835</f>
        <v/>
      </c>
      <c r="T833">
        <f>(E833/100000+F833/100+(P833/1000)*J833/5+S833/200)*200*I833*H833</f>
        <v/>
      </c>
      <c r="U833">
        <f>((E833*F833/25000)+((P833/1000)*J833*S833/2.5))*I833*H833</f>
        <v/>
      </c>
      <c r="V833">
        <f>(E833*F833*(P833/1000)*J833*S833*I833*H833)/12500000</f>
        <v/>
      </c>
      <c r="W833">
        <f>(T833+U833+V833)/3</f>
        <v/>
      </c>
      <c r="X833" s="6" t="n">
        <v>500</v>
      </c>
      <c r="Y833">
        <f>IFERROR(W833-X833,"")</f>
        <v/>
      </c>
      <c r="Z833">
        <f>IFERROR(ABS(Y833)/MAX(X833,1),"")</f>
        <v/>
      </c>
      <c r="AA833">
        <f>IFERROR((X833-(((E833/100000+F833/100+S833/200)*200*I833*H833)+((E833*F833/25000)*I833*H833))/3)/(((J833/5)*200*I833*H833)+((J833*S833/2.5)*I833*H833)+((E833*F833*J833*S833*I833*H833)/12500000))/3*1000,"")</f>
        <v/>
      </c>
    </row>
    <row r="834">
      <c r="B834" s="7" t="inlineStr">
        <is>
          <t xml:space="preserve">  ↳ RA2BrutePunch</t>
        </is>
      </c>
      <c r="C834" s="7" t="inlineStr">
        <is>
          <t>Armament@PRIMARY</t>
        </is>
      </c>
      <c r="L834" s="6" t="n">
        <v>20000</v>
      </c>
      <c r="M834" s="6" t="n">
        <v>37</v>
      </c>
      <c r="N834" s="6" t="n">
        <v>1</v>
      </c>
      <c r="O834" s="6" t="n"/>
      <c r="P834" s="6" t="n">
        <v>1616</v>
      </c>
      <c r="Q834" s="6" t="n">
        <v>1</v>
      </c>
      <c r="R834">
        <f>M834+IF(MAX(N834-1,0)&gt;0,IF(ISBLANK(O834),5*MAX(N834-1,0),IF(ISNUMBER(O834),O834*MAX(N834-1,0),SUM(IFERROR(VALUE(TEXTSPLIT(O834,",")),0)))),0)</f>
        <v/>
      </c>
      <c r="S834">
        <f>IFERROR(L834*MAX(N834,1)/R834*IF(ISBLANK(K833),1,K833),0)</f>
        <v/>
      </c>
      <c r="AB834" s="7" t="inlineStr">
        <is>
          <t>^Warhead_Melee_Medium</t>
        </is>
      </c>
    </row>
    <row r="835">
      <c r="B835" s="7" t="inlineStr">
        <is>
          <t xml:space="preserve">  ↳ RA2BrutePunch_elite</t>
        </is>
      </c>
      <c r="C835" s="7" t="inlineStr">
        <is>
          <t>Armament@ELITE</t>
        </is>
      </c>
      <c r="L835" s="6" t="n">
        <v>20000</v>
      </c>
      <c r="M835" s="6" t="n">
        <v>37</v>
      </c>
      <c r="N835" s="6" t="n">
        <v>2</v>
      </c>
      <c r="O835" s="6" t="n">
        <v>3</v>
      </c>
      <c r="P835" s="6" t="n">
        <v>1616</v>
      </c>
      <c r="Q835" s="6" t="n">
        <v>1</v>
      </c>
      <c r="R835">
        <f>M835+IF(MAX(N835-1,0)&gt;0,IF(ISBLANK(O835),5*MAX(N835-1,0),IF(ISNUMBER(O835),O835*MAX(N835-1,0),SUM(IFERROR(VALUE(TEXTSPLIT(O835,",")),0)))),0)</f>
        <v/>
      </c>
      <c r="S835">
        <f>IFERROR(L835*MAX(N835,1)/R835*IF(ISBLANK(K833),1,K833),0)</f>
        <v/>
      </c>
      <c r="AB835" s="7" t="inlineStr">
        <is>
          <t>^Warhead_Melee_Medium</t>
        </is>
      </c>
    </row>
    <row r="836">
      <c r="B836" s="7" t="inlineStr">
        <is>
          <t xml:space="preserve">  ↳ RA2BrutePunch</t>
        </is>
      </c>
      <c r="C836" s="7" t="inlineStr">
        <is>
          <t>Armament@GARRISONED</t>
        </is>
      </c>
      <c r="L836" s="6" t="n">
        <v>20000</v>
      </c>
      <c r="M836" s="6" t="n">
        <v>37</v>
      </c>
      <c r="N836" s="6" t="n">
        <v>1</v>
      </c>
      <c r="O836" s="6" t="n"/>
      <c r="P836" s="6" t="n">
        <v>1616</v>
      </c>
      <c r="Q836" s="6" t="n">
        <v>1</v>
      </c>
      <c r="R836">
        <f>M836+IF(MAX(N836-1,0)&gt;0,IF(ISBLANK(O836),5*MAX(N836-1,0),IF(ISNUMBER(O836),O836*MAX(N836-1,0),SUM(IFERROR(VALUE(TEXTSPLIT(O836,",")),0)))),0)</f>
        <v/>
      </c>
      <c r="S836">
        <f>IFERROR(L836*MAX(N836,1)/R836*IF(ISBLANK(K833),1,K833),0)</f>
        <v/>
      </c>
      <c r="AB836" s="7" t="inlineStr">
        <is>
          <t>^Warhead_Melee_Medium</t>
        </is>
      </c>
    </row>
    <row r="837">
      <c r="A837" t="inlineStr">
        <is>
          <t>redalert2mod</t>
        </is>
      </c>
      <c r="B837" t="inlineStr">
        <is>
          <t>naxis_slave</t>
        </is>
      </c>
      <c r="C837" t="inlineStr">
        <is>
          <t>Slave</t>
        </is>
      </c>
      <c r="D837" s="6" t="inlineStr">
        <is>
          <t>MeleeInfantry</t>
        </is>
      </c>
      <c r="E837" s="6" t="n">
        <v>10000</v>
      </c>
      <c r="F837" s="6" t="n">
        <v>60</v>
      </c>
      <c r="G837" t="inlineStr">
        <is>
          <t>Plate</t>
        </is>
      </c>
      <c r="H837" s="6" t="n">
        <v>0.9649</v>
      </c>
      <c r="I837" s="6" t="n">
        <v>1</v>
      </c>
      <c r="J837" s="6" t="n">
        <v>1</v>
      </c>
      <c r="P837">
        <f>MAX(P838)</f>
        <v/>
      </c>
      <c r="S837">
        <f>S838</f>
        <v/>
      </c>
      <c r="T837">
        <f>(E837/100000+F837/100+(P837/1000)*J837/5+S837/200)*200*I837*H837</f>
        <v/>
      </c>
      <c r="U837">
        <f>((E837*F837/25000)+((P837/1000)*J837*S837/2.5))*I837*H837</f>
        <v/>
      </c>
      <c r="V837">
        <f>(E837*F837*(P837/1000)*J837*S837*I837*H837)/12500000</f>
        <v/>
      </c>
      <c r="W837">
        <f>(T837+U837+V837)/3</f>
        <v/>
      </c>
      <c r="X837" s="6" t="n">
        <v>250</v>
      </c>
      <c r="Y837">
        <f>IFERROR(W837-X837,"")</f>
        <v/>
      </c>
      <c r="Z837">
        <f>IFERROR(ABS(Y837)/MAX(X837,1),"")</f>
        <v/>
      </c>
      <c r="AA837">
        <f>IFERROR((X837-(((E837/100000+F837/100+S837/200)*200*I837*H837)+((E837*F837/25000)*I837*H837))/3)/(((J837/5)*200*I837*H837)+((J837*S837/2.5)*I837*H837)+((E837*F837*J837*S837*I837*H837)/12500000))/3*1000,"")</f>
        <v/>
      </c>
    </row>
    <row r="838">
      <c r="B838" s="7" t="inlineStr">
        <is>
          <t xml:space="preserve">  ↳ RA2Shovel</t>
        </is>
      </c>
      <c r="C838" s="7" t="inlineStr">
        <is>
          <t>Armament@PRIMARY</t>
        </is>
      </c>
      <c r="L838" s="6" t="n">
        <v>2000</v>
      </c>
      <c r="M838" s="6" t="n">
        <v>30</v>
      </c>
      <c r="N838" s="6" t="n">
        <v>1</v>
      </c>
      <c r="O838" s="6" t="n"/>
      <c r="P838" s="6" t="n">
        <v>1500</v>
      </c>
      <c r="Q838" s="6" t="n">
        <v>1</v>
      </c>
      <c r="R838">
        <f>M838+IF(MAX(N838-1,0)&gt;0,IF(ISBLANK(O838),5*MAX(N838-1,0),IF(ISNUMBER(O838),O838*MAX(N838-1,0),SUM(IFERROR(VALUE(TEXTSPLIT(O838,",")),0)))),0)</f>
        <v/>
      </c>
      <c r="S838">
        <f>IFERROR(L838*MAX(N838,1)/R838*IF(ISBLANK(K837),1,K837),0)</f>
        <v/>
      </c>
      <c r="AB838" s="7" t="inlineStr">
        <is>
          <t>^Warhead_Melee_Medium</t>
        </is>
      </c>
    </row>
    <row r="839">
      <c r="B839" s="7" t="inlineStr">
        <is>
          <t xml:space="preserve">  ↳ RA2Shovel</t>
        </is>
      </c>
      <c r="C839" s="7" t="inlineStr">
        <is>
          <t>Armament@GARRISONED</t>
        </is>
      </c>
      <c r="L839" s="6" t="n">
        <v>2000</v>
      </c>
      <c r="M839" s="6" t="n">
        <v>30</v>
      </c>
      <c r="N839" s="6" t="n">
        <v>1</v>
      </c>
      <c r="O839" s="6" t="n"/>
      <c r="P839" s="6" t="n">
        <v>1500</v>
      </c>
      <c r="Q839" s="6" t="n">
        <v>1</v>
      </c>
      <c r="R839">
        <f>M839+IF(MAX(N839-1,0)&gt;0,IF(ISBLANK(O839),5*MAX(N839-1,0),IF(ISNUMBER(O839),O839*MAX(N839-1,0),SUM(IFERROR(VALUE(TEXTSPLIT(O839,",")),0)))),0)</f>
        <v/>
      </c>
      <c r="S839">
        <f>IFERROR(L839*MAX(N839,1)/R839*IF(ISBLANK(K837),1,K837),0)</f>
        <v/>
      </c>
      <c r="AB839" s="7" t="inlineStr">
        <is>
          <t>^Warhead_Melee_Medium</t>
        </is>
      </c>
    </row>
    <row r="840">
      <c r="A840" t="inlineStr">
        <is>
          <t>redalert2mod</t>
        </is>
      </c>
      <c r="B840" t="inlineStr">
        <is>
          <t>futuretech_blackwidow</t>
        </is>
      </c>
      <c r="C840" t="inlineStr">
        <is>
          <t>Black Widow</t>
        </is>
      </c>
      <c r="D840" s="6" t="inlineStr">
        <is>
          <t>MeleeInfantry</t>
        </is>
      </c>
      <c r="E840" s="6" t="n">
        <v>25000</v>
      </c>
      <c r="F840" s="6" t="n">
        <v>75</v>
      </c>
      <c r="G840" t="inlineStr">
        <is>
          <t>Plate</t>
        </is>
      </c>
      <c r="H840" s="6" t="n">
        <v>0.75</v>
      </c>
      <c r="I840" s="6" t="n">
        <v>0.75</v>
      </c>
      <c r="J840" s="6" t="n">
        <v>1.25</v>
      </c>
      <c r="P840">
        <f>MAX(P841,P842)</f>
        <v/>
      </c>
      <c r="S840">
        <f>S841+S842</f>
        <v/>
      </c>
      <c r="T840">
        <f>(E840/100000+F840/100+(P840/1000)*J840/5+S840/200)*200*I840*H840</f>
        <v/>
      </c>
      <c r="U840">
        <f>((E840*F840/25000)+((P840/1000)*J840*S840/2.5))*I840*H840</f>
        <v/>
      </c>
      <c r="V840">
        <f>(E840*F840*(P840/1000)*J840*S840*I840*H840)/12500000</f>
        <v/>
      </c>
      <c r="W840">
        <f>(T840+U840+V840)/3</f>
        <v/>
      </c>
      <c r="X840" s="6" t="n">
        <v>1200</v>
      </c>
      <c r="Y840">
        <f>IFERROR(W840-X840,"")</f>
        <v/>
      </c>
      <c r="Z840">
        <f>IFERROR(ABS(Y840)/MAX(X840,1),"")</f>
        <v/>
      </c>
      <c r="AA840">
        <f>IFERROR((X840-(((E840/100000+F840/100+S840/200)*200*I840*H840)+((E840*F840/25000)*I840*H840))/3)/(((J840/5)*200*I840*H840)+((J840*S840/2.5)*I840*H840)+((E840*F840*J840*S840*I840*H840)/12500000))/3*1000,"")</f>
        <v/>
      </c>
    </row>
    <row r="841">
      <c r="B841" s="7" t="inlineStr">
        <is>
          <t xml:space="preserve">  ↳ BlackWidowPistols</t>
        </is>
      </c>
      <c r="C841" s="7" t="inlineStr">
        <is>
          <t>Armament@PRIMARY</t>
        </is>
      </c>
      <c r="L841" s="6" t="n">
        <v>10000</v>
      </c>
      <c r="M841" s="6" t="n">
        <v>16</v>
      </c>
      <c r="N841" s="6" t="n">
        <v>2</v>
      </c>
      <c r="O841" s="6" t="n">
        <v>3</v>
      </c>
      <c r="P841" s="6" t="n">
        <v>9000</v>
      </c>
      <c r="Q841" s="6" t="n">
        <v>0.75</v>
      </c>
      <c r="R841">
        <f>M841+IF(MAX(N841-1,0)&gt;0,IF(ISBLANK(O841),5*MAX(N841-1,0),IF(ISNUMBER(O841),O841*MAX(N841-1,0),SUM(IFERROR(VALUE(TEXTSPLIT(O841,",")),0)))),0)</f>
        <v/>
      </c>
      <c r="S841">
        <f>IFERROR(L841*MAX(N841,1)/R841*IF(ISBLANK(K840),1,K840),0)</f>
        <v/>
      </c>
      <c r="AB841" s="7" t="inlineStr">
        <is>
          <t>^Warhead_Sniper_Light</t>
        </is>
      </c>
    </row>
    <row r="842">
      <c r="B842" s="7" t="inlineStr">
        <is>
          <t xml:space="preserve">  ↳ BlackWidowPistols_elite</t>
        </is>
      </c>
      <c r="C842" s="7" t="inlineStr">
        <is>
          <t>Armament@ELITE</t>
        </is>
      </c>
      <c r="L842" s="6" t="n">
        <v>10000</v>
      </c>
      <c r="M842" s="6" t="n">
        <v>16</v>
      </c>
      <c r="N842" s="6" t="n">
        <v>8</v>
      </c>
      <c r="O842" s="6" t="n">
        <v>3</v>
      </c>
      <c r="P842" s="6" t="n">
        <v>6000</v>
      </c>
      <c r="Q842" s="6" t="n">
        <v>0.75</v>
      </c>
      <c r="R842">
        <f>M842+IF(MAX(N842-1,0)&gt;0,IF(ISBLANK(O842),5*MAX(N842-1,0),IF(ISNUMBER(O842),O842*MAX(N842-1,0),SUM(IFERROR(VALUE(TEXTSPLIT(O842,",")),0)))),0)</f>
        <v/>
      </c>
      <c r="S842">
        <f>IFERROR(L842*MAX(N842,1)/R842*IF(ISBLANK(K840),1,K840),0)</f>
        <v/>
      </c>
      <c r="AB842" s="7" t="inlineStr">
        <is>
          <t>^Warhead_Sniper_Light</t>
        </is>
      </c>
    </row>
    <row r="843">
      <c r="B843" s="7" t="inlineStr">
        <is>
          <t xml:space="preserve">  ↳ BlackWidowPistols</t>
        </is>
      </c>
      <c r="C843" s="7" t="inlineStr">
        <is>
          <t>Armament@GARRISONED</t>
        </is>
      </c>
      <c r="L843" s="6" t="n">
        <v>10000</v>
      </c>
      <c r="M843" s="6" t="n">
        <v>16</v>
      </c>
      <c r="N843" s="6" t="n">
        <v>2</v>
      </c>
      <c r="O843" s="6" t="n">
        <v>3</v>
      </c>
      <c r="P843" s="6" t="n">
        <v>9000</v>
      </c>
      <c r="Q843" s="6" t="n">
        <v>0.75</v>
      </c>
      <c r="R843">
        <f>M843+IF(MAX(N843-1,0)&gt;0,IF(ISBLANK(O843),5*MAX(N843-1,0),IF(ISNUMBER(O843),O843*MAX(N843-1,0),SUM(IFERROR(VALUE(TEXTSPLIT(O843,",")),0)))),0)</f>
        <v/>
      </c>
      <c r="S843">
        <f>IFERROR(L843*MAX(N843,1)/R843*IF(ISBLANK(K840),1,K840),0)</f>
        <v/>
      </c>
      <c r="AB843" s="7" t="inlineStr">
        <is>
          <t>^Warhead_Sniper_Light</t>
        </is>
      </c>
    </row>
    <row r="844">
      <c r="B844" s="7" t="inlineStr">
        <is>
          <t xml:space="preserve">  ↳ BlackWidowPistols_elite</t>
        </is>
      </c>
      <c r="C844" s="7" t="inlineStr">
        <is>
          <t>Armament@GARRISONEDELITE</t>
        </is>
      </c>
      <c r="L844" s="6" t="n">
        <v>10000</v>
      </c>
      <c r="M844" s="6" t="n">
        <v>16</v>
      </c>
      <c r="N844" s="6" t="n">
        <v>8</v>
      </c>
      <c r="O844" s="6" t="n">
        <v>3</v>
      </c>
      <c r="P844" s="6" t="n">
        <v>6000</v>
      </c>
      <c r="Q844" s="6" t="n">
        <v>0.75</v>
      </c>
      <c r="R844">
        <f>M844+IF(MAX(N844-1,0)&gt;0,IF(ISBLANK(O844),5*MAX(N844-1,0),IF(ISNUMBER(O844),O844*MAX(N844-1,0),SUM(IFERROR(VALUE(TEXTSPLIT(O844,",")),0)))),0)</f>
        <v/>
      </c>
      <c r="S844">
        <f>IFERROR(L844*MAX(N844,1)/R844*IF(ISBLANK(K840),1,K840),0)</f>
        <v/>
      </c>
      <c r="AB844" s="7" t="inlineStr">
        <is>
          <t>^Warhead_Sniper_Light</t>
        </is>
      </c>
    </row>
    <row r="845">
      <c r="B845" s="7" t="inlineStr">
        <is>
          <t xml:space="preserve">  ↳ SEALAttach</t>
        </is>
      </c>
      <c r="C845" s="7" t="inlineStr">
        <is>
          <t>Armament@shipc4</t>
        </is>
      </c>
      <c r="M845" s="6" t="n">
        <v>20</v>
      </c>
      <c r="N845" s="6" t="n">
        <v>1</v>
      </c>
      <c r="O845" s="6" t="n"/>
      <c r="P845" s="6" t="n">
        <v>2000</v>
      </c>
      <c r="Q845" s="6" t="n">
        <v>1</v>
      </c>
      <c r="R845">
        <f>M845+IF(MAX(N845-1,0)&gt;0,IF(ISBLANK(O845),5*MAX(N845-1,0),IF(ISNUMBER(O845),O845*MAX(N845-1,0),SUM(IFERROR(VALUE(TEXTSPLIT(O845,",")),0)))),0)</f>
        <v/>
      </c>
      <c r="S845">
        <f>IFERROR(L845*MAX(N845,1)/R845*IF(ISBLANK(K840),1,K840),0)</f>
        <v/>
      </c>
      <c r="AB845" s="7" t="inlineStr">
        <is>
          <t>TanyaAttach</t>
        </is>
      </c>
    </row>
    <row r="846">
      <c r="A846" t="inlineStr">
        <is>
          <t>redalert2mod</t>
        </is>
      </c>
      <c r="B846" t="inlineStr">
        <is>
          <t>futuretech_enforcer</t>
        </is>
      </c>
      <c r="C846" t="inlineStr">
        <is>
          <t>Enforcer</t>
        </is>
      </c>
      <c r="D846" s="6" t="inlineStr">
        <is>
          <t>MeleeInfantry</t>
        </is>
      </c>
      <c r="E846" s="6" t="n">
        <v>30000</v>
      </c>
      <c r="F846" s="6" t="n">
        <v>60</v>
      </c>
      <c r="G846" t="inlineStr">
        <is>
          <t>Plate</t>
        </is>
      </c>
      <c r="H846" s="6" t="n">
        <v>1</v>
      </c>
      <c r="I846" s="6" t="n">
        <v>1</v>
      </c>
      <c r="J846" s="6" t="n">
        <v>1</v>
      </c>
      <c r="P846">
        <f>MAX(P847,P848,P850,P851)</f>
        <v/>
      </c>
      <c r="S846">
        <f>S847+S848+S850+S851</f>
        <v/>
      </c>
      <c r="T846">
        <f>(E846/100000+F846/100+(P846/1000)*J846/5+S846/200)*200*I846*H846</f>
        <v/>
      </c>
      <c r="U846">
        <f>((E846*F846/25000)+((P846/1000)*J846*S846/2.5))*I846*H846</f>
        <v/>
      </c>
      <c r="V846">
        <f>(E846*F846*(P846/1000)*J846*S846*I846*H846)/12500000</f>
        <v/>
      </c>
      <c r="W846">
        <f>(T846+U846+V846)/3</f>
        <v/>
      </c>
      <c r="X846" s="6" t="n">
        <v>300</v>
      </c>
      <c r="Y846">
        <f>IFERROR(W846-X846,"")</f>
        <v/>
      </c>
      <c r="Z846">
        <f>IFERROR(ABS(Y846)/MAX(X846,1),"")</f>
        <v/>
      </c>
      <c r="AA846">
        <f>IFERROR((X846-(((E846/100000+F846/100+S846/200)*200*I846*H846)+((E846*F846/25000)*I846*H846))/3)/(((J846/5)*200*I846*H846)+((J846*S846/2.5)*I846*H846)+((E846*F846*J846*S846*I846*H846)/12500000))/3*1000,"")</f>
        <v/>
      </c>
    </row>
    <row r="847">
      <c r="B847" s="7" t="inlineStr">
        <is>
          <t xml:space="preserve">  ↳ FutureEnforcerShotgun</t>
        </is>
      </c>
      <c r="C847" s="7" t="inlineStr">
        <is>
          <t>Armament@PRIMARY</t>
        </is>
      </c>
      <c r="L847" s="6" t="n">
        <v>12000</v>
      </c>
      <c r="M847" s="6" t="n">
        <v>40</v>
      </c>
      <c r="N847" s="6" t="n">
        <v>1</v>
      </c>
      <c r="O847" s="6" t="n"/>
      <c r="P847" s="6" t="n">
        <v>3000</v>
      </c>
      <c r="Q847" s="6" t="n">
        <v>1</v>
      </c>
      <c r="R847">
        <f>M847+IF(MAX(N847-1,0)&gt;0,IF(ISBLANK(O847),5*MAX(N847-1,0),IF(ISNUMBER(O847),O847*MAX(N847-1,0),SUM(IFERROR(VALUE(TEXTSPLIT(O847,",")),0)))),0)</f>
        <v/>
      </c>
      <c r="S847">
        <f>IFERROR(L847*MAX(N847,1)/R847*IF(ISBLANK(K846),1,K846),0)</f>
        <v/>
      </c>
      <c r="AB847" s="7" t="inlineStr">
        <is>
          <t>^Warhead_CannonHE_Medium</t>
        </is>
      </c>
    </row>
    <row r="848">
      <c r="B848" s="7" t="inlineStr">
        <is>
          <t xml:space="preserve">  ↳ FutureEnforcerShotgunDeployed</t>
        </is>
      </c>
      <c r="C848" s="7" t="inlineStr">
        <is>
          <t>Armament@PRIMARY2</t>
        </is>
      </c>
      <c r="L848" s="6" t="n">
        <v>12000</v>
      </c>
      <c r="M848" s="6" t="n">
        <v>65</v>
      </c>
      <c r="N848" s="6" t="n">
        <v>1</v>
      </c>
      <c r="O848" s="6" t="n"/>
      <c r="P848" s="6" t="n">
        <v>6150</v>
      </c>
      <c r="Q848" s="6" t="n">
        <v>1</v>
      </c>
      <c r="R848">
        <f>M848+IF(MAX(N848-1,0)&gt;0,IF(ISBLANK(O848),5*MAX(N848-1,0),IF(ISNUMBER(O848),O848*MAX(N848-1,0),SUM(IFERROR(VALUE(TEXTSPLIT(O848,",")),0)))),0)</f>
        <v/>
      </c>
      <c r="S848">
        <f>IFERROR(L848*MAX(N848,1)/R848*IF(ISBLANK(K846),1,K846),0)</f>
        <v/>
      </c>
      <c r="AB848" s="7" t="inlineStr">
        <is>
          <t>^Warhead_CannonHE_Medium</t>
        </is>
      </c>
    </row>
    <row r="849">
      <c r="B849" s="7" t="inlineStr">
        <is>
          <t xml:space="preserve">  ↳ FutureEnforcerShotgunDeployed</t>
        </is>
      </c>
      <c r="C849" s="7" t="inlineStr">
        <is>
          <t>Armament@GARRISONED</t>
        </is>
      </c>
      <c r="L849" s="6" t="n">
        <v>12000</v>
      </c>
      <c r="M849" s="6" t="n">
        <v>65</v>
      </c>
      <c r="N849" s="6" t="n">
        <v>1</v>
      </c>
      <c r="O849" s="6" t="n"/>
      <c r="P849" s="6" t="n">
        <v>6150</v>
      </c>
      <c r="Q849" s="6" t="n">
        <v>1</v>
      </c>
      <c r="R849">
        <f>M849+IF(MAX(N849-1,0)&gt;0,IF(ISBLANK(O849),5*MAX(N849-1,0),IF(ISNUMBER(O849),O849*MAX(N849-1,0),SUM(IFERROR(VALUE(TEXTSPLIT(O849,",")),0)))),0)</f>
        <v/>
      </c>
      <c r="S849">
        <f>IFERROR(L849*MAX(N849,1)/R849*IF(ISBLANK(K846),1,K846),0)</f>
        <v/>
      </c>
      <c r="AB849" s="7" t="inlineStr">
        <is>
          <t>^Warhead_CannonHE_Medium</t>
        </is>
      </c>
    </row>
    <row r="850">
      <c r="B850" s="7" t="inlineStr">
        <is>
          <t xml:space="preserve">  ↳ FutureEnforcerShotgun_elite</t>
        </is>
      </c>
      <c r="C850" s="7" t="inlineStr">
        <is>
          <t>Armament@ELITE</t>
        </is>
      </c>
      <c r="L850" s="6" t="n">
        <v>12000</v>
      </c>
      <c r="M850" s="6" t="n">
        <v>40</v>
      </c>
      <c r="N850" s="6" t="n">
        <v>2</v>
      </c>
      <c r="O850" s="6" t="n">
        <v>3</v>
      </c>
      <c r="P850" s="6" t="n">
        <v>4000</v>
      </c>
      <c r="Q850" s="6" t="n">
        <v>1</v>
      </c>
      <c r="R850">
        <f>M850+IF(MAX(N850-1,0)&gt;0,IF(ISBLANK(O850),5*MAX(N850-1,0),IF(ISNUMBER(O850),O850*MAX(N850-1,0),SUM(IFERROR(VALUE(TEXTSPLIT(O850,",")),0)))),0)</f>
        <v/>
      </c>
      <c r="S850">
        <f>IFERROR(L850*MAX(N850,1)/R850*IF(ISBLANK(K846),1,K846),0)</f>
        <v/>
      </c>
      <c r="AB850" s="7" t="inlineStr">
        <is>
          <t>^Warhead_CannonHE_Medium</t>
        </is>
      </c>
    </row>
    <row r="851">
      <c r="B851" s="7" t="inlineStr">
        <is>
          <t xml:space="preserve">  ↳ FutureEnforcerShotgunDeployed_elite</t>
        </is>
      </c>
      <c r="C851" s="7" t="inlineStr">
        <is>
          <t>Armament@ELITE2</t>
        </is>
      </c>
      <c r="L851" s="6" t="n">
        <v>12000</v>
      </c>
      <c r="M851" s="6" t="n">
        <v>65</v>
      </c>
      <c r="N851" s="6" t="n">
        <v>2</v>
      </c>
      <c r="O851" s="6" t="n">
        <v>3</v>
      </c>
      <c r="P851" s="6" t="n">
        <v>7150</v>
      </c>
      <c r="Q851" s="6" t="n">
        <v>1</v>
      </c>
      <c r="R851">
        <f>M851+IF(MAX(N851-1,0)&gt;0,IF(ISBLANK(O851),5*MAX(N851-1,0),IF(ISNUMBER(O851),O851*MAX(N851-1,0),SUM(IFERROR(VALUE(TEXTSPLIT(O851,",")),0)))),0)</f>
        <v/>
      </c>
      <c r="S851">
        <f>IFERROR(L851*MAX(N851,1)/R851*IF(ISBLANK(K846),1,K846),0)</f>
        <v/>
      </c>
      <c r="AB851" s="7" t="inlineStr">
        <is>
          <t>^Warhead_CannonHE_Medium</t>
        </is>
      </c>
    </row>
    <row r="852">
      <c r="B852" s="7" t="inlineStr">
        <is>
          <t xml:space="preserve">  ↳ FutureEnforcerShotgunDeployed_elite</t>
        </is>
      </c>
      <c r="C852" s="7" t="inlineStr">
        <is>
          <t>Armament@GARRISONEDELITE</t>
        </is>
      </c>
      <c r="L852" s="6" t="n">
        <v>12000</v>
      </c>
      <c r="M852" s="6" t="n">
        <v>65</v>
      </c>
      <c r="N852" s="6" t="n">
        <v>2</v>
      </c>
      <c r="O852" s="6" t="n">
        <v>3</v>
      </c>
      <c r="P852" s="6" t="n">
        <v>7150</v>
      </c>
      <c r="Q852" s="6" t="n">
        <v>1</v>
      </c>
      <c r="R852">
        <f>M852+IF(MAX(N852-1,0)&gt;0,IF(ISBLANK(O852),5*MAX(N852-1,0),IF(ISNUMBER(O852),O852*MAX(N852-1,0),SUM(IFERROR(VALUE(TEXTSPLIT(O852,",")),0)))),0)</f>
        <v/>
      </c>
      <c r="S852">
        <f>IFERROR(L852*MAX(N852,1)/R852*IF(ISBLANK(K846),1,K846),0)</f>
        <v/>
      </c>
      <c r="AB852" s="7" t="inlineStr">
        <is>
          <t>^Warhead_CannonHE_Medium</t>
        </is>
      </c>
    </row>
    <row r="853">
      <c r="B853" s="7" t="inlineStr">
        <is>
          <t xml:space="preserve">  ↳ aadeploytargeting_8c0_AA</t>
        </is>
      </c>
      <c r="C853" s="7" t="inlineStr">
        <is>
          <t>Armament@BOTAA</t>
        </is>
      </c>
      <c r="M853" s="6" t="n">
        <v>50</v>
      </c>
      <c r="N853" s="6" t="n">
        <v>1</v>
      </c>
      <c r="O853" s="6" t="n"/>
      <c r="P853" s="6" t="n">
        <v>8000</v>
      </c>
      <c r="Q853" s="6" t="n">
        <v>1</v>
      </c>
      <c r="R853">
        <f>M853+IF(MAX(N853-1,0)&gt;0,IF(ISBLANK(O853),5*MAX(N853-1,0),IF(ISNUMBER(O853),O853*MAX(N853-1,0),SUM(IFERROR(VALUE(TEXTSPLIT(O853,",")),0)))),0)</f>
        <v/>
      </c>
      <c r="S853">
        <f>IFERROR(L853*MAX(N853,1)/R853*IF(ISBLANK(K846),1,K846),0)</f>
        <v/>
      </c>
      <c r="AB853" s="7" t="inlineStr">
        <is>
          <t>^AADeployTargeting</t>
        </is>
      </c>
    </row>
    <row r="854">
      <c r="A854" t="inlineStr">
        <is>
          <t>redalert2mod</t>
        </is>
      </c>
      <c r="B854" t="inlineStr">
        <is>
          <t>tkm_spetsnaz</t>
        </is>
      </c>
      <c r="C854" t="inlineStr">
        <is>
          <t>Spetsnaz</t>
        </is>
      </c>
      <c r="D854" s="6" t="inlineStr">
        <is>
          <t>MeleeInfantry</t>
        </is>
      </c>
      <c r="E854" s="6" t="n">
        <v>50000</v>
      </c>
      <c r="F854" s="6" t="n">
        <v>100</v>
      </c>
      <c r="G854" t="inlineStr">
        <is>
          <t>Plate</t>
        </is>
      </c>
      <c r="H854" s="6" t="n">
        <v>0.6522</v>
      </c>
      <c r="I854" s="6" t="n">
        <v>1</v>
      </c>
      <c r="J854" s="6" t="n">
        <v>1</v>
      </c>
      <c r="P854">
        <f>MAX(P855)</f>
        <v/>
      </c>
      <c r="S854">
        <f>S855</f>
        <v/>
      </c>
      <c r="T854">
        <f>(E854/100000+F854/100+(P854/1000)*J854/5+S854/200)*200*I854*H854</f>
        <v/>
      </c>
      <c r="U854">
        <f>((E854*F854/25000)+((P854/1000)*J854*S854/2.5))*I854*H854</f>
        <v/>
      </c>
      <c r="V854">
        <f>(E854*F854*(P854/1000)*J854*S854*I854*H854)/12500000</f>
        <v/>
      </c>
      <c r="W854">
        <f>(T854+U854+V854)/3</f>
        <v/>
      </c>
      <c r="X854" s="6" t="n">
        <v>900</v>
      </c>
      <c r="Y854">
        <f>IFERROR(W854-X854,"")</f>
        <v/>
      </c>
      <c r="Z854">
        <f>IFERROR(ABS(Y854)/MAX(X854,1),"")</f>
        <v/>
      </c>
      <c r="AA854">
        <f>IFERROR((X854-(((E854/100000+F854/100+S854/200)*200*I854*H854)+((E854*F854/25000)*I854*H854))/3)/(((J854/5)*200*I854*H854)+((J854*S854/2.5)*I854*H854)+((E854*F854*J854*S854*I854*H854)/12500000))/3*1000,"")</f>
        <v/>
      </c>
    </row>
    <row r="855">
      <c r="B855" s="7" t="inlineStr">
        <is>
          <t xml:space="preserve">  ↳ tkmsmg</t>
        </is>
      </c>
      <c r="C855" s="7" t="inlineStr">
        <is>
          <t>Armament@PRIMARY</t>
        </is>
      </c>
      <c r="L855" s="6" t="n">
        <v>2000</v>
      </c>
      <c r="M855" s="6" t="n">
        <v>10</v>
      </c>
      <c r="N855" s="6" t="n">
        <v>5</v>
      </c>
      <c r="O855" s="6" t="n">
        <v>2</v>
      </c>
      <c r="P855" s="6" t="n">
        <v>5750</v>
      </c>
      <c r="Q855" s="6" t="n">
        <v>0.75</v>
      </c>
      <c r="R855">
        <f>M855+IF(MAX(N855-1,0)&gt;0,IF(ISBLANK(O855),5*MAX(N855-1,0),IF(ISNUMBER(O855),O855*MAX(N855-1,0),SUM(IFERROR(VALUE(TEXTSPLIT(O855,",")),0)))),0)</f>
        <v/>
      </c>
      <c r="S855">
        <f>IFERROR(L855*MAX(N855,1)/R855*IF(ISBLANK(K854),1,K854),0)</f>
        <v/>
      </c>
      <c r="AB855" s="7" t="inlineStr">
        <is>
          <t>^Warhead_Sniper_Light</t>
        </is>
      </c>
    </row>
    <row r="856">
      <c r="B856" s="7" t="inlineStr">
        <is>
          <t xml:space="preserve">  ↳ tkmsmg</t>
        </is>
      </c>
      <c r="C856" s="7" t="inlineStr">
        <is>
          <t>Armament@GARRISONED</t>
        </is>
      </c>
      <c r="L856" s="6" t="n">
        <v>2000</v>
      </c>
      <c r="M856" s="6" t="n">
        <v>10</v>
      </c>
      <c r="N856" s="6" t="n">
        <v>5</v>
      </c>
      <c r="O856" s="6" t="n">
        <v>2</v>
      </c>
      <c r="P856" s="6" t="n">
        <v>5750</v>
      </c>
      <c r="Q856" s="6" t="n">
        <v>0.75</v>
      </c>
      <c r="R856">
        <f>M856+IF(MAX(N856-1,0)&gt;0,IF(ISBLANK(O856),5*MAX(N856-1,0),IF(ISNUMBER(O856),O856*MAX(N856-1,0),SUM(IFERROR(VALUE(TEXTSPLIT(O856,",")),0)))),0)</f>
        <v/>
      </c>
      <c r="S856">
        <f>IFERROR(L856*MAX(N856,1)/R856*IF(ISBLANK(K854),1,K854),0)</f>
        <v/>
      </c>
      <c r="AB856" s="7" t="inlineStr">
        <is>
          <t>^Warhead_Sniper_Light</t>
        </is>
      </c>
    </row>
    <row r="857">
      <c r="B857" s="7" t="inlineStr">
        <is>
          <t xml:space="preserve">  ↳ SEALAttach</t>
        </is>
      </c>
      <c r="C857" s="7" t="inlineStr">
        <is>
          <t>Armament@shipc4</t>
        </is>
      </c>
      <c r="M857" s="6" t="n">
        <v>20</v>
      </c>
      <c r="N857" s="6" t="n">
        <v>1</v>
      </c>
      <c r="O857" s="6" t="n"/>
      <c r="P857" s="6" t="n">
        <v>2000</v>
      </c>
      <c r="Q857" s="6" t="n">
        <v>1</v>
      </c>
      <c r="R857">
        <f>M857+IF(MAX(N857-1,0)&gt;0,IF(ISBLANK(O857),5*MAX(N857-1,0),IF(ISNUMBER(O857),O857*MAX(N857-1,0),SUM(IFERROR(VALUE(TEXTSPLIT(O857,",")),0)))),0)</f>
        <v/>
      </c>
      <c r="S857">
        <f>IFERROR(L857*MAX(N857,1)/R857*IF(ISBLANK(K854),1,K854),0)</f>
        <v/>
      </c>
      <c r="AB857" s="7" t="inlineStr">
        <is>
          <t>TanyaAttach</t>
        </is>
      </c>
    </row>
    <row r="858">
      <c r="A858" t="inlineStr">
        <is>
          <t>redalert2mod</t>
        </is>
      </c>
      <c r="B858" t="inlineStr">
        <is>
          <t>tkm_thermonaut</t>
        </is>
      </c>
      <c r="C858" t="inlineStr">
        <is>
          <t>Thermonaut</t>
        </is>
      </c>
      <c r="D858" s="6" t="inlineStr">
        <is>
          <t>MeleeInfantry</t>
        </is>
      </c>
      <c r="E858" s="6" t="n">
        <v>60000</v>
      </c>
      <c r="F858" s="6" t="n">
        <v>60</v>
      </c>
      <c r="G858" t="inlineStr">
        <is>
          <t>Plate</t>
        </is>
      </c>
      <c r="H858" s="6" t="n">
        <v>0.6522</v>
      </c>
      <c r="I858" s="6" t="n">
        <v>1</v>
      </c>
      <c r="J858" s="6" t="n">
        <v>1</v>
      </c>
      <c r="P858">
        <f>MAX(P859)</f>
        <v/>
      </c>
      <c r="S858">
        <f>S859</f>
        <v/>
      </c>
      <c r="T858">
        <f>(E858/100000+F858/100+(P858/1000)*J858/5+S858/200)*200*I858*H858</f>
        <v/>
      </c>
      <c r="U858">
        <f>((E858*F858/25000)+((P858/1000)*J858*S858/2.5))*I858*H858</f>
        <v/>
      </c>
      <c r="V858">
        <f>(E858*F858*(P858/1000)*J858*S858*I858*H858)/12500000</f>
        <v/>
      </c>
      <c r="W858">
        <f>(T858+U858+V858)/3</f>
        <v/>
      </c>
      <c r="X858" s="6" t="n">
        <v>500</v>
      </c>
      <c r="Y858">
        <f>IFERROR(W858-X858,"")</f>
        <v/>
      </c>
      <c r="Z858">
        <f>IFERROR(ABS(Y858)/MAX(X858,1),"")</f>
        <v/>
      </c>
      <c r="AA858">
        <f>IFERROR((X858-(((E858/100000+F858/100+S858/200)*200*I858*H858)+((E858*F858/25000)*I858*H858))/3)/(((J858/5)*200*I858*H858)+((J858*S858/2.5)*I858*H858)+((E858*F858*J858*S858*I858*H858)/12500000))/3*1000,"")</f>
        <v/>
      </c>
    </row>
    <row r="859">
      <c r="B859" s="7" t="inlineStr">
        <is>
          <t xml:space="preserve">  ↳ ThermoF</t>
        </is>
      </c>
      <c r="C859" s="7" t="inlineStr">
        <is>
          <t>Armament@PRIMARY</t>
        </is>
      </c>
      <c r="L859" s="6" t="n">
        <v>2000</v>
      </c>
      <c r="M859" s="6" t="n">
        <v>32</v>
      </c>
      <c r="N859" s="6" t="n">
        <v>13</v>
      </c>
      <c r="O859" s="6" t="n">
        <v>2</v>
      </c>
      <c r="P859" s="6" t="n">
        <v>3204</v>
      </c>
      <c r="Q859" s="6" t="n">
        <v>1</v>
      </c>
      <c r="R859">
        <f>M859+IF(MAX(N859-1,0)&gt;0,IF(ISBLANK(O859),5*MAX(N859-1,0),IF(ISNUMBER(O859),O859*MAX(N859-1,0),SUM(IFERROR(VALUE(TEXTSPLIT(O859,",")),0)))),0)</f>
        <v/>
      </c>
      <c r="S859">
        <f>IFERROR(L859*MAX(N859,1)/R859*IF(ISBLANK(K858),1,K858),0)</f>
        <v/>
      </c>
      <c r="AB859" s="7" t="inlineStr">
        <is>
          <t>^Warhead_Flame_Medium</t>
        </is>
      </c>
    </row>
    <row r="860">
      <c r="B860" s="7" t="inlineStr">
        <is>
          <t xml:space="preserve">  ↳ ThermoF</t>
        </is>
      </c>
      <c r="C860" s="7" t="inlineStr">
        <is>
          <t>Armament@GARRISONED</t>
        </is>
      </c>
      <c r="L860" s="6" t="n">
        <v>2000</v>
      </c>
      <c r="M860" s="6" t="n">
        <v>32</v>
      </c>
      <c r="N860" s="6" t="n">
        <v>13</v>
      </c>
      <c r="O860" s="6" t="n">
        <v>2</v>
      </c>
      <c r="P860" s="6" t="n">
        <v>3204</v>
      </c>
      <c r="Q860" s="6" t="n">
        <v>1</v>
      </c>
      <c r="R860">
        <f>M860+IF(MAX(N860-1,0)&gt;0,IF(ISBLANK(O860),5*MAX(N860-1,0),IF(ISNUMBER(O860),O860*MAX(N860-1,0),SUM(IFERROR(VALUE(TEXTSPLIT(O860,",")),0)))),0)</f>
        <v/>
      </c>
      <c r="S860">
        <f>IFERROR(L860*MAX(N860,1)/R860*IF(ISBLANK(K858),1,K858),0)</f>
        <v/>
      </c>
      <c r="AB860" s="7" t="inlineStr">
        <is>
          <t>^Warhead_Flame_Medium</t>
        </is>
      </c>
    </row>
    <row r="861">
      <c r="A861" t="inlineStr">
        <is>
          <t>redalert2mod</t>
        </is>
      </c>
      <c r="B861" t="inlineStr">
        <is>
          <t>tkmworker</t>
        </is>
      </c>
      <c r="C861" t="inlineStr">
        <is>
          <t>Worker</t>
        </is>
      </c>
      <c r="D861" s="6" t="inlineStr">
        <is>
          <t>MeleeInfantry</t>
        </is>
      </c>
      <c r="E861" s="6" t="n">
        <v>10000</v>
      </c>
      <c r="F861" s="6" t="n">
        <v>60</v>
      </c>
      <c r="G861" t="inlineStr">
        <is>
          <t>Plate</t>
        </is>
      </c>
      <c r="H861" s="6" t="n">
        <v>1</v>
      </c>
      <c r="I861" s="6" t="n">
        <v>1</v>
      </c>
      <c r="J861" s="6" t="n">
        <v>1</v>
      </c>
      <c r="P861">
        <f>MAX(P862)</f>
        <v/>
      </c>
      <c r="S861">
        <f>S862</f>
        <v/>
      </c>
      <c r="T861">
        <f>(E861/100000+F861/100+(P861/1000)*J861/5+S861/200)*200*I861*H861</f>
        <v/>
      </c>
      <c r="U861">
        <f>((E861*F861/25000)+((P861/1000)*J861*S861/2.5))*I861*H861</f>
        <v/>
      </c>
      <c r="V861">
        <f>(E861*F861*(P861/1000)*J861*S861*I861*H861)/12500000</f>
        <v/>
      </c>
      <c r="W861">
        <f>(T861+U861+V861)/3</f>
        <v/>
      </c>
      <c r="X861" s="6" t="n">
        <v>250</v>
      </c>
      <c r="Y861">
        <f>IFERROR(W861-X861,"")</f>
        <v/>
      </c>
      <c r="Z861">
        <f>IFERROR(ABS(Y861)/MAX(X861,1),"")</f>
        <v/>
      </c>
      <c r="AA861">
        <f>IFERROR((X861-(((E861/100000+F861/100+S861/200)*200*I861*H861)+((E861*F861/25000)*I861*H861))/3)/(((J861/5)*200*I861*H861)+((J861*S861/2.5)*I861*H861)+((E861*F861*J861*S861*I861*H861)/12500000))/3*1000,"")</f>
        <v/>
      </c>
    </row>
    <row r="862">
      <c r="B862" s="7" t="inlineStr">
        <is>
          <t xml:space="preserve">  ↳ RA2Shovel</t>
        </is>
      </c>
      <c r="C862" s="7" t="inlineStr">
        <is>
          <t>Armament@PRIMARY</t>
        </is>
      </c>
      <c r="L862" s="6" t="n">
        <v>2000</v>
      </c>
      <c r="M862" s="6" t="n">
        <v>30</v>
      </c>
      <c r="N862" s="6" t="n">
        <v>1</v>
      </c>
      <c r="O862" s="6" t="n"/>
      <c r="P862" s="6" t="n">
        <v>1500</v>
      </c>
      <c r="Q862" s="6" t="n">
        <v>1</v>
      </c>
      <c r="R862">
        <f>M862+IF(MAX(N862-1,0)&gt;0,IF(ISBLANK(O862),5*MAX(N862-1,0),IF(ISNUMBER(O862),O862*MAX(N862-1,0),SUM(IFERROR(VALUE(TEXTSPLIT(O862,",")),0)))),0)</f>
        <v/>
      </c>
      <c r="S862">
        <f>IFERROR(L862*MAX(N862,1)/R862*IF(ISBLANK(K861),1,K861),0)</f>
        <v/>
      </c>
      <c r="AB862" s="7" t="inlineStr">
        <is>
          <t>^Warhead_Melee_Medium</t>
        </is>
      </c>
    </row>
    <row r="863">
      <c r="B863" s="7" t="inlineStr">
        <is>
          <t xml:space="preserve">  ↳ RA2Shovel</t>
        </is>
      </c>
      <c r="C863" s="7" t="inlineStr">
        <is>
          <t>Armament@GARRISONED</t>
        </is>
      </c>
      <c r="L863" s="6" t="n">
        <v>2000</v>
      </c>
      <c r="M863" s="6" t="n">
        <v>30</v>
      </c>
      <c r="N863" s="6" t="n">
        <v>1</v>
      </c>
      <c r="O863" s="6" t="n"/>
      <c r="P863" s="6" t="n">
        <v>1500</v>
      </c>
      <c r="Q863" s="6" t="n">
        <v>1</v>
      </c>
      <c r="R863">
        <f>M863+IF(MAX(N863-1,0)&gt;0,IF(ISBLANK(O863),5*MAX(N863-1,0),IF(ISNUMBER(O863),O863*MAX(N863-1,0),SUM(IFERROR(VALUE(TEXTSPLIT(O863,",")),0)))),0)</f>
        <v/>
      </c>
      <c r="S863">
        <f>IFERROR(L863*MAX(N863,1)/R863*IF(ISBLANK(K861),1,K861),0)</f>
        <v/>
      </c>
      <c r="AB863" s="7" t="inlineStr">
        <is>
          <t>^Warhead_Melee_Medium</t>
        </is>
      </c>
    </row>
    <row r="864">
      <c r="A864" t="inlineStr">
        <is>
          <t>d2k</t>
        </is>
      </c>
      <c r="B864" t="inlineStr">
        <is>
          <t>ordos_contaminator</t>
        </is>
      </c>
      <c r="C864" t="inlineStr">
        <is>
          <t>Contaminator</t>
        </is>
      </c>
      <c r="D864" s="6" t="inlineStr">
        <is>
          <t>MeleeInfantry</t>
        </is>
      </c>
      <c r="E864" s="6" t="n">
        <v>75000</v>
      </c>
      <c r="F864" s="6" t="n">
        <v>60</v>
      </c>
      <c r="G864" t="inlineStr">
        <is>
          <t>Plate</t>
        </is>
      </c>
      <c r="H864" s="6" t="n">
        <v>1</v>
      </c>
      <c r="I864" s="6" t="n">
        <v>0.75</v>
      </c>
      <c r="J864" s="6" t="n">
        <v>1.25</v>
      </c>
      <c r="P864">
        <f>MAX(P865)</f>
        <v/>
      </c>
      <c r="S864">
        <f>S865</f>
        <v/>
      </c>
      <c r="T864">
        <f>(E864/100000+F864/100+(P864/1000)*J864/5+S864/200)*200*I864*H864</f>
        <v/>
      </c>
      <c r="U864">
        <f>((E864*F864/25000)+((P864/1000)*J864*S864/2.5))*I864*H864</f>
        <v/>
      </c>
      <c r="V864">
        <f>(E864*F864*(P864/1000)*J864*S864*I864*H864)/12500000</f>
        <v/>
      </c>
      <c r="W864">
        <f>(T864+U864+V864)/3</f>
        <v/>
      </c>
      <c r="X864" s="6" t="n">
        <v>500</v>
      </c>
      <c r="Y864">
        <f>IFERROR(W864-X864,"")</f>
        <v/>
      </c>
      <c r="Z864">
        <f>IFERROR(ABS(Y864)/MAX(X864,1),"")</f>
        <v/>
      </c>
      <c r="AA864">
        <f>IFERROR((X864-(((E864/100000+F864/100+S864/200)*200*I864*H864)+((E864*F864/25000)*I864*H864))/3)/(((J864/5)*200*I864*H864)+((J864*S864/2.5)*I864*H864)+((E864*F864*J864*S864*I864*H864)/12500000))/3*1000,"")</f>
        <v/>
      </c>
    </row>
    <row r="865">
      <c r="B865" s="7" t="inlineStr">
        <is>
          <t xml:space="preserve">  ↳ contaminator_attack</t>
        </is>
      </c>
      <c r="C865" s="7" t="inlineStr">
        <is>
          <t>Armament</t>
        </is>
      </c>
      <c r="L865" s="6" t="n">
        <v>10000</v>
      </c>
      <c r="M865" s="6" t="n">
        <v>20</v>
      </c>
      <c r="N865" s="6" t="n">
        <v>1</v>
      </c>
      <c r="O865" s="6" t="n"/>
      <c r="P865" s="6" t="n">
        <v>2000</v>
      </c>
      <c r="Q865" s="6" t="n">
        <v>1</v>
      </c>
      <c r="R865">
        <f>M865+IF(MAX(N865-1,0)&gt;0,IF(ISBLANK(O865),5*MAX(N865-1,0),IF(ISNUMBER(O865),O865*MAX(N865-1,0),SUM(IFERROR(VALUE(TEXTSPLIT(O865,",")),0)))),0)</f>
        <v/>
      </c>
      <c r="S865">
        <f>IFERROR(L865*MAX(N865,1)/R865*IF(ISBLANK(K864),1,K864),0)</f>
        <v/>
      </c>
      <c r="AB865" s="7" t="inlineStr">
        <is>
          <t>^Warhead_Melee_Medium</t>
        </is>
      </c>
    </row>
    <row r="866">
      <c r="B866" s="7" t="inlineStr">
        <is>
          <t xml:space="preserve">  ↳ contaminator_attack</t>
        </is>
      </c>
      <c r="C866" s="7" t="inlineStr">
        <is>
          <t>Armament@GARRISONED</t>
        </is>
      </c>
      <c r="L866" s="6" t="n">
        <v>10000</v>
      </c>
      <c r="M866" s="6" t="n">
        <v>20</v>
      </c>
      <c r="N866" s="6" t="n">
        <v>1</v>
      </c>
      <c r="O866" s="6" t="n"/>
      <c r="P866" s="6" t="n">
        <v>2000</v>
      </c>
      <c r="Q866" s="6" t="n">
        <v>1</v>
      </c>
      <c r="R866">
        <f>M866+IF(MAX(N866-1,0)&gt;0,IF(ISBLANK(O866),5*MAX(N866-1,0),IF(ISNUMBER(O866),O866*MAX(N866-1,0),SUM(IFERROR(VALUE(TEXTSPLIT(O866,",")),0)))),0)</f>
        <v/>
      </c>
      <c r="S866">
        <f>IFERROR(L866*MAX(N866,1)/R866*IF(ISBLANK(K864),1,K864),0)</f>
        <v/>
      </c>
      <c r="AB866" s="7" t="inlineStr">
        <is>
          <t>^Warhead_Melee_Medium</t>
        </is>
      </c>
    </row>
    <row r="867">
      <c r="A867" t="inlineStr">
        <is>
          <t>d2k</t>
        </is>
      </c>
      <c r="B867" t="inlineStr">
        <is>
          <t>apparition.ixian</t>
        </is>
      </c>
      <c r="C867" t="inlineStr">
        <is>
          <t>Apparition</t>
        </is>
      </c>
      <c r="D867" s="6" t="inlineStr">
        <is>
          <t>MeleeInfantry</t>
        </is>
      </c>
      <c r="E867" s="6" t="n">
        <v>37500</v>
      </c>
      <c r="F867" s="6" t="n">
        <v>160</v>
      </c>
      <c r="G867" t="inlineStr">
        <is>
          <t>Plate</t>
        </is>
      </c>
      <c r="H867" s="6" t="n">
        <v>1</v>
      </c>
      <c r="I867" s="6" t="n">
        <v>1</v>
      </c>
      <c r="J867" s="6" t="n">
        <v>1</v>
      </c>
      <c r="P867">
        <f>MAX(P868,P869)</f>
        <v/>
      </c>
      <c r="S867">
        <f>S868+S869</f>
        <v/>
      </c>
      <c r="T867">
        <f>(E867/100000+F867/100+(P867/1000)*J867/5+S867/200)*200*I867*H867</f>
        <v/>
      </c>
      <c r="U867">
        <f>((E867*F867/25000)+((P867/1000)*J867*S867/2.5))*I867*H867</f>
        <v/>
      </c>
      <c r="V867">
        <f>(E867*F867*(P867/1000)*J867*S867*I867*H867)/12500000</f>
        <v/>
      </c>
      <c r="W867">
        <f>(T867+U867+V867)/3</f>
        <v/>
      </c>
      <c r="X867" s="6" t="n">
        <v>2000</v>
      </c>
      <c r="Y867">
        <f>IFERROR(W867-X867,"")</f>
        <v/>
      </c>
      <c r="Z867">
        <f>IFERROR(ABS(Y867)/MAX(X867,1),"")</f>
        <v/>
      </c>
      <c r="AA867">
        <f>IFERROR((X867-(((E867/100000+F867/100+S867/200)*200*I867*H867)+((E867*F867/25000)*I867*H867))/3)/(((J867/5)*200*I867*H867)+((J867*S867/2.5)*I867*H867)+((E867*F867*J867*S867*I867*H867)/12500000))/3*1000,"")</f>
        <v/>
      </c>
    </row>
    <row r="868">
      <c r="B868" s="7" t="inlineStr">
        <is>
          <t xml:space="preserve">  ↳ d2k_basq</t>
        </is>
      </c>
      <c r="C868" s="7" t="inlineStr">
        <is>
          <t>Armament</t>
        </is>
      </c>
      <c r="L868" s="6" t="n">
        <v>32000</v>
      </c>
      <c r="M868" s="6" t="n">
        <v>25</v>
      </c>
      <c r="N868" s="6" t="n">
        <v>1</v>
      </c>
      <c r="O868" s="6" t="n"/>
      <c r="P868" s="6" t="n">
        <v>3333</v>
      </c>
      <c r="Q868" s="6" t="n">
        <v>0.75</v>
      </c>
      <c r="R868">
        <f>M868+IF(MAX(N868-1,0)&gt;0,IF(ISBLANK(O868),5*MAX(N868-1,0),IF(ISNUMBER(O868),O868*MAX(N868-1,0),SUM(IFERROR(VALUE(TEXTSPLIT(O868,",")),0)))),0)</f>
        <v/>
      </c>
      <c r="S868">
        <f>IFERROR(L868*MAX(N868,1)/R868*IF(ISBLANK(K867),1,K867),0)</f>
        <v/>
      </c>
      <c r="AB868" s="7" t="inlineStr">
        <is>
          <t>^Warhead_Flak_Light</t>
        </is>
      </c>
    </row>
    <row r="869">
      <c r="B869" s="7" t="inlineStr">
        <is>
          <t xml:space="preserve">  ↳ d2k_basq_AA</t>
        </is>
      </c>
      <c r="C869" s="7" t="inlineStr">
        <is>
          <t>Armament@aa</t>
        </is>
      </c>
      <c r="L869" s="6" t="n">
        <v>32000</v>
      </c>
      <c r="M869" s="6" t="n">
        <v>25</v>
      </c>
      <c r="N869" s="6" t="n">
        <v>1</v>
      </c>
      <c r="O869" s="6" t="n"/>
      <c r="P869" s="6" t="n">
        <v>6666</v>
      </c>
      <c r="Q869" s="6" t="n">
        <v>0.75</v>
      </c>
      <c r="R869">
        <f>M869+IF(MAX(N869-1,0)&gt;0,IF(ISBLANK(O869),5*MAX(N869-1,0),IF(ISNUMBER(O869),O869*MAX(N869-1,0),SUM(IFERROR(VALUE(TEXTSPLIT(O869,",")),0)))),0)</f>
        <v/>
      </c>
      <c r="S869">
        <f>IFERROR(L869*MAX(N869,1)/R869*IF(ISBLANK(K867),1,K867),0)</f>
        <v/>
      </c>
      <c r="AB869" s="7" t="inlineStr">
        <is>
          <t>^Warhead_Flak_Light</t>
        </is>
      </c>
    </row>
    <row r="870">
      <c r="A870" t="inlineStr">
        <is>
          <t>d2k</t>
        </is>
      </c>
      <c r="B870" t="inlineStr">
        <is>
          <t>heavy_inf.ixian</t>
        </is>
      </c>
      <c r="C870" t="inlineStr">
        <is>
          <t>Rashidan</t>
        </is>
      </c>
      <c r="D870" s="6" t="inlineStr">
        <is>
          <t>MeleeInfantry</t>
        </is>
      </c>
      <c r="E870" s="6" t="n">
        <v>32000</v>
      </c>
      <c r="F870" s="6" t="n">
        <v>50</v>
      </c>
      <c r="G870" t="inlineStr">
        <is>
          <t>Plate</t>
        </is>
      </c>
      <c r="H870" s="6" t="n">
        <v>1</v>
      </c>
      <c r="I870" s="6" t="n">
        <v>1</v>
      </c>
      <c r="J870" s="6" t="n">
        <v>1</v>
      </c>
      <c r="P870">
        <f>MAX(P871,P872)</f>
        <v/>
      </c>
      <c r="S870">
        <f>S871+S872</f>
        <v/>
      </c>
      <c r="T870">
        <f>(E870/100000+F870/100+(P870/1000)*J870/5+S870/200)*200*I870*H870</f>
        <v/>
      </c>
      <c r="U870">
        <f>((E870*F870/25000)+((P870/1000)*J870*S870/2.5))*I870*H870</f>
        <v/>
      </c>
      <c r="V870">
        <f>(E870*F870*(P870/1000)*J870*S870*I870*H870)/12500000</f>
        <v/>
      </c>
      <c r="W870">
        <f>(T870+U870+V870)/3</f>
        <v/>
      </c>
      <c r="X870" s="6" t="n">
        <v>400</v>
      </c>
      <c r="Y870">
        <f>IFERROR(W870-X870,"")</f>
        <v/>
      </c>
      <c r="Z870">
        <f>IFERROR(ABS(Y870)/MAX(X870,1),"")</f>
        <v/>
      </c>
      <c r="AA870">
        <f>IFERROR((X870-(((E870/100000+F870/100+S870/200)*200*I870*H870)+((E870*F870/25000)*I870*H870))/3)/(((J870/5)*200*I870*H870)+((J870*S870/2.5)*I870*H870)+((E870*F870*J870*S870*I870*H870)/12500000))/3*1000,"")</f>
        <v/>
      </c>
    </row>
    <row r="871">
      <c r="B871" s="7" t="inlineStr">
        <is>
          <t xml:space="preserve">  ↳ RashidanGun</t>
        </is>
      </c>
      <c r="C871" s="7" t="inlineStr">
        <is>
          <t>Armament@PRIMARY</t>
        </is>
      </c>
      <c r="L871" s="6" t="n">
        <v>8000</v>
      </c>
      <c r="M871" s="6" t="n">
        <v>69</v>
      </c>
      <c r="N871" s="6" t="n">
        <v>4</v>
      </c>
      <c r="O871" s="6" t="n">
        <v>0</v>
      </c>
      <c r="P871" s="6" t="n">
        <v>3800</v>
      </c>
      <c r="Q871" s="6" t="n">
        <v>1</v>
      </c>
      <c r="R871">
        <f>M871+IF(MAX(N871-1,0)&gt;0,IF(ISBLANK(O871),5*MAX(N871-1,0),IF(ISNUMBER(O871),O871*MAX(N871-1,0),SUM(IFERROR(VALUE(TEXTSPLIT(O871,",")),0)))),0)</f>
        <v/>
      </c>
      <c r="S871">
        <f>IFERROR(L871*MAX(N871,1)/R871*IF(ISBLANK(K870),1,K870),0)</f>
        <v/>
      </c>
      <c r="AB871" s="7" t="inlineStr">
        <is>
          <t>^LightMissile, ^MediumMissile, ^SmallArms, ^Chaingun</t>
        </is>
      </c>
    </row>
    <row r="872">
      <c r="B872" s="7" t="inlineStr">
        <is>
          <t xml:space="preserve">  ↳ RashidanGun_upgrade</t>
        </is>
      </c>
      <c r="C872" s="7" t="inlineStr">
        <is>
          <t>Armament@Upgrade</t>
        </is>
      </c>
      <c r="L872" s="6" t="n">
        <v>16000</v>
      </c>
      <c r="M872" s="6" t="n">
        <v>69</v>
      </c>
      <c r="N872" s="6" t="n">
        <v>4</v>
      </c>
      <c r="O872" s="6" t="n">
        <v>0</v>
      </c>
      <c r="P872" s="6" t="n">
        <v>3800</v>
      </c>
      <c r="Q872" s="6" t="n">
        <v>1.25</v>
      </c>
      <c r="R872">
        <f>M872+IF(MAX(N872-1,0)&gt;0,IF(ISBLANK(O872),5*MAX(N872-1,0),IF(ISNUMBER(O872),O872*MAX(N872-1,0),SUM(IFERROR(VALUE(TEXTSPLIT(O872,",")),0)))),0)</f>
        <v/>
      </c>
      <c r="S872">
        <f>IFERROR(L872*MAX(N872,1)/R872*IF(ISBLANK(K870),1,K870),0)</f>
        <v/>
      </c>
      <c r="AB872" s="7" t="inlineStr">
        <is>
          <t>^Warhead_CannonHE_Heavy, ^Warhead_MissileHE_Heavy</t>
        </is>
      </c>
    </row>
    <row r="873">
      <c r="B873" s="7" t="inlineStr">
        <is>
          <t xml:space="preserve">  ↳ RashidanGun</t>
        </is>
      </c>
      <c r="C873" s="7" t="inlineStr">
        <is>
          <t>Armament@GARRISONED</t>
        </is>
      </c>
      <c r="L873" s="6" t="n">
        <v>8000</v>
      </c>
      <c r="M873" s="6" t="n">
        <v>69</v>
      </c>
      <c r="N873" s="6" t="n">
        <v>4</v>
      </c>
      <c r="O873" s="6" t="n">
        <v>0</v>
      </c>
      <c r="P873" s="6" t="n">
        <v>3800</v>
      </c>
      <c r="Q873" s="6" t="n">
        <v>1</v>
      </c>
      <c r="R873">
        <f>M873+IF(MAX(N873-1,0)&gt;0,IF(ISBLANK(O873),5*MAX(N873-1,0),IF(ISNUMBER(O873),O873*MAX(N873-1,0),SUM(IFERROR(VALUE(TEXTSPLIT(O873,",")),0)))),0)</f>
        <v/>
      </c>
      <c r="S873">
        <f>IFERROR(L873*MAX(N873,1)/R873*IF(ISBLANK(K870),1,K870),0)</f>
        <v/>
      </c>
      <c r="AB873" s="7" t="inlineStr">
        <is>
          <t>^LightMissile, ^MediumMissile, ^SmallArms, ^Chaingun</t>
        </is>
      </c>
    </row>
    <row r="874">
      <c r="B874" s="7" t="inlineStr">
        <is>
          <t xml:space="preserve">  ↳ RashidanGun_upgrade</t>
        </is>
      </c>
      <c r="C874" s="7" t="inlineStr">
        <is>
          <t>Armament@UpgradeGARRISONED</t>
        </is>
      </c>
      <c r="L874" s="6" t="n">
        <v>16000</v>
      </c>
      <c r="M874" s="6" t="n">
        <v>69</v>
      </c>
      <c r="N874" s="6" t="n">
        <v>4</v>
      </c>
      <c r="O874" s="6" t="n">
        <v>0</v>
      </c>
      <c r="P874" s="6" t="n">
        <v>3800</v>
      </c>
      <c r="Q874" s="6" t="n">
        <v>1.25</v>
      </c>
      <c r="R874">
        <f>M874+IF(MAX(N874-1,0)&gt;0,IF(ISBLANK(O874),5*MAX(N874-1,0),IF(ISNUMBER(O874),O874*MAX(N874-1,0),SUM(IFERROR(VALUE(TEXTSPLIT(O874,",")),0)))),0)</f>
        <v/>
      </c>
      <c r="S874">
        <f>IFERROR(L874*MAX(N874,1)/R874*IF(ISBLANK(K870),1,K870),0)</f>
        <v/>
      </c>
      <c r="AB874" s="7" t="inlineStr">
        <is>
          <t>^Warhead_CannonHE_Heavy, ^Warhead_MissileHE_Heavy</t>
        </is>
      </c>
    </row>
    <row r="875">
      <c r="A875" t="inlineStr">
        <is>
          <t>starcraft</t>
        </is>
      </c>
      <c r="B875" t="inlineStr">
        <is>
          <t>protoss_amaranth</t>
        </is>
      </c>
      <c r="C875" t="inlineStr">
        <is>
          <t>Amaranth</t>
        </is>
      </c>
      <c r="D875" s="6" t="inlineStr">
        <is>
          <t>MeleeInfantry</t>
        </is>
      </c>
      <c r="E875" s="6" t="n">
        <v>70000</v>
      </c>
      <c r="F875" s="6" t="n">
        <v>70</v>
      </c>
      <c r="G875" t="inlineStr">
        <is>
          <t>Plate</t>
        </is>
      </c>
      <c r="H875" s="6" t="n">
        <v>1</v>
      </c>
      <c r="I875" s="6" t="n">
        <v>0.75</v>
      </c>
      <c r="J875" s="6" t="n">
        <v>1.25</v>
      </c>
      <c r="P875">
        <f>MAX(P876)</f>
        <v/>
      </c>
      <c r="S875">
        <f>S876</f>
        <v/>
      </c>
      <c r="T875">
        <f>(E875/100000+F875/100+(P875/1000)*J875/5+S875/200)*200*I875*H875</f>
        <v/>
      </c>
      <c r="U875">
        <f>((E875*F875/25000)+((P875/1000)*J875*S875/2.5))*I875*H875</f>
        <v/>
      </c>
      <c r="V875">
        <f>(E875*F875*(P875/1000)*J875*S875*I875*H875)/12500000</f>
        <v/>
      </c>
      <c r="W875">
        <f>(T875+U875+V875)/3</f>
        <v/>
      </c>
      <c r="X875" s="6" t="n">
        <v>1200</v>
      </c>
      <c r="Y875">
        <f>IFERROR(W875-X875,"")</f>
        <v/>
      </c>
      <c r="Z875">
        <f>IFERROR(ABS(Y875)/MAX(X875,1),"")</f>
        <v/>
      </c>
      <c r="AA875">
        <f>IFERROR((X875-(((E875/100000+F875/100+S875/200)*200*I875*H875)+((E875*F875/25000)*I875*H875))/3)/(((J875/5)*200*I875*H875)+((J875*S875/2.5)*I875*H875)+((E875*F875*J875*S875*I875*H875)/12500000))/3*1000,"")</f>
        <v/>
      </c>
    </row>
    <row r="876">
      <c r="B876" s="7" t="inlineStr">
        <is>
          <t xml:space="preserve">  ↳ WarpBladeAmaranth</t>
        </is>
      </c>
      <c r="C876" s="7" t="inlineStr">
        <is>
          <t>Armament</t>
        </is>
      </c>
      <c r="L876" s="6" t="n">
        <v>30000</v>
      </c>
      <c r="M876" s="6" t="n">
        <v>20</v>
      </c>
      <c r="N876" s="6" t="n">
        <v>1</v>
      </c>
      <c r="O876" s="6" t="n"/>
      <c r="P876" s="6" t="n">
        <v>1840</v>
      </c>
      <c r="Q876" s="6" t="n">
        <v>1</v>
      </c>
      <c r="R876">
        <f>M876+IF(MAX(N876-1,0)&gt;0,IF(ISBLANK(O876),5*MAX(N876-1,0),IF(ISNUMBER(O876),O876*MAX(N876-1,0),SUM(IFERROR(VALUE(TEXTSPLIT(O876,",")),0)))),0)</f>
        <v/>
      </c>
      <c r="S876">
        <f>IFERROR(L876*MAX(N876,1)/R876*IF(ISBLANK(K875),1,K875),0)</f>
        <v/>
      </c>
      <c r="AB876" s="7" t="inlineStr">
        <is>
          <t>^Warhead_Melee_Medium</t>
        </is>
      </c>
    </row>
    <row r="877">
      <c r="A877" t="inlineStr">
        <is>
          <t>starcraft</t>
        </is>
      </c>
      <c r="B877" t="inlineStr">
        <is>
          <t>protoss_darktemplar</t>
        </is>
      </c>
      <c r="C877" t="inlineStr">
        <is>
          <t>Dark Templar</t>
        </is>
      </c>
      <c r="D877" s="6" t="inlineStr">
        <is>
          <t>MeleeInfantry</t>
        </is>
      </c>
      <c r="E877" s="6" t="n">
        <v>50000</v>
      </c>
      <c r="F877" s="6" t="n">
        <v>75</v>
      </c>
      <c r="G877" t="inlineStr">
        <is>
          <t>Plate</t>
        </is>
      </c>
      <c r="H877" s="6" t="n">
        <v>1</v>
      </c>
      <c r="I877" s="6" t="n">
        <v>0.75</v>
      </c>
      <c r="J877" s="6" t="n">
        <v>1.25</v>
      </c>
      <c r="P877">
        <f>MAX(P878)</f>
        <v/>
      </c>
      <c r="S877">
        <f>S878</f>
        <v/>
      </c>
      <c r="T877">
        <f>(E877/100000+F877/100+(P877/1000)*J877/5+S877/200)*200*I877*H877</f>
        <v/>
      </c>
      <c r="U877">
        <f>((E877*F877/25000)+((P877/1000)*J877*S877/2.5))*I877*H877</f>
        <v/>
      </c>
      <c r="V877">
        <f>(E877*F877*(P877/1000)*J877*S877*I877*H877)/12500000</f>
        <v/>
      </c>
      <c r="W877">
        <f>(T877+U877+V877)/3</f>
        <v/>
      </c>
      <c r="X877" s="6" t="n">
        <v>600</v>
      </c>
      <c r="Y877">
        <f>IFERROR(W877-X877,"")</f>
        <v/>
      </c>
      <c r="Z877">
        <f>IFERROR(ABS(Y877)/MAX(X877,1),"")</f>
        <v/>
      </c>
      <c r="AA877">
        <f>IFERROR((X877-(((E877/100000+F877/100+S877/200)*200*I877*H877)+((E877*F877/25000)*I877*H877))/3)/(((J877/5)*200*I877*H877)+((J877*S877/2.5)*I877*H877)+((E877*F877*J877*S877*I877*H877)/12500000))/3*1000,"")</f>
        <v/>
      </c>
    </row>
    <row r="878">
      <c r="B878" s="7" t="inlineStr">
        <is>
          <t xml:space="preserve">  ↳ WarpBlade</t>
        </is>
      </c>
      <c r="C878" s="7" t="inlineStr">
        <is>
          <t>Armament</t>
        </is>
      </c>
      <c r="L878" s="6" t="n">
        <v>20000</v>
      </c>
      <c r="M878" s="6" t="n">
        <v>25</v>
      </c>
      <c r="N878" s="6" t="n">
        <v>1</v>
      </c>
      <c r="O878" s="6" t="n"/>
      <c r="P878" s="6" t="n">
        <v>1600</v>
      </c>
      <c r="Q878" s="6" t="n">
        <v>1</v>
      </c>
      <c r="R878">
        <f>M878+IF(MAX(N878-1,0)&gt;0,IF(ISBLANK(O878),5*MAX(N878-1,0),IF(ISNUMBER(O878),O878*MAX(N878-1,0),SUM(IFERROR(VALUE(TEXTSPLIT(O878,",")),0)))),0)</f>
        <v/>
      </c>
      <c r="S878">
        <f>IFERROR(L878*MAX(N878,1)/R878*IF(ISBLANK(K877),1,K877),0)</f>
        <v/>
      </c>
      <c r="AB878" s="7" t="inlineStr">
        <is>
          <t>^Warhead_Melee_Medium</t>
        </is>
      </c>
    </row>
    <row r="879">
      <c r="A879" t="inlineStr">
        <is>
          <t>starcraft</t>
        </is>
      </c>
      <c r="B879" t="inlineStr">
        <is>
          <t>protoss_legionnaire</t>
        </is>
      </c>
      <c r="C879" t="inlineStr">
        <is>
          <t>Legionnaire</t>
        </is>
      </c>
      <c r="D879" s="6" t="inlineStr">
        <is>
          <t>MeleeInfantry</t>
        </is>
      </c>
      <c r="E879" s="6" t="n">
        <v>60000</v>
      </c>
      <c r="F879" s="6" t="n">
        <v>60</v>
      </c>
      <c r="G879" t="inlineStr">
        <is>
          <t>Plate</t>
        </is>
      </c>
      <c r="H879" s="6" t="n">
        <v>1</v>
      </c>
      <c r="I879" s="6" t="n">
        <v>0.75</v>
      </c>
      <c r="J879" s="6" t="n">
        <v>1</v>
      </c>
      <c r="P879">
        <f>MAX(P880)</f>
        <v/>
      </c>
      <c r="S879">
        <f>S880</f>
        <v/>
      </c>
      <c r="T879">
        <f>(E879/100000+F879/100+(P879/1000)*J879/5+S879/200)*200*I879*H879</f>
        <v/>
      </c>
      <c r="U879">
        <f>((E879*F879/25000)+((P879/1000)*J879*S879/2.5))*I879*H879</f>
        <v/>
      </c>
      <c r="V879">
        <f>(E879*F879*(P879/1000)*J879*S879*I879*H879)/12500000</f>
        <v/>
      </c>
      <c r="W879">
        <f>(T879+U879+V879)/3</f>
        <v/>
      </c>
      <c r="X879" s="6" t="n">
        <v>700</v>
      </c>
      <c r="Y879">
        <f>IFERROR(W879-X879,"")</f>
        <v/>
      </c>
      <c r="Z879">
        <f>IFERROR(ABS(Y879)/MAX(X879,1),"")</f>
        <v/>
      </c>
      <c r="AA879">
        <f>IFERROR((X879-(((E879/100000+F879/100+S879/200)*200*I879*H879)+((E879*F879/25000)*I879*H879))/3)/(((J879/5)*200*I879*H879)+((J879*S879/2.5)*I879*H879)+((E879*F879*J879*S879*I879*H879)/12500000))/3*1000,"")</f>
        <v/>
      </c>
    </row>
    <row r="880">
      <c r="B880" s="7" t="inlineStr">
        <is>
          <t xml:space="preserve">  ↳ psi_spear</t>
        </is>
      </c>
      <c r="C880" s="7" t="inlineStr">
        <is>
          <t>Armament</t>
        </is>
      </c>
      <c r="L880" s="6" t="n">
        <v>32000</v>
      </c>
      <c r="M880" s="6" t="n">
        <v>26</v>
      </c>
      <c r="N880" s="6" t="n">
        <v>1</v>
      </c>
      <c r="O880" s="6" t="n"/>
      <c r="P880" s="6" t="n">
        <v>1337</v>
      </c>
      <c r="Q880" s="6" t="n">
        <v>1</v>
      </c>
      <c r="R880">
        <f>M880+IF(MAX(N880-1,0)&gt;0,IF(ISBLANK(O880),5*MAX(N880-1,0),IF(ISNUMBER(O880),O880*MAX(N880-1,0),SUM(IFERROR(VALUE(TEXTSPLIT(O880,",")),0)))),0)</f>
        <v/>
      </c>
      <c r="S880">
        <f>IFERROR(L880*MAX(N880,1)/R880*IF(ISBLANK(K879),1,K879),0)</f>
        <v/>
      </c>
      <c r="AB880" s="7" t="inlineStr">
        <is>
          <t>^Warhead_Melee_Medium</t>
        </is>
      </c>
    </row>
    <row r="881">
      <c r="A881" t="inlineStr">
        <is>
          <t>starcraft</t>
        </is>
      </c>
      <c r="B881" t="inlineStr">
        <is>
          <t>protoss_zealot</t>
        </is>
      </c>
      <c r="C881" t="inlineStr">
        <is>
          <t>Zealot</t>
        </is>
      </c>
      <c r="D881" s="6" t="inlineStr">
        <is>
          <t>MeleeInfantry</t>
        </is>
      </c>
      <c r="E881" s="6" t="n">
        <v>40000</v>
      </c>
      <c r="F881" s="6" t="n">
        <v>70</v>
      </c>
      <c r="G881" t="inlineStr">
        <is>
          <t>Plate</t>
        </is>
      </c>
      <c r="H881" s="6" t="n">
        <v>1</v>
      </c>
      <c r="I881" s="6" t="n">
        <v>0.75</v>
      </c>
      <c r="J881" s="6" t="n">
        <v>1</v>
      </c>
      <c r="P881">
        <f>MAX(P882)</f>
        <v/>
      </c>
      <c r="S881">
        <f>S882</f>
        <v/>
      </c>
      <c r="T881">
        <f>(E881/100000+F881/100+(P881/1000)*J881/5+S881/200)*200*I881*H881</f>
        <v/>
      </c>
      <c r="U881">
        <f>((E881*F881/25000)+((P881/1000)*J881*S881/2.5))*I881*H881</f>
        <v/>
      </c>
      <c r="V881">
        <f>(E881*F881*(P881/1000)*J881*S881*I881*H881)/12500000</f>
        <v/>
      </c>
      <c r="W881">
        <f>(T881+U881+V881)/3</f>
        <v/>
      </c>
      <c r="X881" s="6" t="n">
        <v>300</v>
      </c>
      <c r="Y881">
        <f>IFERROR(W881-X881,"")</f>
        <v/>
      </c>
      <c r="Z881">
        <f>IFERROR(ABS(Y881)/MAX(X881,1),"")</f>
        <v/>
      </c>
      <c r="AA881">
        <f>IFERROR((X881-(((E881/100000+F881/100+S881/200)*200*I881*H881)+((E881*F881/25000)*I881*H881))/3)/(((J881/5)*200*I881*H881)+((J881*S881/2.5)*I881*H881)+((E881*F881*J881*S881*I881*H881)/12500000))/3*1000,"")</f>
        <v/>
      </c>
    </row>
    <row r="882">
      <c r="B882" s="7" t="inlineStr">
        <is>
          <t xml:space="preserve">  ↳ psi_blades</t>
        </is>
      </c>
      <c r="C882" s="7" t="inlineStr">
        <is>
          <t>Armament</t>
        </is>
      </c>
      <c r="L882" s="6" t="n">
        <v>8000</v>
      </c>
      <c r="M882" s="6" t="n">
        <v>30</v>
      </c>
      <c r="N882" s="6" t="n">
        <v>2</v>
      </c>
      <c r="O882" s="6" t="n">
        <v>6</v>
      </c>
      <c r="P882" s="6" t="n">
        <v>1335</v>
      </c>
      <c r="Q882" s="6" t="n">
        <v>1</v>
      </c>
      <c r="R882">
        <f>M882+IF(MAX(N882-1,0)&gt;0,IF(ISBLANK(O882),5*MAX(N882-1,0),IF(ISNUMBER(O882),O882*MAX(N882-1,0),SUM(IFERROR(VALUE(TEXTSPLIT(O882,",")),0)))),0)</f>
        <v/>
      </c>
      <c r="S882">
        <f>IFERROR(L882*MAX(N882,1)/R882*IF(ISBLANK(K881),1,K881),0)</f>
        <v/>
      </c>
      <c r="AB882" s="7" t="inlineStr">
        <is>
          <t>^Warhead_Melee_Medium</t>
        </is>
      </c>
    </row>
    <row r="883">
      <c r="A883" t="inlineStr">
        <is>
          <t>starcraft</t>
        </is>
      </c>
      <c r="B883" t="inlineStr">
        <is>
          <t>zerg_infestedterranbomber</t>
        </is>
      </c>
      <c r="C883" t="inlineStr">
        <is>
          <t>Infested Terran Bomber</t>
        </is>
      </c>
      <c r="D883" s="6" t="inlineStr">
        <is>
          <t>MeleeInfantry</t>
        </is>
      </c>
      <c r="E883" s="6" t="n">
        <v>60000</v>
      </c>
      <c r="F883" s="6" t="n">
        <v>90</v>
      </c>
      <c r="G883" t="inlineStr">
        <is>
          <t>Plate</t>
        </is>
      </c>
      <c r="H883" s="6" t="n">
        <v>0.7674</v>
      </c>
      <c r="I883" s="6" t="n">
        <v>1</v>
      </c>
      <c r="J883" s="6" t="n">
        <v>1</v>
      </c>
      <c r="X883" s="6" t="n">
        <v>400</v>
      </c>
    </row>
    <row r="884">
      <c r="B884" s="7" t="inlineStr">
        <is>
          <t xml:space="preserve">  ↳ DemoTruckTargeting</t>
        </is>
      </c>
      <c r="C884" s="7" t="inlineStr">
        <is>
          <t>Armament@PRIMARY</t>
        </is>
      </c>
      <c r="M884" s="6" t="n">
        <v>1</v>
      </c>
      <c r="N884" s="6" t="n">
        <v>1</v>
      </c>
      <c r="O884" s="6" t="n"/>
      <c r="P884" s="6" t="n">
        <v>2000</v>
      </c>
      <c r="Q884" s="6" t="n">
        <v>1</v>
      </c>
      <c r="R884">
        <f>M884+IF(MAX(N884-1,0)&gt;0,IF(ISBLANK(O884),5*MAX(N884-1,0),IF(ISNUMBER(O884),O884*MAX(N884-1,0),SUM(IFERROR(VALUE(TEXTSPLIT(O884,",")),0)))),0)</f>
        <v/>
      </c>
      <c r="S884">
        <f>IFERROR(L884*MAX(N884,1)/R884*IF(ISBLANK(K883),1,K883),0)</f>
        <v/>
      </c>
      <c r="AB884" s="7" t="inlineStr"/>
    </row>
    <row r="885">
      <c r="A885" t="inlineStr">
        <is>
          <t>starcraft</t>
        </is>
      </c>
      <c r="B885" t="inlineStr">
        <is>
          <t>zerg_talon</t>
        </is>
      </c>
      <c r="C885" t="inlineStr">
        <is>
          <t>Talon</t>
        </is>
      </c>
      <c r="D885" s="6" t="inlineStr">
        <is>
          <t>MeleeInfantry</t>
        </is>
      </c>
      <c r="E885" s="6" t="n">
        <v>32000</v>
      </c>
      <c r="F885" s="6" t="n">
        <v>160</v>
      </c>
      <c r="G885" t="inlineStr">
        <is>
          <t>Plate</t>
        </is>
      </c>
      <c r="H885" s="6" t="n">
        <v>1</v>
      </c>
      <c r="I885" s="6" t="n">
        <v>0.75</v>
      </c>
      <c r="J885" s="6" t="n">
        <v>1</v>
      </c>
      <c r="P885">
        <f>MAX(P886)</f>
        <v/>
      </c>
      <c r="S885">
        <f>S886</f>
        <v/>
      </c>
      <c r="T885">
        <f>(E885/100000+F885/100+(P885/1000)*J885/5+S885/200)*200*I885*H885</f>
        <v/>
      </c>
      <c r="U885">
        <f>((E885*F885/25000)+((P885/1000)*J885*S885/2.5))*I885*H885</f>
        <v/>
      </c>
      <c r="V885">
        <f>(E885*F885*(P885/1000)*J885*S885*I885*H885)/12500000</f>
        <v/>
      </c>
      <c r="W885">
        <f>(T885+U885+V885)/3</f>
        <v/>
      </c>
      <c r="X885" s="6" t="n">
        <v>300</v>
      </c>
      <c r="Y885">
        <f>IFERROR(W885-X885,"")</f>
        <v/>
      </c>
      <c r="Z885">
        <f>IFERROR(ABS(Y885)/MAX(X885,1),"")</f>
        <v/>
      </c>
      <c r="AA885">
        <f>IFERROR((X885-(((E885/100000+F885/100+S885/200)*200*I885*H885)+((E885*F885/25000)*I885*H885))/3)/(((J885/5)*200*I885*H885)+((J885*S885/2.5)*I885*H885)+((E885*F885*J885*S885*I885*H885)/12500000))/3*1000,"")</f>
        <v/>
      </c>
    </row>
    <row r="886">
      <c r="B886" s="7" t="inlineStr">
        <is>
          <t xml:space="preserve">  ↳ TalonClaw</t>
        </is>
      </c>
      <c r="C886" s="7" t="inlineStr">
        <is>
          <t>Armament</t>
        </is>
      </c>
      <c r="L886" s="6" t="n">
        <v>6000</v>
      </c>
      <c r="M886" s="6" t="n">
        <v>15</v>
      </c>
      <c r="N886" s="6" t="n">
        <v>1</v>
      </c>
      <c r="O886" s="6" t="n"/>
      <c r="P886" s="6" t="n">
        <v>1680</v>
      </c>
      <c r="Q886" s="6" t="n">
        <v>1</v>
      </c>
      <c r="R886">
        <f>M886+IF(MAX(N886-1,0)&gt;0,IF(ISBLANK(O886),5*MAX(N886-1,0),IF(ISNUMBER(O886),O886*MAX(N886-1,0),SUM(IFERROR(VALUE(TEXTSPLIT(O886,",")),0)))),0)</f>
        <v/>
      </c>
      <c r="S886">
        <f>IFERROR(L886*MAX(N886,1)/R886*IF(ISBLANK(K885),1,K885),0)</f>
        <v/>
      </c>
      <c r="AB886" s="7" t="inlineStr">
        <is>
          <t>^Warhead_Melee_Medium</t>
        </is>
      </c>
    </row>
    <row r="887">
      <c r="A887" t="inlineStr">
        <is>
          <t>starcraft</t>
        </is>
      </c>
      <c r="B887" t="inlineStr">
        <is>
          <t>zerg_zergling</t>
        </is>
      </c>
      <c r="C887" t="inlineStr">
        <is>
          <t>Zergling</t>
        </is>
      </c>
      <c r="D887" s="6" t="inlineStr">
        <is>
          <t>MeleeInfantry</t>
        </is>
      </c>
      <c r="E887" s="6" t="n">
        <v>11000</v>
      </c>
      <c r="F887" s="6" t="n">
        <v>110</v>
      </c>
      <c r="G887" t="inlineStr">
        <is>
          <t>Plate</t>
        </is>
      </c>
      <c r="H887" s="6" t="n">
        <v>1</v>
      </c>
      <c r="I887" s="6" t="n">
        <v>0.75</v>
      </c>
      <c r="J887" s="6" t="n">
        <v>1</v>
      </c>
      <c r="K887" t="n">
        <v>0.015</v>
      </c>
      <c r="P887">
        <f>MAX(P888)</f>
        <v/>
      </c>
      <c r="S887">
        <f>S888</f>
        <v/>
      </c>
      <c r="T887">
        <f>(E887/100000+F887/100+(P887/1000)*J887/5+S887/200)*200*I887*H887</f>
        <v/>
      </c>
      <c r="U887">
        <f>((E887*F887/25000)+((P887/1000)*J887*S887/2.5))*I887*H887</f>
        <v/>
      </c>
      <c r="V887">
        <f>(E887*F887*(P887/1000)*J887*S887*I887*H887)/12500000</f>
        <v/>
      </c>
      <c r="W887">
        <f>(T887+U887+V887)/3</f>
        <v/>
      </c>
      <c r="X887" s="6" t="n">
        <v>200</v>
      </c>
      <c r="Y887">
        <f>IFERROR(W887-X887,"")</f>
        <v/>
      </c>
      <c r="Z887">
        <f>IFERROR(ABS(Y887)/MAX(X887,1),"")</f>
        <v/>
      </c>
      <c r="AA887">
        <f>IFERROR((X887-(((E887/100000+F887/100+S887/200)*200*I887*H887)+((E887*F887/25000)*I887*H887))/3)/(((J887/5)*200*I887*H887)+((J887*S887/2.5)*I887*H887)+((E887*F887*J887*S887*I887*H887)/12500000))/3*1000,"")</f>
        <v/>
      </c>
    </row>
    <row r="888">
      <c r="B888" s="7" t="inlineStr">
        <is>
          <t xml:space="preserve">  ↳ ZerglingClaw</t>
        </is>
      </c>
      <c r="C888" s="7" t="inlineStr">
        <is>
          <t>Armament</t>
        </is>
      </c>
      <c r="L888" s="6" t="n">
        <v>2000</v>
      </c>
      <c r="M888" s="6" t="n">
        <v>11</v>
      </c>
      <c r="N888" s="6" t="n">
        <v>1</v>
      </c>
      <c r="O888" s="6" t="n"/>
      <c r="P888" s="6" t="n">
        <v>1350</v>
      </c>
      <c r="Q888" s="6" t="n">
        <v>1</v>
      </c>
      <c r="R888">
        <f>M888+IF(MAX(N888-1,0)&gt;0,IF(ISBLANK(O888),5*MAX(N888-1,0),IF(ISNUMBER(O888),O888*MAX(N888-1,0),SUM(IFERROR(VALUE(TEXTSPLIT(O888,",")),0)))),0)</f>
        <v/>
      </c>
      <c r="S888">
        <f>IFERROR(L888*MAX(N888,1)/R888*IF(ISBLANK(K887),1,K887),0)</f>
        <v/>
      </c>
      <c r="AB888" s="7" t="inlineStr">
        <is>
          <t>^Warhead_Melee_Medium</t>
        </is>
      </c>
    </row>
    <row r="889">
      <c r="A889" t="inlineStr">
        <is>
          <t>starcraft</t>
        </is>
      </c>
      <c r="B889" t="inlineStr">
        <is>
          <t>terran_firebat</t>
        </is>
      </c>
      <c r="C889" t="inlineStr">
        <is>
          <t>Firebat</t>
        </is>
      </c>
      <c r="D889" s="6" t="inlineStr">
        <is>
          <t>MeleeInfantry</t>
        </is>
      </c>
      <c r="E889" s="6" t="n">
        <v>52000</v>
      </c>
      <c r="F889" s="6" t="n">
        <v>52</v>
      </c>
      <c r="G889" t="inlineStr">
        <is>
          <t>Plate</t>
        </is>
      </c>
      <c r="H889" s="6" t="n">
        <v>1</v>
      </c>
      <c r="I889" s="6" t="n">
        <v>0.75</v>
      </c>
      <c r="J889" s="6" t="n">
        <v>1</v>
      </c>
      <c r="K889" t="n">
        <v>0.005</v>
      </c>
      <c r="P889">
        <f>MAX(P890,P891)</f>
        <v/>
      </c>
      <c r="S889">
        <f>S890+S891</f>
        <v/>
      </c>
      <c r="T889">
        <f>(E889/100000+F889/100+(P889/1000)*J889/5+S889/200)*200*I889*H889</f>
        <v/>
      </c>
      <c r="U889">
        <f>((E889*F889/25000)+((P889/1000)*J889*S889/2.5))*I889*H889</f>
        <v/>
      </c>
      <c r="V889">
        <f>(E889*F889*(P889/1000)*J889*S889*I889*H889)/12500000</f>
        <v/>
      </c>
      <c r="W889">
        <f>(T889+U889+V889)/3</f>
        <v/>
      </c>
      <c r="X889" s="6" t="n">
        <v>500</v>
      </c>
      <c r="Y889">
        <f>IFERROR(W889-X889,"")</f>
        <v/>
      </c>
      <c r="Z889">
        <f>IFERROR(ABS(Y889)/MAX(X889,1),"")</f>
        <v/>
      </c>
      <c r="AA889">
        <f>IFERROR((X889-(((E889/100000+F889/100+S889/200)*200*I889*H889)+((E889*F889/25000)*I889*H889))/3)/(((J889/5)*200*I889*H889)+((J889*S889/2.5)*I889*H889)+((E889*F889*J889*S889*I889*H889)/12500000))/3*1000,"")</f>
        <v/>
      </c>
    </row>
    <row r="890">
      <c r="B890" s="7" t="inlineStr">
        <is>
          <t xml:space="preserve">  ↳ FirebatF</t>
        </is>
      </c>
      <c r="C890" s="7" t="inlineStr">
        <is>
          <t>Armament@1</t>
        </is>
      </c>
      <c r="L890" s="6" t="n">
        <v>2000</v>
      </c>
      <c r="M890" s="6" t="n">
        <v>28</v>
      </c>
      <c r="N890" s="6" t="n">
        <v>13</v>
      </c>
      <c r="O890" s="6" t="n">
        <v>2</v>
      </c>
      <c r="P890" s="6" t="n">
        <v>3400</v>
      </c>
      <c r="Q890" s="6" t="n">
        <v>1</v>
      </c>
      <c r="R890">
        <f>M890+IF(MAX(N890-1,0)&gt;0,IF(ISBLANK(O890),5*MAX(N890-1,0),IF(ISNUMBER(O890),O890*MAX(N890-1,0),SUM(IFERROR(VALUE(TEXTSPLIT(O890,",")),0)))),0)</f>
        <v/>
      </c>
      <c r="S890">
        <f>IFERROR(L890*MAX(N890,1)/R890*IF(ISBLANK(K889),1,K889),0)</f>
        <v/>
      </c>
      <c r="AB890" s="7" t="inlineStr">
        <is>
          <t>^Warhead_Flame_Medium</t>
        </is>
      </c>
    </row>
    <row r="891">
      <c r="B891" s="7" t="inlineStr">
        <is>
          <t xml:space="preserve">  ↳ FirebatF</t>
        </is>
      </c>
      <c r="C891" s="7" t="inlineStr">
        <is>
          <t>Armament@2</t>
        </is>
      </c>
      <c r="L891" s="6" t="n">
        <v>2000</v>
      </c>
      <c r="M891" s="6" t="n">
        <v>28</v>
      </c>
      <c r="N891" s="6" t="n">
        <v>13</v>
      </c>
      <c r="O891" s="6" t="n">
        <v>2</v>
      </c>
      <c r="P891" s="6" t="n">
        <v>3400</v>
      </c>
      <c r="Q891" s="6" t="n">
        <v>1</v>
      </c>
      <c r="R891">
        <f>M891+IF(MAX(N891-1,0)&gt;0,IF(ISBLANK(O891),5*MAX(N891-1,0),IF(ISNUMBER(O891),O891*MAX(N891-1,0),SUM(IFERROR(VALUE(TEXTSPLIT(O891,",")),0)))),0)</f>
        <v/>
      </c>
      <c r="S891">
        <f>IFERROR(L891*MAX(N891,1)/R891*IF(ISBLANK(K889),1,K889),0)</f>
        <v/>
      </c>
      <c r="AB891" s="7" t="inlineStr">
        <is>
          <t>^Warhead_Flame_Medium</t>
        </is>
      </c>
    </row>
    <row r="892">
      <c r="B892" s="7" t="inlineStr">
        <is>
          <t xml:space="preserve">  ↳ FirebatF</t>
        </is>
      </c>
      <c r="C892" s="7" t="inlineStr">
        <is>
          <t>Armament@GARRISONED1</t>
        </is>
      </c>
      <c r="L892" s="6" t="n">
        <v>2000</v>
      </c>
      <c r="M892" s="6" t="n">
        <v>28</v>
      </c>
      <c r="N892" s="6" t="n">
        <v>13</v>
      </c>
      <c r="O892" s="6" t="n">
        <v>2</v>
      </c>
      <c r="P892" s="6" t="n">
        <v>3400</v>
      </c>
      <c r="Q892" s="6" t="n">
        <v>1</v>
      </c>
      <c r="R892">
        <f>M892+IF(MAX(N892-1,0)&gt;0,IF(ISBLANK(O892),5*MAX(N892-1,0),IF(ISNUMBER(O892),O892*MAX(N892-1,0),SUM(IFERROR(VALUE(TEXTSPLIT(O892,",")),0)))),0)</f>
        <v/>
      </c>
      <c r="S892">
        <f>IFERROR(L892*MAX(N892,1)/R892*IF(ISBLANK(K889),1,K889),0)</f>
        <v/>
      </c>
      <c r="AB892" s="7" t="inlineStr">
        <is>
          <t>^Warhead_Flame_Medium</t>
        </is>
      </c>
    </row>
    <row r="893">
      <c r="B893" s="7" t="inlineStr">
        <is>
          <t xml:space="preserve">  ↳ FirebatF</t>
        </is>
      </c>
      <c r="C893" s="7" t="inlineStr">
        <is>
          <t>Armament@GARRISONED2</t>
        </is>
      </c>
      <c r="L893" s="6" t="n">
        <v>2000</v>
      </c>
      <c r="M893" s="6" t="n">
        <v>28</v>
      </c>
      <c r="N893" s="6" t="n">
        <v>13</v>
      </c>
      <c r="O893" s="6" t="n">
        <v>2</v>
      </c>
      <c r="P893" s="6" t="n">
        <v>3400</v>
      </c>
      <c r="Q893" s="6" t="n">
        <v>1</v>
      </c>
      <c r="R893">
        <f>M893+IF(MAX(N893-1,0)&gt;0,IF(ISBLANK(O893),5*MAX(N893-1,0),IF(ISNUMBER(O893),O893*MAX(N893-1,0),SUM(IFERROR(VALUE(TEXTSPLIT(O893,",")),0)))),0)</f>
        <v/>
      </c>
      <c r="S893">
        <f>IFERROR(L893*MAX(N893,1)/R893*IF(ISBLANK(K889),1,K889),0)</f>
        <v/>
      </c>
      <c r="AB893" s="7" t="inlineStr">
        <is>
          <t>^Warhead_Flame_Medium</t>
        </is>
      </c>
    </row>
    <row r="894">
      <c r="A894" t="inlineStr">
        <is>
          <t>starcraft</t>
        </is>
      </c>
      <c r="B894" t="inlineStr">
        <is>
          <t>terran_harakan</t>
        </is>
      </c>
      <c r="C894" t="inlineStr">
        <is>
          <t>Harakan</t>
        </is>
      </c>
      <c r="D894" s="6" t="inlineStr">
        <is>
          <t>MeleeInfantry</t>
        </is>
      </c>
      <c r="E894" s="6" t="n">
        <v>78000</v>
      </c>
      <c r="F894" s="6" t="n">
        <v>56</v>
      </c>
      <c r="G894" t="inlineStr">
        <is>
          <t>Plate</t>
        </is>
      </c>
      <c r="H894" s="6" t="n">
        <v>1</v>
      </c>
      <c r="I894" s="6" t="n">
        <v>0.75</v>
      </c>
      <c r="J894" s="6" t="n">
        <v>1</v>
      </c>
      <c r="K894" t="n">
        <v>0.0025</v>
      </c>
      <c r="P894">
        <f>MAX(P895,P896)</f>
        <v/>
      </c>
      <c r="S894">
        <f>S895+S896</f>
        <v/>
      </c>
      <c r="T894">
        <f>(E894/100000+F894/100+(P894/1000)*J894/5+S894/200)*200*I894*H894</f>
        <v/>
      </c>
      <c r="U894">
        <f>((E894*F894/25000)+((P894/1000)*J894*S894/2.5))*I894*H894</f>
        <v/>
      </c>
      <c r="V894">
        <f>(E894*F894*(P894/1000)*J894*S894*I894*H894)/12500000</f>
        <v/>
      </c>
      <c r="W894">
        <f>(T894+U894+V894)/3</f>
        <v/>
      </c>
      <c r="X894" s="6" t="n">
        <v>700</v>
      </c>
      <c r="Y894">
        <f>IFERROR(W894-X894,"")</f>
        <v/>
      </c>
      <c r="Z894">
        <f>IFERROR(ABS(Y894)/MAX(X894,1),"")</f>
        <v/>
      </c>
      <c r="AA894">
        <f>IFERROR((X894-(((E894/100000+F894/100+S894/200)*200*I894*H894)+((E894*F894/25000)*I894*H894))/3)/(((J894/5)*200*I894*H894)+((J894*S894/2.5)*I894*H894)+((E894*F894*J894*S894*I894*H894)/12500000))/3*1000,"")</f>
        <v/>
      </c>
    </row>
    <row r="895">
      <c r="B895" s="7" t="inlineStr">
        <is>
          <t xml:space="preserve">  ↳ HarakanF</t>
        </is>
      </c>
      <c r="C895" s="7" t="inlineStr">
        <is>
          <t>Armament@1</t>
        </is>
      </c>
      <c r="L895" s="6" t="n">
        <v>4000</v>
      </c>
      <c r="M895" s="6" t="n">
        <v>47</v>
      </c>
      <c r="N895" s="6" t="n">
        <v>20</v>
      </c>
      <c r="O895" s="6" t="n">
        <v>2</v>
      </c>
      <c r="P895" s="6" t="n">
        <v>4185</v>
      </c>
      <c r="Q895" s="6" t="n">
        <v>1</v>
      </c>
      <c r="R895">
        <f>M895+IF(MAX(N895-1,0)&gt;0,IF(ISBLANK(O895),5*MAX(N895-1,0),IF(ISNUMBER(O895),O895*MAX(N895-1,0),SUM(IFERROR(VALUE(TEXTSPLIT(O895,",")),0)))),0)</f>
        <v/>
      </c>
      <c r="S895">
        <f>IFERROR(L895*MAX(N895,1)/R895*IF(ISBLANK(K894),1,K894),0)</f>
        <v/>
      </c>
      <c r="AB895" s="7" t="inlineStr">
        <is>
          <t>^HeavyFlameWeapon, ^MediumFlameWeapon</t>
        </is>
      </c>
    </row>
    <row r="896">
      <c r="B896" s="7" t="inlineStr">
        <is>
          <t xml:space="preserve">  ↳ HarakanF</t>
        </is>
      </c>
      <c r="C896" s="7" t="inlineStr">
        <is>
          <t>Armament@2</t>
        </is>
      </c>
      <c r="L896" s="6" t="n">
        <v>4000</v>
      </c>
      <c r="M896" s="6" t="n">
        <v>47</v>
      </c>
      <c r="N896" s="6" t="n">
        <v>20</v>
      </c>
      <c r="O896" s="6" t="n">
        <v>2</v>
      </c>
      <c r="P896" s="6" t="n">
        <v>4185</v>
      </c>
      <c r="Q896" s="6" t="n">
        <v>1</v>
      </c>
      <c r="R896">
        <f>M896+IF(MAX(N896-1,0)&gt;0,IF(ISBLANK(O896),5*MAX(N896-1,0),IF(ISNUMBER(O896),O896*MAX(N896-1,0),SUM(IFERROR(VALUE(TEXTSPLIT(O896,",")),0)))),0)</f>
        <v/>
      </c>
      <c r="S896">
        <f>IFERROR(L896*MAX(N896,1)/R896*IF(ISBLANK(K894),1,K894),0)</f>
        <v/>
      </c>
      <c r="AB896" s="7" t="inlineStr">
        <is>
          <t>^HeavyFlameWeapon, ^MediumFlameWeapon</t>
        </is>
      </c>
    </row>
    <row r="897">
      <c r="B897" s="7" t="inlineStr">
        <is>
          <t xml:space="preserve">  ↳ HarakanF</t>
        </is>
      </c>
      <c r="C897" s="7" t="inlineStr">
        <is>
          <t>Armament@GARRISONED1</t>
        </is>
      </c>
      <c r="L897" s="6" t="n">
        <v>4000</v>
      </c>
      <c r="M897" s="6" t="n">
        <v>47</v>
      </c>
      <c r="N897" s="6" t="n">
        <v>20</v>
      </c>
      <c r="O897" s="6" t="n">
        <v>2</v>
      </c>
      <c r="P897" s="6" t="n">
        <v>4185</v>
      </c>
      <c r="Q897" s="6" t="n">
        <v>1</v>
      </c>
      <c r="R897">
        <f>M897+IF(MAX(N897-1,0)&gt;0,IF(ISBLANK(O897),5*MAX(N897-1,0),IF(ISNUMBER(O897),O897*MAX(N897-1,0),SUM(IFERROR(VALUE(TEXTSPLIT(O897,",")),0)))),0)</f>
        <v/>
      </c>
      <c r="S897">
        <f>IFERROR(L897*MAX(N897,1)/R897*IF(ISBLANK(K894),1,K894),0)</f>
        <v/>
      </c>
      <c r="AB897" s="7" t="inlineStr">
        <is>
          <t>^HeavyFlameWeapon, ^MediumFlameWeapon</t>
        </is>
      </c>
    </row>
    <row r="898">
      <c r="B898" s="7" t="inlineStr">
        <is>
          <t xml:space="preserve">  ↳ HarakanF</t>
        </is>
      </c>
      <c r="C898" s="7" t="inlineStr">
        <is>
          <t>Armament@GARRISONED2</t>
        </is>
      </c>
      <c r="L898" s="6" t="n">
        <v>4000</v>
      </c>
      <c r="M898" s="6" t="n">
        <v>47</v>
      </c>
      <c r="N898" s="6" t="n">
        <v>20</v>
      </c>
      <c r="O898" s="6" t="n">
        <v>2</v>
      </c>
      <c r="P898" s="6" t="n">
        <v>4185</v>
      </c>
      <c r="Q898" s="6" t="n">
        <v>1</v>
      </c>
      <c r="R898">
        <f>M898+IF(MAX(N898-1,0)&gt;0,IF(ISBLANK(O898),5*MAX(N898-1,0),IF(ISNUMBER(O898),O898*MAX(N898-1,0),SUM(IFERROR(VALUE(TEXTSPLIT(O898,",")),0)))),0)</f>
        <v/>
      </c>
      <c r="S898">
        <f>IFERROR(L898*MAX(N898,1)/R898*IF(ISBLANK(K894),1,K894),0)</f>
        <v/>
      </c>
      <c r="AB898" s="7" t="inlineStr">
        <is>
          <t>^HeavyFlameWeapon, ^MediumFlameWeapon</t>
        </is>
      </c>
    </row>
    <row r="899">
      <c r="A899" t="inlineStr">
        <is>
          <t>warcraft2</t>
        </is>
      </c>
      <c r="B899" t="inlineStr">
        <is>
          <t>wc2_orcs_grunt</t>
        </is>
      </c>
      <c r="C899" t="inlineStr">
        <is>
          <t>Grunt</t>
        </is>
      </c>
      <c r="D899" s="6" t="inlineStr">
        <is>
          <t>MeleeInfantry</t>
        </is>
      </c>
      <c r="E899" s="6" t="n">
        <v>65000</v>
      </c>
      <c r="F899" s="6" t="n">
        <v>65</v>
      </c>
      <c r="G899" t="inlineStr">
        <is>
          <t>Plate</t>
        </is>
      </c>
      <c r="H899" s="6" t="n">
        <v>1</v>
      </c>
      <c r="I899" s="6" t="n">
        <v>0.75</v>
      </c>
      <c r="J899" s="6" t="n">
        <v>1</v>
      </c>
      <c r="K899" t="n">
        <v>0.013</v>
      </c>
      <c r="P899">
        <f>MAX(P900)</f>
        <v/>
      </c>
      <c r="S899">
        <f>S900</f>
        <v/>
      </c>
      <c r="T899">
        <f>(E899/100000+F899/100+(P899/1000)*J899/5+S899/200)*200*I899*H899</f>
        <v/>
      </c>
      <c r="U899">
        <f>((E899*F899/25000)+((P899/1000)*J899*S899/2.5))*I899*H899</f>
        <v/>
      </c>
      <c r="V899">
        <f>(E899*F899*(P899/1000)*J899*S899*I899*H899)/12500000</f>
        <v/>
      </c>
      <c r="W899">
        <f>(T899+U899+V899)/3</f>
        <v/>
      </c>
      <c r="X899" s="6" t="n">
        <v>600</v>
      </c>
      <c r="Y899">
        <f>IFERROR(W899-X899,"")</f>
        <v/>
      </c>
      <c r="Z899">
        <f>IFERROR(ABS(Y899)/MAX(X899,1),"")</f>
        <v/>
      </c>
      <c r="AA899">
        <f>IFERROR((X899-(((E899/100000+F899/100+S899/200)*200*I899*H899)+((E899*F899/25000)*I899*H899))/3)/(((J899/5)*200*I899*H899)+((J899*S899/2.5)*I899*H899)+((E899*F899*J899*S899*I899*H899)/12500000))/3*1000,"")</f>
        <v/>
      </c>
    </row>
    <row r="900">
      <c r="B900" s="7" t="inlineStr">
        <is>
          <t xml:space="preserve">  ↳ wc2gruntslice</t>
        </is>
      </c>
      <c r="C900" s="7" t="inlineStr">
        <is>
          <t>Armament</t>
        </is>
      </c>
      <c r="L900" s="6" t="n">
        <v>16000</v>
      </c>
      <c r="M900" s="6" t="n">
        <v>18</v>
      </c>
      <c r="N900" s="6" t="n">
        <v>1</v>
      </c>
      <c r="O900" s="6" t="n"/>
      <c r="P900" s="6" t="n">
        <v>1555</v>
      </c>
      <c r="Q900" s="6" t="n">
        <v>1</v>
      </c>
      <c r="R900">
        <f>M900+IF(MAX(N900-1,0)&gt;0,IF(ISBLANK(O900),5*MAX(N900-1,0),IF(ISNUMBER(O900),O900*MAX(N900-1,0),SUM(IFERROR(VALUE(TEXTSPLIT(O900,",")),0)))),0)</f>
        <v/>
      </c>
      <c r="S900">
        <f>IFERROR(L900*MAX(N900,1)/R900*IF(ISBLANK(K899),1,K899),0)</f>
        <v/>
      </c>
      <c r="AB900" s="7" t="inlineStr">
        <is>
          <t>^Warhead_Melee_Medium</t>
        </is>
      </c>
    </row>
    <row r="901">
      <c r="A901" t="inlineStr">
        <is>
          <t>warcraft2</t>
        </is>
      </c>
      <c r="B901" t="inlineStr">
        <is>
          <t>wc2_orcs_warcraft3grunt</t>
        </is>
      </c>
      <c r="C901" t="inlineStr">
        <is>
          <t>Warcraft 3 Grunt</t>
        </is>
      </c>
      <c r="D901" s="6" t="inlineStr">
        <is>
          <t>MeleeInfantry</t>
        </is>
      </c>
      <c r="E901" s="6" t="n">
        <v>120000</v>
      </c>
      <c r="F901" s="6" t="n">
        <v>70</v>
      </c>
      <c r="G901" t="inlineStr">
        <is>
          <t>Plate</t>
        </is>
      </c>
      <c r="H901" s="6" t="n">
        <v>1</v>
      </c>
      <c r="I901" s="6" t="n">
        <v>1</v>
      </c>
      <c r="J901" s="6" t="n">
        <v>1</v>
      </c>
      <c r="K901" t="n">
        <v>0.013</v>
      </c>
      <c r="P901">
        <f>MAX(P902)</f>
        <v/>
      </c>
      <c r="S901">
        <f>S902</f>
        <v/>
      </c>
      <c r="T901">
        <f>(E901/100000+F901/100+(P901/1000)*J901/5+S901/200)*200*I901*H901</f>
        <v/>
      </c>
      <c r="U901">
        <f>((E901*F901/25000)+((P901/1000)*J901*S901/2.5))*I901*H901</f>
        <v/>
      </c>
      <c r="V901">
        <f>(E901*F901*(P901/1000)*J901*S901*I901*H901)/12500000</f>
        <v/>
      </c>
      <c r="W901">
        <f>(T901+U901+V901)/3</f>
        <v/>
      </c>
      <c r="X901" s="6" t="n">
        <v>1100</v>
      </c>
      <c r="Y901">
        <f>IFERROR(W901-X901,"")</f>
        <v/>
      </c>
      <c r="Z901">
        <f>IFERROR(ABS(Y901)/MAX(X901,1),"")</f>
        <v/>
      </c>
      <c r="AA901">
        <f>IFERROR((X901-(((E901/100000+F901/100+S901/200)*200*I901*H901)+((E901*F901/25000)*I901*H901))/3)/(((J901/5)*200*I901*H901)+((J901*S901/2.5)*I901*H901)+((E901*F901*J901*S901*I901*H901)/12500000))/3*1000,"")</f>
        <v/>
      </c>
    </row>
    <row r="902">
      <c r="B902" s="7" t="inlineStr">
        <is>
          <t xml:space="preserve">  ↳ wc2gruntslice2</t>
        </is>
      </c>
      <c r="C902" s="7" t="inlineStr">
        <is>
          <t>Armament</t>
        </is>
      </c>
      <c r="L902" s="6" t="n">
        <v>24000</v>
      </c>
      <c r="M902" s="6" t="n">
        <v>18</v>
      </c>
      <c r="N902" s="6" t="n">
        <v>1</v>
      </c>
      <c r="O902" s="6" t="n"/>
      <c r="P902" s="6" t="n">
        <v>1600</v>
      </c>
      <c r="Q902" s="6" t="n">
        <v>1</v>
      </c>
      <c r="R902">
        <f>M902+IF(MAX(N902-1,0)&gt;0,IF(ISBLANK(O902),5*MAX(N902-1,0),IF(ISNUMBER(O902),O902*MAX(N902-1,0),SUM(IFERROR(VALUE(TEXTSPLIT(O902,",")),0)))),0)</f>
        <v/>
      </c>
      <c r="S902">
        <f>IFERROR(L902*MAX(N902,1)/R902*IF(ISBLANK(K901),1,K901),0)</f>
        <v/>
      </c>
      <c r="AB902" s="7" t="inlineStr">
        <is>
          <t>^Warhead_Melee_Medium</t>
        </is>
      </c>
    </row>
    <row r="903">
      <c r="A903" t="inlineStr">
        <is>
          <t>warcraft2</t>
        </is>
      </c>
      <c r="B903" t="inlineStr">
        <is>
          <t>wc2_humans_footman</t>
        </is>
      </c>
      <c r="C903" t="inlineStr">
        <is>
          <t>Footman</t>
        </is>
      </c>
      <c r="D903" s="6" t="inlineStr">
        <is>
          <t>MeleeInfantry</t>
        </is>
      </c>
      <c r="E903" s="6" t="n">
        <v>50000</v>
      </c>
      <c r="F903" s="6" t="n">
        <v>75</v>
      </c>
      <c r="G903" t="inlineStr">
        <is>
          <t>Plate</t>
        </is>
      </c>
      <c r="H903" s="6" t="n">
        <v>1</v>
      </c>
      <c r="I903" s="6" t="n">
        <v>0.75</v>
      </c>
      <c r="J903" s="6" t="n">
        <v>1</v>
      </c>
      <c r="K903" t="n">
        <v>0.013</v>
      </c>
      <c r="P903">
        <f>MAX(P904)</f>
        <v/>
      </c>
      <c r="S903">
        <f>S904</f>
        <v/>
      </c>
      <c r="T903">
        <f>(E903/100000+F903/100+(P903/1000)*J903/5+S903/200)*200*I903*H903</f>
        <v/>
      </c>
      <c r="U903">
        <f>((E903*F903/25000)+((P903/1000)*J903*S903/2.5))*I903*H903</f>
        <v/>
      </c>
      <c r="V903">
        <f>(E903*F903*(P903/1000)*J903*S903*I903*H903)/12500000</f>
        <v/>
      </c>
      <c r="W903">
        <f>(T903+U903+V903)/3</f>
        <v/>
      </c>
      <c r="X903" s="6" t="n">
        <v>500</v>
      </c>
      <c r="Y903">
        <f>IFERROR(W903-X903,"")</f>
        <v/>
      </c>
      <c r="Z903">
        <f>IFERROR(ABS(Y903)/MAX(X903,1),"")</f>
        <v/>
      </c>
      <c r="AA903">
        <f>IFERROR((X903-(((E903/100000+F903/100+S903/200)*200*I903*H903)+((E903*F903/25000)*I903*H903))/3)/(((J903/5)*200*I903*H903)+((J903*S903/2.5)*I903*H903)+((E903*F903*J903*S903*I903*H903)/12500000))/3*1000,"")</f>
        <v/>
      </c>
    </row>
    <row r="904">
      <c r="B904" s="7" t="inlineStr">
        <is>
          <t xml:space="preserve">  ↳ wc2footmanslice</t>
        </is>
      </c>
      <c r="C904" s="7" t="inlineStr">
        <is>
          <t>Armament</t>
        </is>
      </c>
      <c r="L904" s="6" t="n">
        <v>12000</v>
      </c>
      <c r="M904" s="6" t="n">
        <v>15</v>
      </c>
      <c r="N904" s="6" t="n">
        <v>1</v>
      </c>
      <c r="O904" s="6" t="n"/>
      <c r="P904" s="6" t="n">
        <v>1333</v>
      </c>
      <c r="Q904" s="6" t="n">
        <v>1</v>
      </c>
      <c r="R904">
        <f>M904+IF(MAX(N904-1,0)&gt;0,IF(ISBLANK(O904),5*MAX(N904-1,0),IF(ISNUMBER(O904),O904*MAX(N904-1,0),SUM(IFERROR(VALUE(TEXTSPLIT(O904,",")),0)))),0)</f>
        <v/>
      </c>
      <c r="S904">
        <f>IFERROR(L904*MAX(N904,1)/R904*IF(ISBLANK(K903),1,K903),0)</f>
        <v/>
      </c>
      <c r="AB904" s="7" t="inlineStr">
        <is>
          <t>^Warhead_Melee_Medium</t>
        </is>
      </c>
    </row>
    <row r="905">
      <c r="A905" t="inlineStr">
        <is>
          <t>warcraft2</t>
        </is>
      </c>
      <c r="B905" t="inlineStr">
        <is>
          <t>wc2_humans_militiapeasant</t>
        </is>
      </c>
      <c r="C905" t="inlineStr">
        <is>
          <t>Militia Peasant</t>
        </is>
      </c>
      <c r="D905" s="6" t="inlineStr">
        <is>
          <t>MeleeInfantry</t>
        </is>
      </c>
      <c r="E905" s="6" t="n">
        <v>20000</v>
      </c>
      <c r="F905" s="6" t="n">
        <v>90</v>
      </c>
      <c r="G905" t="inlineStr">
        <is>
          <t>Light</t>
        </is>
      </c>
      <c r="H905" s="6" t="n">
        <v>1</v>
      </c>
      <c r="I905" s="6" t="n">
        <v>1</v>
      </c>
      <c r="J905" s="6" t="n">
        <v>1</v>
      </c>
      <c r="P905">
        <f>MAX(P906)</f>
        <v/>
      </c>
      <c r="S905">
        <f>S906</f>
        <v/>
      </c>
      <c r="T905">
        <f>(E905/100000+F905/100+(P905/1000)*J905/5+S905/200)*200*I905*H905</f>
        <v/>
      </c>
      <c r="U905">
        <f>((E905*F905/25000)+((P905/1000)*J905*S905/2.5))*I905*H905</f>
        <v/>
      </c>
      <c r="V905">
        <f>(E905*F905*(P905/1000)*J905*S905*I905*H905)/12500000</f>
        <v/>
      </c>
      <c r="W905">
        <f>(T905+U905+V905)/3</f>
        <v/>
      </c>
      <c r="X905" s="6" t="n">
        <v>300</v>
      </c>
      <c r="Y905">
        <f>IFERROR(W905-X905,"")</f>
        <v/>
      </c>
      <c r="Z905">
        <f>IFERROR(ABS(Y905)/MAX(X905,1),"")</f>
        <v/>
      </c>
      <c r="AA905">
        <f>IFERROR((X905-(((E905/100000+F905/100+S905/200)*200*I905*H905)+((E905*F905/25000)*I905*H905))/3)/(((J905/5)*200*I905*H905)+((J905*S905/2.5)*I905*H905)+((E905*F905*J905*S905*I905*H905)/12500000))/3*1000,"")</f>
        <v/>
      </c>
    </row>
    <row r="906">
      <c r="B906" s="7" t="inlineStr">
        <is>
          <t xml:space="preserve">  ↳ wc2footmanslice</t>
        </is>
      </c>
      <c r="C906" s="7" t="inlineStr">
        <is>
          <t>Armament</t>
        </is>
      </c>
      <c r="L906" s="6" t="n">
        <v>12000</v>
      </c>
      <c r="M906" s="6" t="n">
        <v>15</v>
      </c>
      <c r="N906" s="6" t="n">
        <v>1</v>
      </c>
      <c r="O906" s="6" t="n"/>
      <c r="P906" s="6" t="n">
        <v>1333</v>
      </c>
      <c r="Q906" s="6" t="n">
        <v>1</v>
      </c>
      <c r="R906">
        <f>M906+IF(MAX(N906-1,0)&gt;0,IF(ISBLANK(O906),5*MAX(N906-1,0),IF(ISNUMBER(O906),O906*MAX(N906-1,0),SUM(IFERROR(VALUE(TEXTSPLIT(O906,",")),0)))),0)</f>
        <v/>
      </c>
      <c r="S906">
        <f>IFERROR(L906*MAX(N906,1)/R906*IF(ISBLANK(K905),1,K905),0)</f>
        <v/>
      </c>
      <c r="AB906" s="7" t="inlineStr">
        <is>
          <t>^Warhead_Melee_Medium</t>
        </is>
      </c>
    </row>
    <row r="907">
      <c r="A907" t="inlineStr">
        <is>
          <t>warcraft2</t>
        </is>
      </c>
      <c r="B907" t="inlineStr">
        <is>
          <t>wc2_humans_warcraft3footman</t>
        </is>
      </c>
      <c r="C907" t="inlineStr">
        <is>
          <t>Warcraft 3 Footman</t>
        </is>
      </c>
      <c r="D907" s="6" t="inlineStr">
        <is>
          <t>MeleeInfantry</t>
        </is>
      </c>
      <c r="E907" s="6" t="n">
        <v>80000</v>
      </c>
      <c r="F907" s="6" t="n">
        <v>85</v>
      </c>
      <c r="G907" t="inlineStr">
        <is>
          <t>Plate</t>
        </is>
      </c>
      <c r="H907" s="6" t="n">
        <v>1</v>
      </c>
      <c r="I907" s="6" t="n">
        <v>1</v>
      </c>
      <c r="J907" s="6" t="n">
        <v>1</v>
      </c>
      <c r="K907" t="n">
        <v>0.013</v>
      </c>
      <c r="P907">
        <f>MAX(P908)</f>
        <v/>
      </c>
      <c r="S907">
        <f>S908</f>
        <v/>
      </c>
      <c r="T907">
        <f>(E907/100000+F907/100+(P907/1000)*J907/5+S907/200)*200*I907*H907</f>
        <v/>
      </c>
      <c r="U907">
        <f>((E907*F907/25000)+((P907/1000)*J907*S907/2.5))*I907*H907</f>
        <v/>
      </c>
      <c r="V907">
        <f>(E907*F907*(P907/1000)*J907*S907*I907*H907)/12500000</f>
        <v/>
      </c>
      <c r="W907">
        <f>(T907+U907+V907)/3</f>
        <v/>
      </c>
      <c r="X907" s="6" t="n">
        <v>900</v>
      </c>
      <c r="Y907">
        <f>IFERROR(W907-X907,"")</f>
        <v/>
      </c>
      <c r="Z907">
        <f>IFERROR(ABS(Y907)/MAX(X907,1),"")</f>
        <v/>
      </c>
      <c r="AA907">
        <f>IFERROR((X907-(((E907/100000+F907/100+S907/200)*200*I907*H907)+((E907*F907/25000)*I907*H907))/3)/(((J907/5)*200*I907*H907)+((J907*S907/2.5)*I907*H907)+((E907*F907*J907*S907*I907*H907)/12500000))/3*1000,"")</f>
        <v/>
      </c>
    </row>
    <row r="908">
      <c r="B908" s="7" t="inlineStr">
        <is>
          <t xml:space="preserve">  ↳ wc2footmanslice2</t>
        </is>
      </c>
      <c r="C908" s="7" t="inlineStr">
        <is>
          <t>Armament</t>
        </is>
      </c>
      <c r="L908" s="6" t="n">
        <v>18000</v>
      </c>
      <c r="M908" s="6" t="n">
        <v>15</v>
      </c>
      <c r="N908" s="6" t="n">
        <v>1</v>
      </c>
      <c r="O908" s="6" t="n"/>
      <c r="P908" s="6" t="n">
        <v>1533</v>
      </c>
      <c r="Q908" s="6" t="n">
        <v>1</v>
      </c>
      <c r="R908">
        <f>M908+IF(MAX(N908-1,0)&gt;0,IF(ISBLANK(O908),5*MAX(N908-1,0),IF(ISNUMBER(O908),O908*MAX(N908-1,0),SUM(IFERROR(VALUE(TEXTSPLIT(O908,",")),0)))),0)</f>
        <v/>
      </c>
      <c r="S908">
        <f>IFERROR(L908*MAX(N908,1)/R908*IF(ISBLANK(K907),1,K907),0)</f>
        <v/>
      </c>
      <c r="AB908" s="7" t="inlineStr">
        <is>
          <t>^Warhead_Melee_Medium</t>
        </is>
      </c>
    </row>
    <row r="909">
      <c r="A909" s="4" t="inlineStr">
        <is>
          <t>Dog</t>
        </is>
      </c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  <c r="AB909" s="5" t="n"/>
    </row>
    <row r="910">
      <c r="A910" t="inlineStr">
        <is>
          <t>redalert</t>
        </is>
      </c>
      <c r="B910" t="inlineStr">
        <is>
          <t>ra1_soviets_attackdog</t>
        </is>
      </c>
      <c r="C910" t="inlineStr">
        <is>
          <t>actor_dog.name</t>
        </is>
      </c>
      <c r="D910" s="6" t="inlineStr">
        <is>
          <t>Dog</t>
        </is>
      </c>
      <c r="E910" s="6" t="n">
        <v>5000</v>
      </c>
      <c r="F910" s="6" t="n">
        <v>100</v>
      </c>
      <c r="G910" t="inlineStr">
        <is>
          <t>None</t>
        </is>
      </c>
      <c r="H910" s="6" t="n">
        <v>1</v>
      </c>
      <c r="I910" s="6" t="n">
        <v>1</v>
      </c>
      <c r="J910" s="6" t="n">
        <v>1</v>
      </c>
      <c r="P910">
        <f>MAX(P911)</f>
        <v/>
      </c>
      <c r="S910">
        <f>S911</f>
        <v/>
      </c>
      <c r="T910">
        <f>(E910/100000+F910/100+(P910/1000)*J910/5+S910/200)*200*I910*H910</f>
        <v/>
      </c>
      <c r="U910">
        <f>((E910*F910/25000)+((P910/1000)*J910*S910/2.5))*I910*H910</f>
        <v/>
      </c>
      <c r="V910">
        <f>(E910*F910*(P910/1000)*J910*S910*I910*H910)/12500000</f>
        <v/>
      </c>
      <c r="W910">
        <f>IFERROR((((E910/27000)+(F910/90)+(S910/300)+((P910/1500)*J910))*280/4+(((E910/27000)*(F910/90))+(((P910/1500)*J910)*(S910/300)))*280/2+((E910/27000)*(F910/90)*((P910/1500)*J910)*(S910/300))*280)*(H910/1.0)/3,"")</f>
        <v/>
      </c>
      <c r="X910" s="6" t="n">
        <v>200</v>
      </c>
      <c r="Y910">
        <f>IFERROR(W910-X910,"")</f>
        <v/>
      </c>
      <c r="Z910">
        <f>IFERROR(ABS(Y910)/MAX(X910,1),"")</f>
        <v/>
      </c>
      <c r="AA910">
        <f>IFERROR(ROUND(((3*X910-(((E910/27000)+(F910/90)+(S910/300))*280/4+((E910/27000)*(F910/90))*280/2)*(H910/1.0))/(280/4+((S910/300))*280/2+((E910/27000)*(F910/90)*(S910/300))*280)*(H910/1.0)*1500)/J910,-1),"")</f>
        <v/>
      </c>
    </row>
    <row r="911">
      <c r="B911" s="7" t="inlineStr">
        <is>
          <t xml:space="preserve">  ↳ DogJaw</t>
        </is>
      </c>
      <c r="C911" s="7" t="inlineStr">
        <is>
          <t>Armament</t>
        </is>
      </c>
      <c r="L911" t="n">
        <v>100000</v>
      </c>
      <c r="M911" s="6" t="n">
        <v>10</v>
      </c>
      <c r="N911" s="6" t="n">
        <v>1</v>
      </c>
      <c r="O911" s="6" t="n"/>
      <c r="P911" s="6" t="n">
        <v>2000</v>
      </c>
      <c r="Q911" s="6" t="n">
        <v>1</v>
      </c>
      <c r="R911">
        <f>M911+IF(MAX(N911-1,0)&gt;0,IF(ISBLANK(O911),5*MAX(N911-1,0),IF(ISNUMBER(O911),O911*MAX(N911-1,0),SUM(IFERROR(VALUE(TEXTSPLIT(O911,",")),0)))),0)</f>
        <v/>
      </c>
      <c r="S911">
        <f>IFERROR(L911*MAX(N911,1)/R911*IF(ISBLANK(K910),1,K910),0)</f>
        <v/>
      </c>
      <c r="AB911" s="7" t="inlineStr"/>
    </row>
    <row r="912">
      <c r="A912" t="inlineStr">
        <is>
          <t>redalert</t>
        </is>
      </c>
      <c r="B912" t="inlineStr">
        <is>
          <t>ra1_soviets_cyberdog</t>
        </is>
      </c>
      <c r="C912" t="inlineStr">
        <is>
          <t>Cyberdog</t>
        </is>
      </c>
      <c r="D912" s="6" t="inlineStr">
        <is>
          <t>Dog</t>
        </is>
      </c>
      <c r="E912" s="6" t="n">
        <v>50000</v>
      </c>
      <c r="F912" s="6" t="n">
        <v>100</v>
      </c>
      <c r="G912" t="inlineStr">
        <is>
          <t>Plate</t>
        </is>
      </c>
      <c r="H912" s="6" t="n">
        <v>1</v>
      </c>
      <c r="I912" s="6" t="n">
        <v>1</v>
      </c>
      <c r="J912" s="6" t="n">
        <v>1</v>
      </c>
      <c r="P912">
        <f>MAX(P913)</f>
        <v/>
      </c>
      <c r="S912">
        <f>S913</f>
        <v/>
      </c>
      <c r="T912">
        <f>(E912/100000+F912/100+(P912/1000)*J912/5+S912/200)*200*I912*H912</f>
        <v/>
      </c>
      <c r="U912">
        <f>((E912*F912/25000)+((P912/1000)*J912*S912/2.5))*I912*H912</f>
        <v/>
      </c>
      <c r="V912">
        <f>(E912*F912*(P912/1000)*J912*S912*I912*H912)/12500000</f>
        <v/>
      </c>
      <c r="W912">
        <f>IFERROR((((E912/27000)+(F912/90)+(S912/300)+((P912/1500)*J912))*280/4+(((E912/27000)*(F912/90))+(((P912/1500)*J912)*(S912/300)))*280/2+((E912/27000)*(F912/90)*((P912/1500)*J912)*(S912/300))*280)*(H912/1.0)/3,"")</f>
        <v/>
      </c>
      <c r="X912" s="6" t="n">
        <v>1000</v>
      </c>
      <c r="Y912">
        <f>IFERROR(W912-X912,"")</f>
        <v/>
      </c>
      <c r="Z912">
        <f>IFERROR(ABS(Y912)/MAX(X912,1),"")</f>
        <v/>
      </c>
      <c r="AA912">
        <f>IFERROR(ROUND(((3*X912-(((E912/27000)+(F912/90)+(S912/300))*280/4+((E912/27000)*(F912/90))*280/2)*(H912/1.0))/(280/4+((S912/300))*280/2+((E912/27000)*(F912/90)*(S912/300))*280)*(H912/1.0)*1500)/J912,-1),"")</f>
        <v/>
      </c>
    </row>
    <row r="913">
      <c r="B913" s="7" t="inlineStr">
        <is>
          <t xml:space="preserve">  ↳ CyberneticDogJaw</t>
        </is>
      </c>
      <c r="C913" s="7" t="inlineStr">
        <is>
          <t>Armament</t>
        </is>
      </c>
      <c r="L913" t="n">
        <v>100000</v>
      </c>
      <c r="M913" s="6" t="n">
        <v>10</v>
      </c>
      <c r="N913" s="6" t="n">
        <v>1</v>
      </c>
      <c r="O913" s="6" t="n"/>
      <c r="P913" s="6" t="n">
        <v>2500</v>
      </c>
      <c r="Q913" s="6" t="n">
        <v>1</v>
      </c>
      <c r="R913">
        <f>M913+IF(MAX(N913-1,0)&gt;0,IF(ISBLANK(O913),5*MAX(N913-1,0),IF(ISNUMBER(O913),O913*MAX(N913-1,0),SUM(IFERROR(VALUE(TEXTSPLIT(O913,",")),0)))),0)</f>
        <v/>
      </c>
      <c r="S913">
        <f>IFERROR(L913*MAX(N913,1)/R913*IF(ISBLANK(K912),1,K912),0)</f>
        <v/>
      </c>
      <c r="AB913" s="7" t="inlineStr"/>
    </row>
    <row r="914">
      <c r="A914" t="inlineStr">
        <is>
          <t>redalert2</t>
        </is>
      </c>
      <c r="B914" t="inlineStr">
        <is>
          <t>ra2_allies_attackdog</t>
        </is>
      </c>
      <c r="C914" t="inlineStr">
        <is>
          <t>Attack Dog</t>
        </is>
      </c>
      <c r="D914" s="6" t="inlineStr">
        <is>
          <t>Dog</t>
        </is>
      </c>
      <c r="E914" s="6" t="n">
        <v>5000</v>
      </c>
      <c r="F914" s="6" t="n">
        <v>100</v>
      </c>
      <c r="G914" t="inlineStr">
        <is>
          <t>None</t>
        </is>
      </c>
      <c r="H914" s="6" t="n">
        <v>1</v>
      </c>
      <c r="I914" s="6" t="n">
        <v>1</v>
      </c>
      <c r="J914" s="6" t="n">
        <v>1</v>
      </c>
      <c r="P914">
        <f>MAX(P915)</f>
        <v/>
      </c>
      <c r="S914">
        <f>S915</f>
        <v/>
      </c>
      <c r="T914">
        <f>(E914/100000+F914/100+(P914/1000)*J914/5+S914/200)*200*I914*H914</f>
        <v/>
      </c>
      <c r="U914">
        <f>((E914*F914/25000)+((P914/1000)*J914*S914/2.5))*I914*H914</f>
        <v/>
      </c>
      <c r="V914">
        <f>(E914*F914*(P914/1000)*J914*S914*I914*H914)/12500000</f>
        <v/>
      </c>
      <c r="W914">
        <f>IFERROR((((E914/27000)+(F914/90)+(S914/300)+((P914/1500)*J914))*280/4+(((E914/27000)*(F914/90))+(((P914/1500)*J914)*(S914/300)))*280/2+((E914/27000)*(F914/90)*((P914/1500)*J914)*(S914/300))*280)*(H914/1.0)/3,"")</f>
        <v/>
      </c>
      <c r="X914" s="6" t="n">
        <v>200</v>
      </c>
      <c r="Y914">
        <f>IFERROR(W914-X914,"")</f>
        <v/>
      </c>
      <c r="Z914">
        <f>IFERROR(ABS(Y914)/MAX(X914,1),"")</f>
        <v/>
      </c>
      <c r="AA914">
        <f>IFERROR(ROUND(((3*X914-(((E914/27000)+(F914/90)+(S914/300))*280/4+((E914/27000)*(F914/90))*280/2)*(H914/1.0))/(280/4+((S914/300))*280/2+((E914/27000)*(F914/90)*(S914/300))*280)*(H914/1.0)*1500)/J914,-1),"")</f>
        <v/>
      </c>
    </row>
    <row r="915">
      <c r="B915" s="7" t="inlineStr">
        <is>
          <t xml:space="preserve">  ↳ DogJaw</t>
        </is>
      </c>
      <c r="C915" s="7" t="inlineStr">
        <is>
          <t>Armament</t>
        </is>
      </c>
      <c r="L915" t="n">
        <v>100000</v>
      </c>
      <c r="M915" s="6" t="n">
        <v>10</v>
      </c>
      <c r="N915" s="6" t="n">
        <v>1</v>
      </c>
      <c r="O915" s="6" t="n"/>
      <c r="P915" s="6" t="n">
        <v>2000</v>
      </c>
      <c r="Q915" s="6" t="n">
        <v>1</v>
      </c>
      <c r="R915">
        <f>M915+IF(MAX(N915-1,0)&gt;0,IF(ISBLANK(O915),5*MAX(N915-1,0),IF(ISNUMBER(O915),O915*MAX(N915-1,0),SUM(IFERROR(VALUE(TEXTSPLIT(O915,",")),0)))),0)</f>
        <v/>
      </c>
      <c r="S915">
        <f>IFERROR(L915*MAX(N915,1)/R915*IF(ISBLANK(K914),1,K914),0)</f>
        <v/>
      </c>
      <c r="AB915" s="7" t="inlineStr"/>
    </row>
    <row r="916">
      <c r="A916" t="inlineStr">
        <is>
          <t>redalert2</t>
        </is>
      </c>
      <c r="B916" t="inlineStr">
        <is>
          <t>ra2_soviets_attackdog</t>
        </is>
      </c>
      <c r="C916" t="inlineStr">
        <is>
          <t>Attack Dog</t>
        </is>
      </c>
      <c r="D916" s="6" t="inlineStr">
        <is>
          <t>Dog</t>
        </is>
      </c>
      <c r="E916" s="6" t="n">
        <v>5000</v>
      </c>
      <c r="F916" s="6" t="n">
        <v>100</v>
      </c>
      <c r="G916" t="inlineStr">
        <is>
          <t>None</t>
        </is>
      </c>
      <c r="H916" s="6" t="n">
        <v>1</v>
      </c>
      <c r="I916" s="6" t="n">
        <v>1</v>
      </c>
      <c r="J916" s="6" t="n">
        <v>1</v>
      </c>
      <c r="P916">
        <f>MAX(P917)</f>
        <v/>
      </c>
      <c r="S916">
        <f>S917</f>
        <v/>
      </c>
      <c r="T916">
        <f>(E916/100000+F916/100+(P916/1000)*J916/5+S916/200)*200*I916*H916</f>
        <v/>
      </c>
      <c r="U916">
        <f>((E916*F916/25000)+((P916/1000)*J916*S916/2.5))*I916*H916</f>
        <v/>
      </c>
      <c r="V916">
        <f>(E916*F916*(P916/1000)*J916*S916*I916*H916)/12500000</f>
        <v/>
      </c>
      <c r="W916">
        <f>IFERROR((((E916/27000)+(F916/90)+(S916/300)+((P916/1500)*J916))*280/4+(((E916/27000)*(F916/90))+(((P916/1500)*J916)*(S916/300)))*280/2+((E916/27000)*(F916/90)*((P916/1500)*J916)*(S916/300))*280)*(H916/1.0)/3,"")</f>
        <v/>
      </c>
      <c r="X916" s="6" t="n">
        <v>200</v>
      </c>
      <c r="Y916">
        <f>IFERROR(W916-X916,"")</f>
        <v/>
      </c>
      <c r="Z916">
        <f>IFERROR(ABS(Y916)/MAX(X916,1),"")</f>
        <v/>
      </c>
      <c r="AA916">
        <f>IFERROR(ROUND(((3*X916-(((E916/27000)+(F916/90)+(S916/300))*280/4+((E916/27000)*(F916/90))*280/2)*(H916/1.0))/(280/4+((S916/300))*280/2+((E916/27000)*(F916/90)*(S916/300))*280)*(H916/1.0)*1500)/J916,-1),"")</f>
        <v/>
      </c>
    </row>
    <row r="917">
      <c r="B917" s="7" t="inlineStr">
        <is>
          <t xml:space="preserve">  ↳ DogJaw</t>
        </is>
      </c>
      <c r="C917" s="7" t="inlineStr">
        <is>
          <t>Armament</t>
        </is>
      </c>
      <c r="L917" t="n">
        <v>100000</v>
      </c>
      <c r="M917" s="6" t="n">
        <v>10</v>
      </c>
      <c r="N917" s="6" t="n">
        <v>1</v>
      </c>
      <c r="O917" s="6" t="n"/>
      <c r="P917" s="6" t="n">
        <v>2000</v>
      </c>
      <c r="Q917" s="6" t="n">
        <v>1</v>
      </c>
      <c r="R917">
        <f>M917+IF(MAX(N917-1,0)&gt;0,IF(ISBLANK(O917),5*MAX(N917-1,0),IF(ISNUMBER(O917),O917*MAX(N917-1,0),SUM(IFERROR(VALUE(TEXTSPLIT(O917,",")),0)))),0)</f>
        <v/>
      </c>
      <c r="S917">
        <f>IFERROR(L917*MAX(N917,1)/R917*IF(ISBLANK(K916),1,K916),0)</f>
        <v/>
      </c>
      <c r="AB917" s="7" t="inlineStr"/>
    </row>
    <row r="918">
      <c r="A918" s="4" t="inlineStr">
        <is>
          <t>SniperInfantry</t>
        </is>
      </c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  <c r="AB918" s="5" t="n"/>
    </row>
    <row r="919">
      <c r="A919" t="inlineStr">
        <is>
          <t>tiberiandawn</t>
        </is>
      </c>
      <c r="B919" t="inlineStr">
        <is>
          <t>td_gdi_heavysniper</t>
        </is>
      </c>
      <c r="C919" t="inlineStr">
        <is>
          <t>GDI Heavy Sniper</t>
        </is>
      </c>
      <c r="D919" s="6" t="inlineStr">
        <is>
          <t>SniperInfantry</t>
        </is>
      </c>
      <c r="E919" s="6" t="n">
        <v>25000</v>
      </c>
      <c r="F919" s="6" t="n">
        <v>78</v>
      </c>
      <c r="G919" t="inlineStr">
        <is>
          <t>Flak</t>
        </is>
      </c>
      <c r="H919" s="6" t="n">
        <v>0.7674</v>
      </c>
      <c r="I919" s="6" t="n">
        <v>1</v>
      </c>
      <c r="J919" s="6" t="n">
        <v>1</v>
      </c>
      <c r="P919">
        <f>MAX(P920)</f>
        <v/>
      </c>
      <c r="S919">
        <f>S920</f>
        <v/>
      </c>
      <c r="T919">
        <f>(E919/100000+F919/100+(P919/1000)*J919/5+S919/200)*200*I919*H919</f>
        <v/>
      </c>
      <c r="U919">
        <f>((E919*F919/25000)+((P919/1000)*J919*S919/2.5))*I919*H919</f>
        <v/>
      </c>
      <c r="V919">
        <f>(E919*F919*(P919/1000)*J919*S919*I919*H919)/12500000</f>
        <v/>
      </c>
      <c r="W919">
        <f>(T919+U919+V919)/3</f>
        <v/>
      </c>
      <c r="X919" s="6" t="n">
        <v>700</v>
      </c>
      <c r="Y919">
        <f>IFERROR(W919-X919,"")</f>
        <v/>
      </c>
      <c r="Z919">
        <f>IFERROR(ABS(Y919)/MAX(X919,1),"")</f>
        <v/>
      </c>
      <c r="AA919">
        <f>IFERROR((X919-(((E919/100000+F919/100+S919/200)*200*I919*H919)+((E919*F919/25000)*I919*H919))/3)/(((J919/5)*200*I919*H919)+((J919*S919/2.5)*I919*H919)+((E919*F919*J919*S919*I919*H919)/12500000))/3*1000,"")</f>
        <v/>
      </c>
    </row>
    <row r="920">
      <c r="B920" s="7" t="inlineStr">
        <is>
          <t xml:space="preserve">  ↳ GDISniperRifle</t>
        </is>
      </c>
      <c r="C920" s="7" t="inlineStr">
        <is>
          <t>Armament</t>
        </is>
      </c>
      <c r="L920" s="6" t="n">
        <v>32000</v>
      </c>
      <c r="M920" s="6" t="n">
        <v>75</v>
      </c>
      <c r="N920" s="6" t="n">
        <v>1</v>
      </c>
      <c r="O920" s="6" t="n"/>
      <c r="P920" s="6" t="n">
        <v>8655</v>
      </c>
      <c r="Q920" s="6" t="n">
        <v>1</v>
      </c>
      <c r="R920">
        <f>M920+IF(MAX(N920-1,0)&gt;0,IF(ISBLANK(O920),5*MAX(N920-1,0),IF(ISNUMBER(O920),O920*MAX(N920-1,0),SUM(IFERROR(VALUE(TEXTSPLIT(O920,",")),0)))),0)</f>
        <v/>
      </c>
      <c r="S920">
        <f>IFERROR(L920*MAX(N920,1)/R920*IF(ISBLANK(K919),1,K919),0)</f>
        <v/>
      </c>
      <c r="AB920" s="7" t="inlineStr">
        <is>
          <t>^SmallArms, ^Grenade, ^FlakWeapon, ^Chaingun</t>
        </is>
      </c>
    </row>
    <row r="921">
      <c r="B921" s="7" t="inlineStr">
        <is>
          <t xml:space="preserve">  ↳ GDISniperRifle</t>
        </is>
      </c>
      <c r="C921" s="7" t="inlineStr">
        <is>
          <t>Armament@GARRISONED</t>
        </is>
      </c>
      <c r="L921" s="6" t="n">
        <v>32000</v>
      </c>
      <c r="M921" s="6" t="n">
        <v>75</v>
      </c>
      <c r="N921" s="6" t="n">
        <v>1</v>
      </c>
      <c r="O921" s="6" t="n"/>
      <c r="P921" s="6" t="n">
        <v>8655</v>
      </c>
      <c r="Q921" s="6" t="n">
        <v>1</v>
      </c>
      <c r="R921">
        <f>M921+IF(MAX(N921-1,0)&gt;0,IF(ISBLANK(O921),5*MAX(N921-1,0),IF(ISNUMBER(O921),O921*MAX(N921-1,0),SUM(IFERROR(VALUE(TEXTSPLIT(O921,",")),0)))),0)</f>
        <v/>
      </c>
      <c r="S921">
        <f>IFERROR(L921*MAX(N921,1)/R921*IF(ISBLANK(K919),1,K919),0)</f>
        <v/>
      </c>
      <c r="AB921" s="7" t="inlineStr">
        <is>
          <t>^SmallArms, ^Grenade, ^FlakWeapon, ^Chaingun</t>
        </is>
      </c>
    </row>
    <row r="922">
      <c r="A922" t="inlineStr">
        <is>
          <t>redalert</t>
        </is>
      </c>
      <c r="B922" t="inlineStr">
        <is>
          <t>japan_archermaiden</t>
        </is>
      </c>
      <c r="C922" t="inlineStr">
        <is>
          <t>Archer Maiden</t>
        </is>
      </c>
      <c r="D922" s="6" t="inlineStr">
        <is>
          <t>SniperInfantry</t>
        </is>
      </c>
      <c r="E922" s="6" t="n">
        <v>20000</v>
      </c>
      <c r="F922" s="6" t="n">
        <v>72</v>
      </c>
      <c r="G922" t="inlineStr">
        <is>
          <t>Flak</t>
        </is>
      </c>
      <c r="H922" s="6" t="n">
        <v>1</v>
      </c>
      <c r="I922" s="6" t="n">
        <v>0.75</v>
      </c>
      <c r="J922" s="6" t="n">
        <v>1</v>
      </c>
      <c r="P922">
        <f>MAX(P923,P925)</f>
        <v/>
      </c>
      <c r="S922">
        <f>S923+S925</f>
        <v/>
      </c>
      <c r="T922">
        <f>(E922/100000+F922/100+(P922/1000)*J922/5+S922/200)*200*I922*H922</f>
        <v/>
      </c>
      <c r="U922">
        <f>((E922*F922/25000)+((P922/1000)*J922*S922/2.5))*I922*H922</f>
        <v/>
      </c>
      <c r="V922">
        <f>(E922*F922*(P922/1000)*J922*S922*I922*H922)/12500000</f>
        <v/>
      </c>
      <c r="W922">
        <f>IFERROR((((E922/20000)+(F922/70)+(S922/200)+((P922/7000)*J922))*500/4+(((E922/20000)*(F922/70))+(((P922/7000)*J922)*(S922/200)))*500/2+((E922/20000)*(F922/70)*((P922/7000)*J922)*(S922/200))*500)*(H922/1.0)/3,"")</f>
        <v/>
      </c>
      <c r="X922" s="6" t="n">
        <v>500</v>
      </c>
      <c r="Y922">
        <f>IFERROR(W922-X922,"")</f>
        <v/>
      </c>
      <c r="Z922">
        <f>IFERROR(ABS(Y922)/MAX(X922,1),"")</f>
        <v/>
      </c>
      <c r="AA922">
        <f>IFERROR(ROUND(((3*X922-(((E922/20000)+(F922/70)+(S922/200))*500/4+((E922/20000)*(F922/70))*500/2)*(H922/1.0))/(500/4+((S922/200))*500/2+((E922/20000)*(F922/70)*(S922/200))*500)*(H922/1.0)*7000)/J922,-1),"")</f>
        <v/>
      </c>
    </row>
    <row r="923">
      <c r="B923" s="7" t="inlineStr">
        <is>
          <t xml:space="preserve">  ↳ JapanMaidenBow</t>
        </is>
      </c>
      <c r="C923" s="7" t="inlineStr">
        <is>
          <t>Armament@PRIMARY</t>
        </is>
      </c>
      <c r="L923" s="6" t="n">
        <v>40000</v>
      </c>
      <c r="M923" s="6" t="n">
        <v>100</v>
      </c>
      <c r="N923" s="6" t="n">
        <v>1</v>
      </c>
      <c r="O923" s="6" t="n"/>
      <c r="P923" s="6" t="n">
        <v>7500</v>
      </c>
      <c r="Q923" s="6" t="n">
        <v>0.75</v>
      </c>
      <c r="R923">
        <f>M923+IF(MAX(N923-1,0)&gt;0,IF(ISBLANK(O923),5*MAX(N923-1,0),IF(ISNUMBER(O923),O923*MAX(N923-1,0),SUM(IFERROR(VALUE(TEXTSPLIT(O923,",")),0)))),0)</f>
        <v/>
      </c>
      <c r="S923">
        <f>IFERROR(L923*MAX(N923,1)/R923*IF(ISBLANK(K922),1,K922),0)</f>
        <v/>
      </c>
      <c r="AB923" s="7" t="inlineStr">
        <is>
          <t>^Warhead_Arrow_Light</t>
        </is>
      </c>
    </row>
    <row r="924">
      <c r="B924" s="7" t="inlineStr">
        <is>
          <t xml:space="preserve">  ↳ JapanMaidenBow</t>
        </is>
      </c>
      <c r="C924" s="7" t="inlineStr">
        <is>
          <t>Armament@GARRISONED</t>
        </is>
      </c>
      <c r="L924" s="6" t="n">
        <v>40000</v>
      </c>
      <c r="M924" s="6" t="n">
        <v>100</v>
      </c>
      <c r="N924" s="6" t="n">
        <v>1</v>
      </c>
      <c r="O924" s="6" t="n"/>
      <c r="P924" s="6" t="n">
        <v>7500</v>
      </c>
      <c r="Q924" s="6" t="n">
        <v>0.75</v>
      </c>
      <c r="R924">
        <f>M924+IF(MAX(N924-1,0)&gt;0,IF(ISBLANK(O924),5*MAX(N924-1,0),IF(ISNUMBER(O924),O924*MAX(N924-1,0),SUM(IFERROR(VALUE(TEXTSPLIT(O924,",")),0)))),0)</f>
        <v/>
      </c>
      <c r="S924">
        <f>IFERROR(L924*MAX(N924,1)/R924*IF(ISBLANK(K922),1,K922),0)</f>
        <v/>
      </c>
      <c r="AB924" s="7" t="inlineStr">
        <is>
          <t>^Warhead_Arrow_Light</t>
        </is>
      </c>
    </row>
    <row r="925">
      <c r="B925" s="7" t="inlineStr">
        <is>
          <t xml:space="preserve">  ↳ JapanMaidenBowEnergized</t>
        </is>
      </c>
      <c r="C925" s="7" t="inlineStr">
        <is>
          <t>Armament@Upgrade</t>
        </is>
      </c>
      <c r="L925" s="6" t="n">
        <v>42000</v>
      </c>
      <c r="M925" s="6" t="n">
        <v>100</v>
      </c>
      <c r="N925" s="6" t="n">
        <v>1</v>
      </c>
      <c r="O925" s="6" t="n"/>
      <c r="P925" s="6" t="n">
        <v>7500</v>
      </c>
      <c r="Q925" s="6" t="n">
        <v>0.75</v>
      </c>
      <c r="R925">
        <f>M925+IF(MAX(N925-1,0)&gt;0,IF(ISBLANK(O925),5*MAX(N925-1,0),IF(ISNUMBER(O925),O925*MAX(N925-1,0),SUM(IFERROR(VALUE(TEXTSPLIT(O925,",")),0)))),0)</f>
        <v/>
      </c>
      <c r="S925">
        <f>IFERROR(L925*MAX(N925,1)/R925*IF(ISBLANK(K922),1,K922),0)</f>
        <v/>
      </c>
      <c r="AB925" s="7" t="inlineStr">
        <is>
          <t>^Warhead_Arrow_Light</t>
        </is>
      </c>
    </row>
    <row r="926">
      <c r="B926" s="7" t="inlineStr">
        <is>
          <t xml:space="preserve">  ↳ JapanMaidenBowEnergized</t>
        </is>
      </c>
      <c r="C926" s="7" t="inlineStr">
        <is>
          <t>Armament@UpgradeGARRISONED</t>
        </is>
      </c>
      <c r="L926" s="6" t="n">
        <v>42000</v>
      </c>
      <c r="M926" s="6" t="n">
        <v>100</v>
      </c>
      <c r="N926" s="6" t="n">
        <v>1</v>
      </c>
      <c r="O926" s="6" t="n"/>
      <c r="P926" s="6" t="n">
        <v>7500</v>
      </c>
      <c r="Q926" s="6" t="n">
        <v>0.75</v>
      </c>
      <c r="R926">
        <f>M926+IF(MAX(N926-1,0)&gt;0,IF(ISBLANK(O926),5*MAX(N926-1,0),IF(ISNUMBER(O926),O926*MAX(N926-1,0),SUM(IFERROR(VALUE(TEXTSPLIT(O926,",")),0)))),0)</f>
        <v/>
      </c>
      <c r="S926">
        <f>IFERROR(L926*MAX(N926,1)/R926*IF(ISBLANK(K922),1,K922),0)</f>
        <v/>
      </c>
      <c r="AB926" s="7" t="inlineStr">
        <is>
          <t>^Warhead_Arrow_Light</t>
        </is>
      </c>
    </row>
    <row r="927">
      <c r="A927" t="inlineStr">
        <is>
          <t>redalert</t>
        </is>
      </c>
      <c r="B927" t="inlineStr">
        <is>
          <t>ra1_soviets_commissar</t>
        </is>
      </c>
      <c r="C927" t="inlineStr">
        <is>
          <t>Commissar</t>
        </is>
      </c>
      <c r="D927" s="6" t="inlineStr">
        <is>
          <t>SniperInfantry</t>
        </is>
      </c>
      <c r="E927" s="6" t="n">
        <v>30000</v>
      </c>
      <c r="F927" s="6" t="n">
        <v>70</v>
      </c>
      <c r="G927" t="inlineStr">
        <is>
          <t>Flak</t>
        </is>
      </c>
      <c r="H927" s="6" t="n">
        <v>1</v>
      </c>
      <c r="I927" s="6" t="n">
        <v>1</v>
      </c>
      <c r="J927" s="6" t="n">
        <v>1</v>
      </c>
      <c r="P927">
        <f>MAX(P928)</f>
        <v/>
      </c>
      <c r="S927">
        <f>S928</f>
        <v/>
      </c>
      <c r="T927">
        <f>(E927/100000+F927/100+(P927/1000)*J927/5+S927/200)*200*I927*H927</f>
        <v/>
      </c>
      <c r="U927">
        <f>((E927*F927/25000)+((P927/1000)*J927*S927/2.5))*I927*H927</f>
        <v/>
      </c>
      <c r="V927">
        <f>(E927*F927*(P927/1000)*J927*S927*I927*H927)/12500000</f>
        <v/>
      </c>
      <c r="W927">
        <f>(T927+U927+V927)/3</f>
        <v/>
      </c>
      <c r="X927" s="6" t="n">
        <v>700</v>
      </c>
      <c r="Y927">
        <f>IFERROR(W927-X927,"")</f>
        <v/>
      </c>
      <c r="Z927">
        <f>IFERROR(ABS(Y927)/MAX(X927,1),"")</f>
        <v/>
      </c>
      <c r="AA927">
        <f>IFERROR((X927-(((E927/100000+F927/100+S927/200)*200*I927*H927)+((E927*F927/25000)*I927*H927))/3)/(((J927/5)*200*I927*H927)+((J927*S927/2.5)*I927*H927)+((E927*F927*J927*S927*I927*H927)/12500000))/3*1000,"")</f>
        <v/>
      </c>
    </row>
    <row r="928">
      <c r="B928" s="7" t="inlineStr">
        <is>
          <t xml:space="preserve">  ↳ CommissarPistol</t>
        </is>
      </c>
      <c r="C928" s="7" t="inlineStr">
        <is>
          <t>Armament@PRIMARY</t>
        </is>
      </c>
      <c r="L928" s="6" t="n">
        <v>10000</v>
      </c>
      <c r="M928" s="6" t="n">
        <v>20</v>
      </c>
      <c r="N928" s="6" t="n">
        <v>1</v>
      </c>
      <c r="O928" s="6" t="n"/>
      <c r="P928" s="6" t="n">
        <v>6770</v>
      </c>
      <c r="Q928" s="6" t="n">
        <v>0.75</v>
      </c>
      <c r="R928">
        <f>M928+IF(MAX(N928-1,0)&gt;0,IF(ISBLANK(O928),5*MAX(N928-1,0),IF(ISNUMBER(O928),O928*MAX(N928-1,0),SUM(IFERROR(VALUE(TEXTSPLIT(O928,",")),0)))),0)</f>
        <v/>
      </c>
      <c r="S928">
        <f>IFERROR(L928*MAX(N928,1)/R928*IF(ISBLANK(K927),1,K927),0)</f>
        <v/>
      </c>
      <c r="AB928" s="7" t="inlineStr">
        <is>
          <t>^Warhead_Sniper_Light</t>
        </is>
      </c>
    </row>
    <row r="929">
      <c r="B929" s="7" t="inlineStr">
        <is>
          <t xml:space="preserve">  ↳ CommissarPistol</t>
        </is>
      </c>
      <c r="C929" s="7" t="inlineStr">
        <is>
          <t>Armament@GARRISONED</t>
        </is>
      </c>
      <c r="L929" s="6" t="n">
        <v>10000</v>
      </c>
      <c r="M929" s="6" t="n">
        <v>20</v>
      </c>
      <c r="N929" s="6" t="n">
        <v>1</v>
      </c>
      <c r="O929" s="6" t="n"/>
      <c r="P929" s="6" t="n">
        <v>6770</v>
      </c>
      <c r="Q929" s="6" t="n">
        <v>0.75</v>
      </c>
      <c r="R929">
        <f>M929+IF(MAX(N929-1,0)&gt;0,IF(ISBLANK(O929),5*MAX(N929-1,0),IF(ISNUMBER(O929),O929*MAX(N929-1,0),SUM(IFERROR(VALUE(TEXTSPLIT(O929,",")),0)))),0)</f>
        <v/>
      </c>
      <c r="S929">
        <f>IFERROR(L929*MAX(N929,1)/R929*IF(ISBLANK(K927),1,K927),0)</f>
        <v/>
      </c>
      <c r="AB929" s="7" t="inlineStr">
        <is>
          <t>^Warhead_Sniper_Light</t>
        </is>
      </c>
    </row>
    <row r="930">
      <c r="A930" t="inlineStr">
        <is>
          <t>redalert</t>
        </is>
      </c>
      <c r="B930" t="inlineStr">
        <is>
          <t>ra1_allies_alliedsniper</t>
        </is>
      </c>
      <c r="C930" t="inlineStr">
        <is>
          <t>Allied Sniper</t>
        </is>
      </c>
      <c r="D930" s="6" t="inlineStr">
        <is>
          <t>SniperInfantry</t>
        </is>
      </c>
      <c r="E930" s="6" t="n">
        <v>10000</v>
      </c>
      <c r="F930" s="6" t="n">
        <v>60</v>
      </c>
      <c r="G930" t="inlineStr">
        <is>
          <t>Flak</t>
        </is>
      </c>
      <c r="H930" s="6" t="n">
        <v>1</v>
      </c>
      <c r="I930" s="6" t="n">
        <v>0.75</v>
      </c>
      <c r="J930" s="6" t="n">
        <v>1.25</v>
      </c>
      <c r="P930">
        <f>MAX(P931,P933)</f>
        <v/>
      </c>
      <c r="S930">
        <f>S931+S933</f>
        <v/>
      </c>
      <c r="T930">
        <f>(E930/100000+F930/100+(P930/1000)*J930/5+S930/200)*200*I930*H930</f>
        <v/>
      </c>
      <c r="U930">
        <f>((E930*F930/25000)+((P930/1000)*J930*S930/2.5))*I930*H930</f>
        <v/>
      </c>
      <c r="V930">
        <f>(E930*F930*(P930/1000)*J930*S930*I930*H930)/12500000</f>
        <v/>
      </c>
      <c r="W930">
        <f>(T930+U930+V930)/3</f>
        <v/>
      </c>
      <c r="X930" s="6" t="n">
        <v>500</v>
      </c>
      <c r="Y930">
        <f>IFERROR(W930-X930,"")</f>
        <v/>
      </c>
      <c r="Z930">
        <f>IFERROR(ABS(Y930)/MAX(X930,1),"")</f>
        <v/>
      </c>
      <c r="AA930">
        <f>IFERROR((X930-(((E930/100000+F930/100+S930/200)*200*I930*H930)+((E930*F930/25000)*I930*H930))/3)/(((J930/5)*200*I930*H930)+((J930*S930/2.5)*I930*H930)+((E930*F930*J930*S930*I930*H930)/12500000))/3*1000,"")</f>
        <v/>
      </c>
    </row>
    <row r="931">
      <c r="B931" s="7" t="inlineStr">
        <is>
          <t xml:space="preserve">  ↳ LightSniper</t>
        </is>
      </c>
      <c r="C931" s="7" t="inlineStr">
        <is>
          <t>Armament@PRIMARY</t>
        </is>
      </c>
      <c r="L931" s="6" t="n">
        <v>30000</v>
      </c>
      <c r="M931" s="6" t="n">
        <v>100</v>
      </c>
      <c r="N931" s="6" t="n">
        <v>1</v>
      </c>
      <c r="O931" s="6" t="n"/>
      <c r="P931" s="6" t="n">
        <v>9153</v>
      </c>
      <c r="Q931" s="6" t="n">
        <v>0.75</v>
      </c>
      <c r="R931">
        <f>M931+IF(MAX(N931-1,0)&gt;0,IF(ISBLANK(O931),5*MAX(N931-1,0),IF(ISNUMBER(O931),O931*MAX(N931-1,0),SUM(IFERROR(VALUE(TEXTSPLIT(O931,",")),0)))),0)</f>
        <v/>
      </c>
      <c r="S931">
        <f>IFERROR(L931*MAX(N931,1)/R931*IF(ISBLANK(K930),1,K930),0)</f>
        <v/>
      </c>
      <c r="AB931" s="7" t="inlineStr">
        <is>
          <t>^Warhead_Sniper_Light</t>
        </is>
      </c>
    </row>
    <row r="932">
      <c r="B932" s="7" t="inlineStr">
        <is>
          <t xml:space="preserve">  ↳ LightSniper</t>
        </is>
      </c>
      <c r="C932" s="7" t="inlineStr">
        <is>
          <t>Armament@GARRISONED</t>
        </is>
      </c>
      <c r="L932" s="6" t="n">
        <v>30000</v>
      </c>
      <c r="M932" s="6" t="n">
        <v>100</v>
      </c>
      <c r="N932" s="6" t="n">
        <v>1</v>
      </c>
      <c r="O932" s="6" t="n"/>
      <c r="P932" s="6" t="n">
        <v>9153</v>
      </c>
      <c r="Q932" s="6" t="n">
        <v>0.75</v>
      </c>
      <c r="R932">
        <f>M932+IF(MAX(N932-1,0)&gt;0,IF(ISBLANK(O932),5*MAX(N932-1,0),IF(ISNUMBER(O932),O932*MAX(N932-1,0),SUM(IFERROR(VALUE(TEXTSPLIT(O932,",")),0)))),0)</f>
        <v/>
      </c>
      <c r="S932">
        <f>IFERROR(L932*MAX(N932,1)/R932*IF(ISBLANK(K930),1,K930),0)</f>
        <v/>
      </c>
      <c r="AB932" s="7" t="inlineStr">
        <is>
          <t>^Warhead_Sniper_Light</t>
        </is>
      </c>
    </row>
    <row r="933">
      <c r="B933" s="7" t="inlineStr">
        <is>
          <t xml:space="preserve">  ↳ CryoLightSniper</t>
        </is>
      </c>
      <c r="C933" s="7" t="inlineStr">
        <is>
          <t>Armament@Upgrade</t>
        </is>
      </c>
      <c r="L933" s="6" t="n">
        <v>30000</v>
      </c>
      <c r="M933" s="6" t="n">
        <v>100</v>
      </c>
      <c r="N933" s="6" t="n">
        <v>1</v>
      </c>
      <c r="O933" s="6" t="n"/>
      <c r="P933" s="6" t="n">
        <v>9153</v>
      </c>
      <c r="Q933" s="6" t="n">
        <v>0.75</v>
      </c>
      <c r="R933">
        <f>M933+IF(MAX(N933-1,0)&gt;0,IF(ISBLANK(O933),5*MAX(N933-1,0),IF(ISNUMBER(O933),O933*MAX(N933-1,0),SUM(IFERROR(VALUE(TEXTSPLIT(O933,",")),0)))),0)</f>
        <v/>
      </c>
      <c r="S933">
        <f>IFERROR(L933*MAX(N933,1)/R933*IF(ISBLANK(K930),1,K930),0)</f>
        <v/>
      </c>
      <c r="AB933" s="7" t="inlineStr">
        <is>
          <t>^Warhead_BulletCryo_Light</t>
        </is>
      </c>
    </row>
    <row r="934">
      <c r="B934" s="7" t="inlineStr">
        <is>
          <t xml:space="preserve">  ↳ CryoLightSniper</t>
        </is>
      </c>
      <c r="C934" s="7" t="inlineStr">
        <is>
          <t>Armament@UpgradeGARRISONED</t>
        </is>
      </c>
      <c r="L934" s="6" t="n">
        <v>30000</v>
      </c>
      <c r="M934" s="6" t="n">
        <v>100</v>
      </c>
      <c r="N934" s="6" t="n">
        <v>1</v>
      </c>
      <c r="O934" s="6" t="n"/>
      <c r="P934" s="6" t="n">
        <v>9153</v>
      </c>
      <c r="Q934" s="6" t="n">
        <v>0.75</v>
      </c>
      <c r="R934">
        <f>M934+IF(MAX(N934-1,0)&gt;0,IF(ISBLANK(O934),5*MAX(N934-1,0),IF(ISNUMBER(O934),O934*MAX(N934-1,0),SUM(IFERROR(VALUE(TEXTSPLIT(O934,",")),0)))),0)</f>
        <v/>
      </c>
      <c r="S934">
        <f>IFERROR(L934*MAX(N934,1)/R934*IF(ISBLANK(K930),1,K930),0)</f>
        <v/>
      </c>
      <c r="AB934" s="7" t="inlineStr">
        <is>
          <t>^Warhead_BulletCryo_Light</t>
        </is>
      </c>
    </row>
    <row r="935">
      <c r="A935" t="inlineStr">
        <is>
          <t>tiberiansun</t>
        </is>
      </c>
      <c r="B935" t="inlineStr">
        <is>
          <t>ts_nod_engineer</t>
        </is>
      </c>
      <c r="C935" t="inlineStr">
        <is>
          <t>Engineer</t>
        </is>
      </c>
      <c r="D935" s="6" t="inlineStr">
        <is>
          <t>SniperInfantry</t>
        </is>
      </c>
      <c r="E935" s="6" t="n">
        <v>10000</v>
      </c>
      <c r="F935" s="6" t="n">
        <v>55</v>
      </c>
      <c r="G935" t="inlineStr">
        <is>
          <t>Flak</t>
        </is>
      </c>
      <c r="H935" s="6" t="n">
        <v>1</v>
      </c>
      <c r="I935" s="6" t="n">
        <v>1</v>
      </c>
      <c r="J935" s="6" t="n">
        <v>1</v>
      </c>
      <c r="P935">
        <f>MAX(P938)</f>
        <v/>
      </c>
      <c r="S935">
        <f>S938</f>
        <v/>
      </c>
      <c r="T935">
        <f>(E935/100000+F935/100+(P935/1000)*J935/5+S935/200)*200*I935*H935</f>
        <v/>
      </c>
      <c r="U935">
        <f>((E935*F935/25000)+((P935/1000)*J935*S935/2.5))*I935*H935</f>
        <v/>
      </c>
      <c r="V935">
        <f>(E935*F935*(P935/1000)*J935*S935*I935*H935)/12500000</f>
        <v/>
      </c>
      <c r="W935">
        <f>IFERROR((((E935/5000)+(F935/50)+(S935/0)+((P935/0)*J935))*500/4+(((E935/5000)*(F935/50))+(((P935/0)*J935)*(S935/0)))*500/2+((E935/5000)*(F935/50)*((P935/0)*J935)*(S935/0))*500)*(H935/1.0)/3,"")</f>
        <v/>
      </c>
      <c r="X935" s="6" t="n">
        <v>600</v>
      </c>
      <c r="Y935">
        <f>IFERROR(W935-X935,"")</f>
        <v/>
      </c>
      <c r="Z935">
        <f>IFERROR(ABS(Y935)/MAX(X935,1),"")</f>
        <v/>
      </c>
      <c r="AA935">
        <f>IFERROR(ROUND(((3*X935-(((E935/5000)+(F935/50)+(S935/0))*500/4+((E935/5000)*(F935/50))*500/2)*(H935/1.0))/(500/4+((S935/0))*500/2+((E935/5000)*(F935/50)*(S935/0))*500)*(H935/1.0)*0)/J935,-1),"")</f>
        <v/>
      </c>
    </row>
    <row r="936">
      <c r="B936" s="7" t="inlineStr">
        <is>
          <t xml:space="preserve">  ↳ DefuseKit</t>
        </is>
      </c>
      <c r="C936" s="7" t="inlineStr">
        <is>
          <t>Armament@defuse</t>
        </is>
      </c>
      <c r="M936" s="6" t="n">
        <v>20</v>
      </c>
      <c r="N936" s="6" t="n">
        <v>1</v>
      </c>
      <c r="O936" s="6" t="n"/>
      <c r="P936" s="6" t="n">
        <v>1536</v>
      </c>
      <c r="Q936" s="6" t="n">
        <v>1</v>
      </c>
      <c r="R936">
        <f>M936+IF(MAX(N936-1,0)&gt;0,IF(ISBLANK(O936),5*MAX(N936-1,0),IF(ISNUMBER(O936),O936*MAX(N936-1,0),SUM(IFERROR(VALUE(TEXTSPLIT(O936,",")),0)))),0)</f>
        <v/>
      </c>
      <c r="S936">
        <f>IFERROR(L936*MAX(N936,1)/R936*IF(ISBLANK(K935),1,K935),0)</f>
        <v/>
      </c>
      <c r="AB936" s="7" t="inlineStr">
        <is>
          <t>^RemovesIvanBombs, ^RemovesTerrorDrone</t>
        </is>
      </c>
    </row>
    <row r="937">
      <c r="B937" s="7" t="inlineStr">
        <is>
          <t xml:space="preserve">  ↳ LeechDisinfect</t>
        </is>
      </c>
      <c r="C937" s="7" t="inlineStr">
        <is>
          <t>Armament@leechdisinfect</t>
        </is>
      </c>
      <c r="M937" s="6" t="n">
        <v>100</v>
      </c>
      <c r="N937" s="6" t="n">
        <v>1</v>
      </c>
      <c r="O937" s="6" t="n"/>
      <c r="P937" s="6" t="n">
        <v>1536</v>
      </c>
      <c r="Q937" s="6" t="n">
        <v>1</v>
      </c>
      <c r="R937">
        <f>M937+IF(MAX(N937-1,0)&gt;0,IF(ISBLANK(O937),5*MAX(N937-1,0),IF(ISNUMBER(O937),O937*MAX(N937-1,0),SUM(IFERROR(VALUE(TEXTSPLIT(O937,",")),0)))),0)</f>
        <v/>
      </c>
      <c r="S937">
        <f>IFERROR(L937*MAX(N937,1)/R937*IF(ISBLANK(K935),1,K935),0)</f>
        <v/>
      </c>
      <c r="AB937" s="7" t="inlineStr"/>
    </row>
    <row r="938">
      <c r="B938" s="7" t="inlineStr">
        <is>
          <t xml:space="preserve">  ↳ TSEngineerPistol</t>
        </is>
      </c>
      <c r="C938" s="7" t="inlineStr">
        <is>
          <t>Armament@PRIMARY</t>
        </is>
      </c>
      <c r="L938" s="6" t="n">
        <v>20000</v>
      </c>
      <c r="M938" s="6" t="n">
        <v>25</v>
      </c>
      <c r="N938" s="6" t="n">
        <v>1</v>
      </c>
      <c r="O938" s="6" t="n"/>
      <c r="P938" s="6" t="n">
        <v>4303</v>
      </c>
      <c r="Q938" s="6" t="n">
        <v>0.75</v>
      </c>
      <c r="R938">
        <f>M938+IF(MAX(N938-1,0)&gt;0,IF(ISBLANK(O938),5*MAX(N938-1,0),IF(ISNUMBER(O938),O938*MAX(N938-1,0),SUM(IFERROR(VALUE(TEXTSPLIT(O938,",")),0)))),0)</f>
        <v/>
      </c>
      <c r="S938">
        <f>IFERROR(L938*MAX(N938,1)/R938*IF(ISBLANK(K935),1,K935),0)</f>
        <v/>
      </c>
      <c r="AB938" s="7" t="inlineStr">
        <is>
          <t>^Warhead_Sniper_Light</t>
        </is>
      </c>
    </row>
    <row r="939">
      <c r="B939" s="7" t="inlineStr">
        <is>
          <t xml:space="preserve">  ↳ TSEngineerPistol</t>
        </is>
      </c>
      <c r="C939" s="7" t="inlineStr">
        <is>
          <t>Armament@GARRISONED</t>
        </is>
      </c>
      <c r="L939" s="6" t="n">
        <v>20000</v>
      </c>
      <c r="M939" s="6" t="n">
        <v>25</v>
      </c>
      <c r="N939" s="6" t="n">
        <v>1</v>
      </c>
      <c r="O939" s="6" t="n"/>
      <c r="P939" s="6" t="n">
        <v>4303</v>
      </c>
      <c r="Q939" s="6" t="n">
        <v>0.75</v>
      </c>
      <c r="R939">
        <f>M939+IF(MAX(N939-1,0)&gt;0,IF(ISBLANK(O939),5*MAX(N939-1,0),IF(ISNUMBER(O939),O939*MAX(N939-1,0),SUM(IFERROR(VALUE(TEXTSPLIT(O939,",")),0)))),0)</f>
        <v/>
      </c>
      <c r="S939">
        <f>IFERROR(L939*MAX(N939,1)/R939*IF(ISBLANK(K935),1,K935),0)</f>
        <v/>
      </c>
      <c r="AB939" s="7" t="inlineStr">
        <is>
          <t>^Warhead_Sniper_Light</t>
        </is>
      </c>
    </row>
    <row r="940">
      <c r="A940" t="inlineStr">
        <is>
          <t>tiberiansun</t>
        </is>
      </c>
      <c r="B940" t="inlineStr">
        <is>
          <t>ts_gdi_engineer</t>
        </is>
      </c>
      <c r="C940" t="inlineStr">
        <is>
          <t>Engineer</t>
        </is>
      </c>
      <c r="D940" s="6" t="inlineStr">
        <is>
          <t>SniperInfantry</t>
        </is>
      </c>
      <c r="E940" s="6" t="n">
        <v>10000</v>
      </c>
      <c r="F940" s="6" t="n">
        <v>55</v>
      </c>
      <c r="G940" t="inlineStr">
        <is>
          <t>Flak</t>
        </is>
      </c>
      <c r="H940" s="6" t="n">
        <v>1</v>
      </c>
      <c r="I940" s="6" t="n">
        <v>1</v>
      </c>
      <c r="J940" s="6" t="n">
        <v>1</v>
      </c>
      <c r="P940">
        <f>MAX(P943)</f>
        <v/>
      </c>
      <c r="S940">
        <f>S943</f>
        <v/>
      </c>
      <c r="T940">
        <f>(E940/100000+F940/100+(P940/1000)*J940/5+S940/200)*200*I940*H940</f>
        <v/>
      </c>
      <c r="U940">
        <f>((E940*F940/25000)+((P940/1000)*J940*S940/2.5))*I940*H940</f>
        <v/>
      </c>
      <c r="V940">
        <f>(E940*F940*(P940/1000)*J940*S940*I940*H940)/12500000</f>
        <v/>
      </c>
      <c r="W940">
        <f>IFERROR((((E940/5000)+(F940/50)+(S940/0)+((P940/0)*J940))*500/4+(((E940/5000)*(F940/50))+(((P940/0)*J940)*(S940/0)))*500/2+((E940/5000)*(F940/50)*((P940/0)*J940)*(S940/0))*500)*(H940/1.0)/3,"")</f>
        <v/>
      </c>
      <c r="X940" s="6" t="n">
        <v>600</v>
      </c>
      <c r="Y940">
        <f>IFERROR(W940-X940,"")</f>
        <v/>
      </c>
      <c r="Z940">
        <f>IFERROR(ABS(Y940)/MAX(X940,1),"")</f>
        <v/>
      </c>
      <c r="AA940">
        <f>IFERROR(ROUND(((3*X940-(((E940/5000)+(F940/50)+(S940/0))*500/4+((E940/5000)*(F940/50))*500/2)*(H940/1.0))/(500/4+((S940/0))*500/2+((E940/5000)*(F940/50)*(S940/0))*500)*(H940/1.0)*0)/J940,-1),"")</f>
        <v/>
      </c>
    </row>
    <row r="941">
      <c r="B941" s="7" t="inlineStr">
        <is>
          <t xml:space="preserve">  ↳ DefuseKit</t>
        </is>
      </c>
      <c r="C941" s="7" t="inlineStr">
        <is>
          <t>Armament@defuse</t>
        </is>
      </c>
      <c r="M941" s="6" t="n">
        <v>20</v>
      </c>
      <c r="N941" s="6" t="n">
        <v>1</v>
      </c>
      <c r="O941" s="6" t="n"/>
      <c r="P941" s="6" t="n">
        <v>1536</v>
      </c>
      <c r="Q941" s="6" t="n">
        <v>1</v>
      </c>
      <c r="R941">
        <f>M941+IF(MAX(N941-1,0)&gt;0,IF(ISBLANK(O941),5*MAX(N941-1,0),IF(ISNUMBER(O941),O941*MAX(N941-1,0),SUM(IFERROR(VALUE(TEXTSPLIT(O941,",")),0)))),0)</f>
        <v/>
      </c>
      <c r="S941">
        <f>IFERROR(L941*MAX(N941,1)/R941*IF(ISBLANK(K940),1,K940),0)</f>
        <v/>
      </c>
      <c r="AB941" s="7" t="inlineStr">
        <is>
          <t>^RemovesIvanBombs, ^RemovesTerrorDrone</t>
        </is>
      </c>
    </row>
    <row r="942">
      <c r="B942" s="7" t="inlineStr">
        <is>
          <t xml:space="preserve">  ↳ LeechDisinfect</t>
        </is>
      </c>
      <c r="C942" s="7" t="inlineStr">
        <is>
          <t>Armament@leechdisinfect</t>
        </is>
      </c>
      <c r="M942" s="6" t="n">
        <v>100</v>
      </c>
      <c r="N942" s="6" t="n">
        <v>1</v>
      </c>
      <c r="O942" s="6" t="n"/>
      <c r="P942" s="6" t="n">
        <v>1536</v>
      </c>
      <c r="Q942" s="6" t="n">
        <v>1</v>
      </c>
      <c r="R942">
        <f>M942+IF(MAX(N942-1,0)&gt;0,IF(ISBLANK(O942),5*MAX(N942-1,0),IF(ISNUMBER(O942),O942*MAX(N942-1,0),SUM(IFERROR(VALUE(TEXTSPLIT(O942,",")),0)))),0)</f>
        <v/>
      </c>
      <c r="S942">
        <f>IFERROR(L942*MAX(N942,1)/R942*IF(ISBLANK(K940),1,K940),0)</f>
        <v/>
      </c>
      <c r="AB942" s="7" t="inlineStr"/>
    </row>
    <row r="943">
      <c r="B943" s="7" t="inlineStr">
        <is>
          <t xml:space="preserve">  ↳ TSEngineerPistol</t>
        </is>
      </c>
      <c r="C943" s="7" t="inlineStr">
        <is>
          <t>Armament@PRIMARY</t>
        </is>
      </c>
      <c r="L943" s="6" t="n">
        <v>20000</v>
      </c>
      <c r="M943" s="6" t="n">
        <v>25</v>
      </c>
      <c r="N943" s="6" t="n">
        <v>1</v>
      </c>
      <c r="O943" s="6" t="n"/>
      <c r="P943" s="6" t="n">
        <v>4303</v>
      </c>
      <c r="Q943" s="6" t="n">
        <v>0.75</v>
      </c>
      <c r="R943">
        <f>M943+IF(MAX(N943-1,0)&gt;0,IF(ISBLANK(O943),5*MAX(N943-1,0),IF(ISNUMBER(O943),O943*MAX(N943-1,0),SUM(IFERROR(VALUE(TEXTSPLIT(O943,",")),0)))),0)</f>
        <v/>
      </c>
      <c r="S943">
        <f>IFERROR(L943*MAX(N943,1)/R943*IF(ISBLANK(K940),1,K940),0)</f>
        <v/>
      </c>
      <c r="AB943" s="7" t="inlineStr">
        <is>
          <t>^Warhead_Sniper_Light</t>
        </is>
      </c>
    </row>
    <row r="944">
      <c r="B944" s="7" t="inlineStr">
        <is>
          <t xml:space="preserve">  ↳ TSEngineerPistol</t>
        </is>
      </c>
      <c r="C944" s="7" t="inlineStr">
        <is>
          <t>Armament@GARRISONED</t>
        </is>
      </c>
      <c r="L944" s="6" t="n">
        <v>20000</v>
      </c>
      <c r="M944" s="6" t="n">
        <v>25</v>
      </c>
      <c r="N944" s="6" t="n">
        <v>1</v>
      </c>
      <c r="O944" s="6" t="n"/>
      <c r="P944" s="6" t="n">
        <v>4303</v>
      </c>
      <c r="Q944" s="6" t="n">
        <v>0.75</v>
      </c>
      <c r="R944">
        <f>M944+IF(MAX(N944-1,0)&gt;0,IF(ISBLANK(O944),5*MAX(N944-1,0),IF(ISNUMBER(O944),O944*MAX(N944-1,0),SUM(IFERROR(VALUE(TEXTSPLIT(O944,",")),0)))),0)</f>
        <v/>
      </c>
      <c r="S944">
        <f>IFERROR(L944*MAX(N944,1)/R944*IF(ISBLANK(K940),1,K940),0)</f>
        <v/>
      </c>
      <c r="AB944" s="7" t="inlineStr">
        <is>
          <t>^Warhead_Sniper_Light</t>
        </is>
      </c>
    </row>
    <row r="945">
      <c r="A945" t="inlineStr">
        <is>
          <t>tiberiansun</t>
        </is>
      </c>
      <c r="B945" t="inlineStr">
        <is>
          <t>forgotten_engineer</t>
        </is>
      </c>
      <c r="C945" t="inlineStr">
        <is>
          <t>actor_forgotten_engineer.name</t>
        </is>
      </c>
      <c r="D945" s="6" t="inlineStr">
        <is>
          <t>SniperInfantry</t>
        </is>
      </c>
      <c r="E945" s="6" t="n">
        <v>10000</v>
      </c>
      <c r="F945" s="6" t="n">
        <v>55</v>
      </c>
      <c r="G945" t="inlineStr">
        <is>
          <t>Flak</t>
        </is>
      </c>
      <c r="H945" s="6" t="n">
        <v>1</v>
      </c>
      <c r="I945" s="6" t="n">
        <v>1</v>
      </c>
      <c r="J945" s="6" t="n">
        <v>1</v>
      </c>
      <c r="P945">
        <f>MAX(P948)</f>
        <v/>
      </c>
      <c r="S945">
        <f>S948</f>
        <v/>
      </c>
      <c r="T945">
        <f>(E945/100000+F945/100+(P945/1000)*J945/5+S945/200)*200*I945*H945</f>
        <v/>
      </c>
      <c r="U945">
        <f>((E945*F945/25000)+((P945/1000)*J945*S945/2.5))*I945*H945</f>
        <v/>
      </c>
      <c r="V945">
        <f>(E945*F945*(P945/1000)*J945*S945*I945*H945)/12500000</f>
        <v/>
      </c>
      <c r="W945">
        <f>IFERROR((((E945/5000)+(F945/50)+(S945/0)+((P945/0)*J945))*500/4+(((E945/5000)*(F945/50))+(((P945/0)*J945)*(S945/0)))*500/2+((E945/5000)*(F945/50)*((P945/0)*J945)*(S945/0))*500)*(H945/1.0)/3,"")</f>
        <v/>
      </c>
      <c r="X945" s="6" t="n">
        <v>600</v>
      </c>
      <c r="Y945">
        <f>IFERROR(W945-X945,"")</f>
        <v/>
      </c>
      <c r="Z945">
        <f>IFERROR(ABS(Y945)/MAX(X945,1),"")</f>
        <v/>
      </c>
      <c r="AA945">
        <f>IFERROR(ROUND(((3*X945-(((E945/5000)+(F945/50)+(S945/0))*500/4+((E945/5000)*(F945/50))*500/2)*(H945/1.0))/(500/4+((S945/0))*500/2+((E945/5000)*(F945/50)*(S945/0))*500)*(H945/1.0)*0)/J945,-1),"")</f>
        <v/>
      </c>
    </row>
    <row r="946">
      <c r="B946" s="7" t="inlineStr">
        <is>
          <t xml:space="preserve">  ↳ DefuseKit</t>
        </is>
      </c>
      <c r="C946" s="7" t="inlineStr">
        <is>
          <t>Armament@defuse</t>
        </is>
      </c>
      <c r="M946" s="6" t="n">
        <v>20</v>
      </c>
      <c r="N946" s="6" t="n">
        <v>1</v>
      </c>
      <c r="O946" s="6" t="n"/>
      <c r="P946" s="6" t="n">
        <v>1536</v>
      </c>
      <c r="Q946" s="6" t="n">
        <v>1</v>
      </c>
      <c r="R946">
        <f>M946+IF(MAX(N946-1,0)&gt;0,IF(ISBLANK(O946),5*MAX(N946-1,0),IF(ISNUMBER(O946),O946*MAX(N946-1,0),SUM(IFERROR(VALUE(TEXTSPLIT(O946,",")),0)))),0)</f>
        <v/>
      </c>
      <c r="S946">
        <f>IFERROR(L946*MAX(N946,1)/R946*IF(ISBLANK(K945),1,K945),0)</f>
        <v/>
      </c>
      <c r="AB946" s="7" t="inlineStr">
        <is>
          <t>^RemovesIvanBombs, ^RemovesTerrorDrone</t>
        </is>
      </c>
    </row>
    <row r="947">
      <c r="B947" s="7" t="inlineStr">
        <is>
          <t xml:space="preserve">  ↳ LeechDisinfect</t>
        </is>
      </c>
      <c r="C947" s="7" t="inlineStr">
        <is>
          <t>Armament@leechdisinfect</t>
        </is>
      </c>
      <c r="M947" s="6" t="n">
        <v>100</v>
      </c>
      <c r="N947" s="6" t="n">
        <v>1</v>
      </c>
      <c r="O947" s="6" t="n"/>
      <c r="P947" s="6" t="n">
        <v>1536</v>
      </c>
      <c r="Q947" s="6" t="n">
        <v>1</v>
      </c>
      <c r="R947">
        <f>M947+IF(MAX(N947-1,0)&gt;0,IF(ISBLANK(O947),5*MAX(N947-1,0),IF(ISNUMBER(O947),O947*MAX(N947-1,0),SUM(IFERROR(VALUE(TEXTSPLIT(O947,",")),0)))),0)</f>
        <v/>
      </c>
      <c r="S947">
        <f>IFERROR(L947*MAX(N947,1)/R947*IF(ISBLANK(K945),1,K945),0)</f>
        <v/>
      </c>
      <c r="AB947" s="7" t="inlineStr"/>
    </row>
    <row r="948">
      <c r="B948" s="7" t="inlineStr">
        <is>
          <t xml:space="preserve">  ↳ TSEngineerPistol</t>
        </is>
      </c>
      <c r="C948" s="7" t="inlineStr">
        <is>
          <t>Armament@PRIMARY</t>
        </is>
      </c>
      <c r="L948" s="6" t="n">
        <v>20000</v>
      </c>
      <c r="M948" s="6" t="n">
        <v>25</v>
      </c>
      <c r="N948" s="6" t="n">
        <v>1</v>
      </c>
      <c r="O948" s="6" t="n"/>
      <c r="P948" s="6" t="n">
        <v>4303</v>
      </c>
      <c r="Q948" s="6" t="n">
        <v>0.75</v>
      </c>
      <c r="R948">
        <f>M948+IF(MAX(N948-1,0)&gt;0,IF(ISBLANK(O948),5*MAX(N948-1,0),IF(ISNUMBER(O948),O948*MAX(N948-1,0),SUM(IFERROR(VALUE(TEXTSPLIT(O948,",")),0)))),0)</f>
        <v/>
      </c>
      <c r="S948">
        <f>IFERROR(L948*MAX(N948,1)/R948*IF(ISBLANK(K945),1,K945),0)</f>
        <v/>
      </c>
      <c r="AB948" s="7" t="inlineStr">
        <is>
          <t>^Warhead_Sniper_Light</t>
        </is>
      </c>
    </row>
    <row r="949">
      <c r="B949" s="7" t="inlineStr">
        <is>
          <t xml:space="preserve">  ↳ TSEngineerPistol</t>
        </is>
      </c>
      <c r="C949" s="7" t="inlineStr">
        <is>
          <t>Armament@GARRISONED</t>
        </is>
      </c>
      <c r="L949" s="6" t="n">
        <v>20000</v>
      </c>
      <c r="M949" s="6" t="n">
        <v>25</v>
      </c>
      <c r="N949" s="6" t="n">
        <v>1</v>
      </c>
      <c r="O949" s="6" t="n"/>
      <c r="P949" s="6" t="n">
        <v>4303</v>
      </c>
      <c r="Q949" s="6" t="n">
        <v>0.75</v>
      </c>
      <c r="R949">
        <f>M949+IF(MAX(N949-1,0)&gt;0,IF(ISBLANK(O949),5*MAX(N949-1,0),IF(ISNUMBER(O949),O949*MAX(N949-1,0),SUM(IFERROR(VALUE(TEXTSPLIT(O949,",")),0)))),0)</f>
        <v/>
      </c>
      <c r="S949">
        <f>IFERROR(L949*MAX(N949,1)/R949*IF(ISBLANK(K945),1,K945),0)</f>
        <v/>
      </c>
      <c r="AB949" s="7" t="inlineStr">
        <is>
          <t>^Warhead_Sniper_Light</t>
        </is>
      </c>
    </row>
    <row r="950">
      <c r="A950" t="inlineStr">
        <is>
          <t>tiberiansun</t>
        </is>
      </c>
      <c r="B950" t="inlineStr">
        <is>
          <t>forgotten_mutantsniper</t>
        </is>
      </c>
      <c r="C950" t="inlineStr">
        <is>
          <t>actor_forgotten_mutantsniper.name</t>
        </is>
      </c>
      <c r="D950" s="6" t="inlineStr">
        <is>
          <t>SniperInfantry</t>
        </is>
      </c>
      <c r="E950" s="6" t="n">
        <v>10000</v>
      </c>
      <c r="F950" s="6" t="n">
        <v>70</v>
      </c>
      <c r="G950" t="inlineStr">
        <is>
          <t>Flak</t>
        </is>
      </c>
      <c r="H950" s="6" t="n">
        <v>1</v>
      </c>
      <c r="I950" s="6" t="n">
        <v>1</v>
      </c>
      <c r="J950" s="6" t="n">
        <v>1</v>
      </c>
      <c r="P950">
        <f>MAX(P951)</f>
        <v/>
      </c>
      <c r="S950">
        <f>S951</f>
        <v/>
      </c>
      <c r="T950">
        <f>(E950/100000+F950/100+(P950/1000)*J950/5+S950/200)*200*I950*H950</f>
        <v/>
      </c>
      <c r="U950">
        <f>((E950*F950/25000)+((P950/1000)*J950*S950/2.5))*I950*H950</f>
        <v/>
      </c>
      <c r="V950">
        <f>(E950*F950*(P950/1000)*J950*S950*I950*H950)/12500000</f>
        <v/>
      </c>
      <c r="W950">
        <f>(T950+U950+V950)/3</f>
        <v/>
      </c>
      <c r="X950" s="6" t="n">
        <v>650</v>
      </c>
      <c r="Y950">
        <f>IFERROR(W950-X950,"")</f>
        <v/>
      </c>
      <c r="Z950">
        <f>IFERROR(ABS(Y950)/MAX(X950,1),"")</f>
        <v/>
      </c>
      <c r="AA950">
        <f>IFERROR((X950-(((E950/100000+F950/100+S950/200)*200*I950*H950)+((E950*F950/25000)*I950*H950))/3)/(((J950/5)*200*I950*H950)+((J950*S950/2.5)*I950*H950)+((E950*F950*J950*S950*I950*H950)/12500000))/3*1000,"")</f>
        <v/>
      </c>
    </row>
    <row r="951">
      <c r="B951" s="7" t="inlineStr">
        <is>
          <t xml:space="preserve">  ↳ TSSniper</t>
        </is>
      </c>
      <c r="C951" s="7" t="inlineStr">
        <is>
          <t>Armament@PRIMARY</t>
        </is>
      </c>
      <c r="L951" s="6" t="n">
        <v>10000</v>
      </c>
      <c r="M951" s="6" t="n">
        <v>25</v>
      </c>
      <c r="N951" s="6" t="n">
        <v>1</v>
      </c>
      <c r="O951" s="6" t="n"/>
      <c r="P951" s="6" t="n">
        <v>9557</v>
      </c>
      <c r="Q951" s="6" t="n">
        <v>0.75</v>
      </c>
      <c r="R951">
        <f>M951+IF(MAX(N951-1,0)&gt;0,IF(ISBLANK(O951),5*MAX(N951-1,0),IF(ISNUMBER(O951),O951*MAX(N951-1,0),SUM(IFERROR(VALUE(TEXTSPLIT(O951,",")),0)))),0)</f>
        <v/>
      </c>
      <c r="S951">
        <f>IFERROR(L951*MAX(N951,1)/R951*IF(ISBLANK(K950),1,K950),0)</f>
        <v/>
      </c>
      <c r="AB951" s="7" t="inlineStr">
        <is>
          <t>^Warhead_Sniper_Light</t>
        </is>
      </c>
    </row>
    <row r="952">
      <c r="B952" s="7" t="inlineStr">
        <is>
          <t xml:space="preserve">  ↳ TSSniper</t>
        </is>
      </c>
      <c r="C952" s="7" t="inlineStr">
        <is>
          <t>Armament@GARRISONED</t>
        </is>
      </c>
      <c r="L952" s="6" t="n">
        <v>10000</v>
      </c>
      <c r="M952" s="6" t="n">
        <v>25</v>
      </c>
      <c r="N952" s="6" t="n">
        <v>1</v>
      </c>
      <c r="O952" s="6" t="n"/>
      <c r="P952" s="6" t="n">
        <v>9557</v>
      </c>
      <c r="Q952" s="6" t="n">
        <v>0.75</v>
      </c>
      <c r="R952">
        <f>M952+IF(MAX(N952-1,0)&gt;0,IF(ISBLANK(O952),5*MAX(N952-1,0),IF(ISNUMBER(O952),O952*MAX(N952-1,0),SUM(IFERROR(VALUE(TEXTSPLIT(O952,",")),0)))),0)</f>
        <v/>
      </c>
      <c r="S952">
        <f>IFERROR(L952*MAX(N952,1)/R952*IF(ISBLANK(K950),1,K950),0)</f>
        <v/>
      </c>
      <c r="AB952" s="7" t="inlineStr">
        <is>
          <t>^Warhead_Sniper_Light</t>
        </is>
      </c>
    </row>
    <row r="953">
      <c r="A953" t="inlineStr">
        <is>
          <t>tiberiansun</t>
        </is>
      </c>
      <c r="B953" t="inlineStr">
        <is>
          <t>forgotten_mutantsniper_r4</t>
        </is>
      </c>
      <c r="C953" t="inlineStr">
        <is>
          <t>actor_forgotten_mutantsniper.name</t>
        </is>
      </c>
      <c r="D953" s="6" t="inlineStr">
        <is>
          <t>SniperInfantry</t>
        </is>
      </c>
      <c r="E953" s="6" t="n">
        <v>10000</v>
      </c>
      <c r="F953" s="6" t="n">
        <v>70</v>
      </c>
      <c r="G953" t="inlineStr">
        <is>
          <t>Flak</t>
        </is>
      </c>
      <c r="H953" s="6" t="n">
        <v>1</v>
      </c>
      <c r="I953" s="6" t="n">
        <v>1</v>
      </c>
      <c r="J953" s="6" t="n">
        <v>1</v>
      </c>
      <c r="P953">
        <f>MAX(P954)</f>
        <v/>
      </c>
      <c r="S953">
        <f>S954</f>
        <v/>
      </c>
      <c r="T953">
        <f>(E953/100000+F953/100+(P953/1000)*J953/5+S953/200)*200*I953*H953</f>
        <v/>
      </c>
      <c r="U953">
        <f>((E953*F953/25000)+((P953/1000)*J953*S953/2.5))*I953*H953</f>
        <v/>
      </c>
      <c r="V953">
        <f>(E953*F953*(P953/1000)*J953*S953*I953*H953)/12500000</f>
        <v/>
      </c>
      <c r="W953">
        <f>(T953+U953+V953)/3</f>
        <v/>
      </c>
      <c r="X953" s="6" t="n">
        <v>650</v>
      </c>
      <c r="Y953">
        <f>IFERROR(W953-X953,"")</f>
        <v/>
      </c>
      <c r="Z953">
        <f>IFERROR(ABS(Y953)/MAX(X953,1),"")</f>
        <v/>
      </c>
      <c r="AA953">
        <f>IFERROR((X953-(((E953/100000+F953/100+S953/200)*200*I953*H953)+((E953*F953/25000)*I953*H953))/3)/(((J953/5)*200*I953*H953)+((J953*S953/2.5)*I953*H953)+((E953*F953*J953*S953*I953*H953)/12500000))/3*1000,"")</f>
        <v/>
      </c>
    </row>
    <row r="954">
      <c r="B954" s="7" t="inlineStr">
        <is>
          <t xml:space="preserve">  ↳ TSSniper</t>
        </is>
      </c>
      <c r="C954" s="7" t="inlineStr">
        <is>
          <t>Armament@PRIMARY</t>
        </is>
      </c>
      <c r="L954" s="6" t="n">
        <v>10000</v>
      </c>
      <c r="M954" s="6" t="n">
        <v>25</v>
      </c>
      <c r="N954" s="6" t="n">
        <v>1</v>
      </c>
      <c r="O954" s="6" t="n"/>
      <c r="P954" s="6" t="n">
        <v>9557</v>
      </c>
      <c r="Q954" s="6" t="n">
        <v>0.75</v>
      </c>
      <c r="R954">
        <f>M954+IF(MAX(N954-1,0)&gt;0,IF(ISBLANK(O954),5*MAX(N954-1,0),IF(ISNUMBER(O954),O954*MAX(N954-1,0),SUM(IFERROR(VALUE(TEXTSPLIT(O954,",")),0)))),0)</f>
        <v/>
      </c>
      <c r="S954">
        <f>IFERROR(L954*MAX(N954,1)/R954*IF(ISBLANK(K953),1,K953),0)</f>
        <v/>
      </c>
      <c r="AB954" s="7" t="inlineStr">
        <is>
          <t>^Warhead_Sniper_Light</t>
        </is>
      </c>
    </row>
    <row r="955">
      <c r="B955" s="7" t="inlineStr">
        <is>
          <t xml:space="preserve">  ↳ TSSniper</t>
        </is>
      </c>
      <c r="C955" s="7" t="inlineStr">
        <is>
          <t>Armament@GARRISONED</t>
        </is>
      </c>
      <c r="L955" s="6" t="n">
        <v>10000</v>
      </c>
      <c r="M955" s="6" t="n">
        <v>25</v>
      </c>
      <c r="N955" s="6" t="n">
        <v>1</v>
      </c>
      <c r="O955" s="6" t="n"/>
      <c r="P955" s="6" t="n">
        <v>9557</v>
      </c>
      <c r="Q955" s="6" t="n">
        <v>0.75</v>
      </c>
      <c r="R955">
        <f>M955+IF(MAX(N955-1,0)&gt;0,IF(ISBLANK(O955),5*MAX(N955-1,0),IF(ISNUMBER(O955),O955*MAX(N955-1,0),SUM(IFERROR(VALUE(TEXTSPLIT(O955,",")),0)))),0)</f>
        <v/>
      </c>
      <c r="S955">
        <f>IFERROR(L955*MAX(N955,1)/R955*IF(ISBLANK(K953),1,K953),0)</f>
        <v/>
      </c>
      <c r="AB955" s="7" t="inlineStr">
        <is>
          <t>^Warhead_Sniper_Light</t>
        </is>
      </c>
    </row>
    <row r="956">
      <c r="A956" t="inlineStr">
        <is>
          <t>tiberiansun</t>
        </is>
      </c>
      <c r="B956" t="inlineStr">
        <is>
          <t>forgotten_mutantsniper_sp</t>
        </is>
      </c>
      <c r="C956" t="inlineStr">
        <is>
          <t>actor_forgotten_mutantsniper.name</t>
        </is>
      </c>
      <c r="D956" s="6" t="inlineStr">
        <is>
          <t>SniperInfantry</t>
        </is>
      </c>
      <c r="E956" s="6" t="n">
        <v>10000</v>
      </c>
      <c r="F956" s="6" t="n">
        <v>70</v>
      </c>
      <c r="G956" t="inlineStr">
        <is>
          <t>Flak</t>
        </is>
      </c>
      <c r="H956" s="6" t="n">
        <v>1</v>
      </c>
      <c r="I956" s="6" t="n">
        <v>1</v>
      </c>
      <c r="J956" s="6" t="n">
        <v>1</v>
      </c>
      <c r="P956">
        <f>MAX(P957)</f>
        <v/>
      </c>
      <c r="S956">
        <f>S957</f>
        <v/>
      </c>
      <c r="T956">
        <f>(E956/100000+F956/100+(P956/1000)*J956/5+S956/200)*200*I956*H956</f>
        <v/>
      </c>
      <c r="U956">
        <f>((E956*F956/25000)+((P956/1000)*J956*S956/2.5))*I956*H956</f>
        <v/>
      </c>
      <c r="V956">
        <f>(E956*F956*(P956/1000)*J956*S956*I956*H956)/12500000</f>
        <v/>
      </c>
      <c r="W956">
        <f>(T956+U956+V956)/3</f>
        <v/>
      </c>
      <c r="X956" s="6" t="n">
        <v>650</v>
      </c>
      <c r="Y956">
        <f>IFERROR(W956-X956,"")</f>
        <v/>
      </c>
      <c r="Z956">
        <f>IFERROR(ABS(Y956)/MAX(X956,1),"")</f>
        <v/>
      </c>
      <c r="AA956">
        <f>IFERROR((X956-(((E956/100000+F956/100+S956/200)*200*I956*H956)+((E956*F956/25000)*I956*H956))/3)/(((J956/5)*200*I956*H956)+((J956*S956/2.5)*I956*H956)+((E956*F956*J956*S956*I956*H956)/12500000))/3*1000,"")</f>
        <v/>
      </c>
    </row>
    <row r="957">
      <c r="B957" s="7" t="inlineStr">
        <is>
          <t xml:space="preserve">  ↳ TSSniper</t>
        </is>
      </c>
      <c r="C957" s="7" t="inlineStr">
        <is>
          <t>Armament@PRIMARY</t>
        </is>
      </c>
      <c r="L957" s="6" t="n">
        <v>10000</v>
      </c>
      <c r="M957" s="6" t="n">
        <v>25</v>
      </c>
      <c r="N957" s="6" t="n">
        <v>1</v>
      </c>
      <c r="O957" s="6" t="n"/>
      <c r="P957" s="6" t="n">
        <v>9557</v>
      </c>
      <c r="Q957" s="6" t="n">
        <v>0.75</v>
      </c>
      <c r="R957">
        <f>M957+IF(MAX(N957-1,0)&gt;0,IF(ISBLANK(O957),5*MAX(N957-1,0),IF(ISNUMBER(O957),O957*MAX(N957-1,0),SUM(IFERROR(VALUE(TEXTSPLIT(O957,",")),0)))),0)</f>
        <v/>
      </c>
      <c r="S957">
        <f>IFERROR(L957*MAX(N957,1)/R957*IF(ISBLANK(K956),1,K956),0)</f>
        <v/>
      </c>
      <c r="AB957" s="7" t="inlineStr">
        <is>
          <t>^Warhead_Sniper_Light</t>
        </is>
      </c>
    </row>
    <row r="958">
      <c r="B958" s="7" t="inlineStr">
        <is>
          <t xml:space="preserve">  ↳ TSSniper</t>
        </is>
      </c>
      <c r="C958" s="7" t="inlineStr">
        <is>
          <t>Armament@GARRISONED</t>
        </is>
      </c>
      <c r="L958" s="6" t="n">
        <v>10000</v>
      </c>
      <c r="M958" s="6" t="n">
        <v>25</v>
      </c>
      <c r="N958" s="6" t="n">
        <v>1</v>
      </c>
      <c r="O958" s="6" t="n"/>
      <c r="P958" s="6" t="n">
        <v>9557</v>
      </c>
      <c r="Q958" s="6" t="n">
        <v>0.75</v>
      </c>
      <c r="R958">
        <f>M958+IF(MAX(N958-1,0)&gt;0,IF(ISBLANK(O958),5*MAX(N958-1,0),IF(ISNUMBER(O958),O958*MAX(N958-1,0),SUM(IFERROR(VALUE(TEXTSPLIT(O958,",")),0)))),0)</f>
        <v/>
      </c>
      <c r="S958">
        <f>IFERROR(L958*MAX(N958,1)/R958*IF(ISBLANK(K956),1,K956),0)</f>
        <v/>
      </c>
      <c r="AB958" s="7" t="inlineStr">
        <is>
          <t>^Warhead_Sniper_Light</t>
        </is>
      </c>
    </row>
    <row r="959">
      <c r="A959" t="inlineStr">
        <is>
          <t>redalert2</t>
        </is>
      </c>
      <c r="B959" t="inlineStr">
        <is>
          <t>ra2_allies_sniper</t>
        </is>
      </c>
      <c r="C959" t="inlineStr">
        <is>
          <t>Sniper</t>
        </is>
      </c>
      <c r="D959" s="6" t="inlineStr">
        <is>
          <t>SniperInfantry</t>
        </is>
      </c>
      <c r="E959" s="6" t="n">
        <v>22000</v>
      </c>
      <c r="F959" s="6" t="n">
        <v>56</v>
      </c>
      <c r="G959" t="inlineStr">
        <is>
          <t>Flak</t>
        </is>
      </c>
      <c r="H959" s="6" t="n">
        <v>0.5305</v>
      </c>
      <c r="I959" s="6" t="n">
        <v>1</v>
      </c>
      <c r="J959" s="6" t="n">
        <v>1</v>
      </c>
      <c r="P959">
        <f>MAX(P960,P961)</f>
        <v/>
      </c>
      <c r="S959">
        <f>S960+S961</f>
        <v/>
      </c>
      <c r="T959">
        <f>(E959/100000+F959/100+(P959/1000)*J959/5+S959/200)*200*I959*H959</f>
        <v/>
      </c>
      <c r="U959">
        <f>((E959*F959/25000)+((P959/1000)*J959*S959/2.5))*I959*H959</f>
        <v/>
      </c>
      <c r="V959">
        <f>(E959*F959*(P959/1000)*J959*S959*I959*H959)/12500000</f>
        <v/>
      </c>
      <c r="W959">
        <f>(T959+U959+V959)/3</f>
        <v/>
      </c>
      <c r="X959" s="6" t="n">
        <v>800</v>
      </c>
      <c r="Y959">
        <f>IFERROR(W959-X959,"")</f>
        <v/>
      </c>
      <c r="Z959">
        <f>IFERROR(ABS(Y959)/MAX(X959,1),"")</f>
        <v/>
      </c>
      <c r="AA959">
        <f>IFERROR((X959-(((E959/100000+F959/100+S959/200)*200*I959*H959)+((E959*F959/25000)*I959*H959))/3)/(((J959/5)*200*I959*H959)+((J959*S959/2.5)*I959*H959)+((E959*F959*J959*S959*I959*H959)/12500000))/3*1000,"")</f>
        <v/>
      </c>
    </row>
    <row r="960">
      <c r="B960" s="7" t="inlineStr">
        <is>
          <t xml:space="preserve">  ↳ RA2AWP</t>
        </is>
      </c>
      <c r="C960" s="7" t="inlineStr">
        <is>
          <t>Armament@PRIMARY</t>
        </is>
      </c>
      <c r="L960" s="6" t="n">
        <v>44000</v>
      </c>
      <c r="M960" s="6" t="n">
        <v>54</v>
      </c>
      <c r="N960" s="6" t="n">
        <v>1</v>
      </c>
      <c r="O960" s="6" t="n"/>
      <c r="P960" s="6" t="n">
        <v>10000</v>
      </c>
      <c r="Q960" s="6" t="n">
        <v>0.75</v>
      </c>
      <c r="R960">
        <f>M960+IF(MAX(N960-1,0)&gt;0,IF(ISBLANK(O960),5*MAX(N960-1,0),IF(ISNUMBER(O960),O960*MAX(N960-1,0),SUM(IFERROR(VALUE(TEXTSPLIT(O960,",")),0)))),0)</f>
        <v/>
      </c>
      <c r="S960">
        <f>IFERROR(L960*MAX(N960,1)/R960*IF(ISBLANK(K959),1,K959),0)</f>
        <v/>
      </c>
      <c r="AB960" s="7" t="inlineStr">
        <is>
          <t>^Warhead_Sniper_Light</t>
        </is>
      </c>
    </row>
    <row r="961">
      <c r="B961" s="7" t="inlineStr">
        <is>
          <t xml:space="preserve">  ↳ RA2AWP_elite</t>
        </is>
      </c>
      <c r="C961" s="7" t="inlineStr">
        <is>
          <t>Armament@ELITE</t>
        </is>
      </c>
      <c r="L961" s="6" t="n">
        <v>88000</v>
      </c>
      <c r="M961" s="6" t="n">
        <v>54</v>
      </c>
      <c r="N961" s="6" t="n">
        <v>1</v>
      </c>
      <c r="O961" s="6" t="n"/>
      <c r="P961" s="6" t="n">
        <v>12345</v>
      </c>
      <c r="Q961" s="6" t="n">
        <v>0.75</v>
      </c>
      <c r="R961">
        <f>M961+IF(MAX(N961-1,0)&gt;0,IF(ISBLANK(O961),5*MAX(N961-1,0),IF(ISNUMBER(O961),O961*MAX(N961-1,0),SUM(IFERROR(VALUE(TEXTSPLIT(O961,",")),0)))),0)</f>
        <v/>
      </c>
      <c r="S961">
        <f>IFERROR(L961*MAX(N961,1)/R961*IF(ISBLANK(K959),1,K959),0)</f>
        <v/>
      </c>
      <c r="AB961" s="7" t="inlineStr">
        <is>
          <t>^Warhead_Sniper_Light</t>
        </is>
      </c>
    </row>
    <row r="962">
      <c r="B962" s="7" t="inlineStr">
        <is>
          <t xml:space="preserve">  ↳ RA2AWP</t>
        </is>
      </c>
      <c r="C962" s="7" t="inlineStr">
        <is>
          <t>Armament@GARRISONED</t>
        </is>
      </c>
      <c r="L962" s="6" t="n">
        <v>44000</v>
      </c>
      <c r="M962" s="6" t="n">
        <v>54</v>
      </c>
      <c r="N962" s="6" t="n">
        <v>1</v>
      </c>
      <c r="O962" s="6" t="n"/>
      <c r="P962" s="6" t="n">
        <v>10000</v>
      </c>
      <c r="Q962" s="6" t="n">
        <v>0.75</v>
      </c>
      <c r="R962">
        <f>M962+IF(MAX(N962-1,0)&gt;0,IF(ISBLANK(O962),5*MAX(N962-1,0),IF(ISNUMBER(O962),O962*MAX(N962-1,0),SUM(IFERROR(VALUE(TEXTSPLIT(O962,",")),0)))),0)</f>
        <v/>
      </c>
      <c r="S962">
        <f>IFERROR(L962*MAX(N962,1)/R962*IF(ISBLANK(K959),1,K959),0)</f>
        <v/>
      </c>
      <c r="AB962" s="7" t="inlineStr">
        <is>
          <t>^Warhead_Sniper_Light</t>
        </is>
      </c>
    </row>
    <row r="963">
      <c r="B963" s="7" t="inlineStr">
        <is>
          <t xml:space="preserve">  ↳ RA2AWP_elite</t>
        </is>
      </c>
      <c r="C963" s="7" t="inlineStr">
        <is>
          <t>Armament@GARRISONEDELITE</t>
        </is>
      </c>
      <c r="L963" s="6" t="n">
        <v>88000</v>
      </c>
      <c r="M963" s="6" t="n">
        <v>54</v>
      </c>
      <c r="N963" s="6" t="n">
        <v>1</v>
      </c>
      <c r="O963" s="6" t="n"/>
      <c r="P963" s="6" t="n">
        <v>12345</v>
      </c>
      <c r="Q963" s="6" t="n">
        <v>0.75</v>
      </c>
      <c r="R963">
        <f>M963+IF(MAX(N963-1,0)&gt;0,IF(ISBLANK(O963),5*MAX(N963-1,0),IF(ISNUMBER(O963),O963*MAX(N963-1,0),SUM(IFERROR(VALUE(TEXTSPLIT(O963,",")),0)))),0)</f>
        <v/>
      </c>
      <c r="S963">
        <f>IFERROR(L963*MAX(N963,1)/R963*IF(ISBLANK(K959),1,K959),0)</f>
        <v/>
      </c>
      <c r="AB963" s="7" t="inlineStr">
        <is>
          <t>^Warhead_Sniper_Light</t>
        </is>
      </c>
    </row>
    <row r="964">
      <c r="A964" t="inlineStr">
        <is>
          <t>redalert2</t>
        </is>
      </c>
      <c r="B964" t="inlineStr">
        <is>
          <t>yuri_virus</t>
        </is>
      </c>
      <c r="C964" t="inlineStr">
        <is>
          <t>Virus</t>
        </is>
      </c>
      <c r="D964" s="6" t="inlineStr">
        <is>
          <t>SniperInfantry</t>
        </is>
      </c>
      <c r="E964" s="6" t="n">
        <v>12000</v>
      </c>
      <c r="F964" s="6" t="n">
        <v>52</v>
      </c>
      <c r="G964" t="inlineStr">
        <is>
          <t>Flak</t>
        </is>
      </c>
      <c r="H964" s="6" t="n">
        <v>1</v>
      </c>
      <c r="I964" s="6" t="n">
        <v>0.75</v>
      </c>
      <c r="J964" s="6" t="n">
        <v>1.25</v>
      </c>
      <c r="P964">
        <f>MAX(P965,P966,P967,P968)</f>
        <v/>
      </c>
      <c r="S964">
        <f>S965+S966+S967+S968</f>
        <v/>
      </c>
      <c r="T964">
        <f>(E964/100000+F964/100+(P964/1000)*J964/5+S964/200)*200*I964*H964</f>
        <v/>
      </c>
      <c r="U964">
        <f>((E964*F964/25000)+((P964/1000)*J964*S964/2.5))*I964*H964</f>
        <v/>
      </c>
      <c r="V964">
        <f>(E964*F964*(P964/1000)*J964*S964*I964*H964)/12500000</f>
        <v/>
      </c>
      <c r="W964">
        <f>IFERROR((((E964/25000)+(F964/80)+(S964/400)+((P964/8000)*J964))*700/4+(((E964/25000)*(F964/80))+(((P964/8000)*J964)*(S964/400)))*700/2+((E964/25000)*(F964/80)*((P964/8000)*J964)*(S964/400))*700)*(H964/0.7674)/3,"")</f>
        <v/>
      </c>
      <c r="X964" s="6" t="n">
        <v>700</v>
      </c>
      <c r="Y964">
        <f>IFERROR(W964-X964,"")</f>
        <v/>
      </c>
      <c r="Z964">
        <f>IFERROR(ABS(Y964)/MAX(X964,1),"")</f>
        <v/>
      </c>
      <c r="AA964">
        <f>IFERROR(ROUND(((3*X964-(((E964/25000)+(F964/80)+(S964/400))*700/4+((E964/25000)*(F964/80))*700/2)*(H964/0.7674))/(700/4+((S964/400))*700/2+((E964/25000)*(F964/80)*(S964/400))*700)*(H964/0.7674)*8000)/J964,-1),"")</f>
        <v/>
      </c>
    </row>
    <row r="965">
      <c r="B965" s="7" t="inlineStr">
        <is>
          <t xml:space="preserve">  ↳ RA2Virusgun</t>
        </is>
      </c>
      <c r="C965" s="7" t="inlineStr">
        <is>
          <t>Armament@PRIMARY</t>
        </is>
      </c>
      <c r="L965" s="6" t="n">
        <v>24000</v>
      </c>
      <c r="M965" s="6" t="n">
        <v>74</v>
      </c>
      <c r="N965" s="6" t="n">
        <v>1</v>
      </c>
      <c r="O965" s="6" t="n"/>
      <c r="P965" s="6" t="n">
        <v>9999</v>
      </c>
      <c r="Q965" s="6" t="n">
        <v>1</v>
      </c>
      <c r="R965">
        <f>M965+IF(MAX(N965-1,0)&gt;0,IF(ISBLANK(O965),5*MAX(N965-1,0),IF(ISNUMBER(O965),O965*MAX(N965-1,0),SUM(IFERROR(VALUE(TEXTSPLIT(O965,",")),0)))),0)</f>
        <v/>
      </c>
      <c r="S965">
        <f>IFERROR(L965*MAX(N965,1)/R965*IF(ISBLANK(K964),1,K964),0)</f>
        <v/>
      </c>
      <c r="AB965" s="7" t="inlineStr">
        <is>
          <t>^HeavyChemicalWeapon, ^SniperWeapon</t>
        </is>
      </c>
    </row>
    <row r="966">
      <c r="B966" s="7" t="inlineStr">
        <is>
          <t xml:space="preserve">  ↳ RA2Virusgun2</t>
        </is>
      </c>
      <c r="C966" s="7" t="inlineStr">
        <is>
          <t>Armament@PRIMARY2</t>
        </is>
      </c>
      <c r="L966" s="6" t="n">
        <v>36000</v>
      </c>
      <c r="M966" s="6" t="n">
        <v>74</v>
      </c>
      <c r="N966" s="6" t="n">
        <v>1</v>
      </c>
      <c r="O966" s="6" t="n"/>
      <c r="P966" s="6" t="n">
        <v>9999</v>
      </c>
      <c r="Q966" s="6" t="n">
        <v>1</v>
      </c>
      <c r="R966">
        <f>M966+IF(MAX(N966-1,0)&gt;0,IF(ISBLANK(O966),5*MAX(N966-1,0),IF(ISNUMBER(O966),O966*MAX(N966-1,0),SUM(IFERROR(VALUE(TEXTSPLIT(O966,",")),0)))),0)</f>
        <v/>
      </c>
      <c r="S966">
        <f>IFERROR(L966*MAX(N966,1)/R966*IF(ISBLANK(K964),1,K964),0)</f>
        <v/>
      </c>
      <c r="AB966" s="7" t="inlineStr">
        <is>
          <t>^Warhead_Flak_Medium</t>
        </is>
      </c>
    </row>
    <row r="967">
      <c r="B967" s="7" t="inlineStr">
        <is>
          <t xml:space="preserve">  ↳ RA2Virusgun3</t>
        </is>
      </c>
      <c r="C967" s="7" t="inlineStr">
        <is>
          <t>Armament@PRIMARY3</t>
        </is>
      </c>
      <c r="L967" s="6" t="n">
        <v>48000</v>
      </c>
      <c r="M967" s="6" t="n">
        <v>74</v>
      </c>
      <c r="N967" s="6" t="n">
        <v>1</v>
      </c>
      <c r="O967" s="6" t="n"/>
      <c r="P967" s="6" t="n">
        <v>9999</v>
      </c>
      <c r="Q967" s="6" t="n">
        <v>1</v>
      </c>
      <c r="R967">
        <f>M967+IF(MAX(N967-1,0)&gt;0,IF(ISBLANK(O967),5*MAX(N967-1,0),IF(ISNUMBER(O967),O967*MAX(N967-1,0),SUM(IFERROR(VALUE(TEXTSPLIT(O967,",")),0)))),0)</f>
        <v/>
      </c>
      <c r="S967">
        <f>IFERROR(L967*MAX(N967,1)/R967*IF(ISBLANK(K964),1,K964),0)</f>
        <v/>
      </c>
      <c r="AB967" s="7" t="inlineStr">
        <is>
          <t>^Warhead_MissileAP_Medium, ^Warhead_Flak_Medium</t>
        </is>
      </c>
    </row>
    <row r="968">
      <c r="B968" s="7" t="inlineStr">
        <is>
          <t xml:space="preserve">  ↳ RA2Virusgun_elite</t>
        </is>
      </c>
      <c r="C968" s="7" t="inlineStr">
        <is>
          <t>Armament@ELITE</t>
        </is>
      </c>
      <c r="L968" s="6" t="n">
        <v>48000</v>
      </c>
      <c r="M968" s="6" t="n">
        <v>74</v>
      </c>
      <c r="N968" s="6" t="n">
        <v>1</v>
      </c>
      <c r="O968" s="6" t="n"/>
      <c r="P968" s="6" t="n">
        <v>11111</v>
      </c>
      <c r="Q968" s="6" t="n">
        <v>1</v>
      </c>
      <c r="R968">
        <f>M968+IF(MAX(N968-1,0)&gt;0,IF(ISBLANK(O968),5*MAX(N968-1,0),IF(ISNUMBER(O968),O968*MAX(N968-1,0),SUM(IFERROR(VALUE(TEXTSPLIT(O968,",")),0)))),0)</f>
        <v/>
      </c>
      <c r="S968">
        <f>IFERROR(L968*MAX(N968,1)/R968*IF(ISBLANK(K964),1,K964),0)</f>
        <v/>
      </c>
      <c r="AB968" s="7" t="inlineStr">
        <is>
          <t>^Warhead_MissileAP_Medium, ^Warhead_Flak_Medium</t>
        </is>
      </c>
    </row>
    <row r="969">
      <c r="B969" s="7" t="inlineStr">
        <is>
          <t xml:space="preserve">  ↳ RA2Virusgun</t>
        </is>
      </c>
      <c r="C969" s="7" t="inlineStr">
        <is>
          <t>Armament@GARRISONED</t>
        </is>
      </c>
      <c r="L969" s="6" t="n">
        <v>24000</v>
      </c>
      <c r="M969" s="6" t="n">
        <v>74</v>
      </c>
      <c r="N969" s="6" t="n">
        <v>1</v>
      </c>
      <c r="O969" s="6" t="n"/>
      <c r="P969" s="6" t="n">
        <v>9999</v>
      </c>
      <c r="Q969" s="6" t="n">
        <v>1</v>
      </c>
      <c r="R969">
        <f>M969+IF(MAX(N969-1,0)&gt;0,IF(ISBLANK(O969),5*MAX(N969-1,0),IF(ISNUMBER(O969),O969*MAX(N969-1,0),SUM(IFERROR(VALUE(TEXTSPLIT(O969,",")),0)))),0)</f>
        <v/>
      </c>
      <c r="S969">
        <f>IFERROR(L969*MAX(N969,1)/R969*IF(ISBLANK(K964),1,K964),0)</f>
        <v/>
      </c>
      <c r="AB969" s="7" t="inlineStr">
        <is>
          <t>^HeavyChemicalWeapon, ^SniperWeapon</t>
        </is>
      </c>
    </row>
    <row r="970">
      <c r="B970" s="7" t="inlineStr">
        <is>
          <t xml:space="preserve">  ↳ RA2Virusgun2</t>
        </is>
      </c>
      <c r="C970" s="7" t="inlineStr">
        <is>
          <t>Armament@GARRISONED2</t>
        </is>
      </c>
      <c r="L970" s="6" t="n">
        <v>36000</v>
      </c>
      <c r="M970" s="6" t="n">
        <v>74</v>
      </c>
      <c r="N970" s="6" t="n">
        <v>1</v>
      </c>
      <c r="O970" s="6" t="n"/>
      <c r="P970" s="6" t="n">
        <v>9999</v>
      </c>
      <c r="Q970" s="6" t="n">
        <v>1</v>
      </c>
      <c r="R970">
        <f>M970+IF(MAX(N970-1,0)&gt;0,IF(ISBLANK(O970),5*MAX(N970-1,0),IF(ISNUMBER(O970),O970*MAX(N970-1,0),SUM(IFERROR(VALUE(TEXTSPLIT(O970,",")),0)))),0)</f>
        <v/>
      </c>
      <c r="S970">
        <f>IFERROR(L970*MAX(N970,1)/R970*IF(ISBLANK(K964),1,K964),0)</f>
        <v/>
      </c>
      <c r="AB970" s="7" t="inlineStr">
        <is>
          <t>^Warhead_Flak_Medium</t>
        </is>
      </c>
    </row>
    <row r="971">
      <c r="B971" s="7" t="inlineStr">
        <is>
          <t xml:space="preserve">  ↳ RA2Virusgun3</t>
        </is>
      </c>
      <c r="C971" s="7" t="inlineStr">
        <is>
          <t>Armament@GARRISONED3</t>
        </is>
      </c>
      <c r="L971" s="6" t="n">
        <v>48000</v>
      </c>
      <c r="M971" s="6" t="n">
        <v>74</v>
      </c>
      <c r="N971" s="6" t="n">
        <v>1</v>
      </c>
      <c r="O971" s="6" t="n"/>
      <c r="P971" s="6" t="n">
        <v>9999</v>
      </c>
      <c r="Q971" s="6" t="n">
        <v>1</v>
      </c>
      <c r="R971">
        <f>M971+IF(MAX(N971-1,0)&gt;0,IF(ISBLANK(O971),5*MAX(N971-1,0),IF(ISNUMBER(O971),O971*MAX(N971-1,0),SUM(IFERROR(VALUE(TEXTSPLIT(O971,",")),0)))),0)</f>
        <v/>
      </c>
      <c r="S971">
        <f>IFERROR(L971*MAX(N971,1)/R971*IF(ISBLANK(K964),1,K964),0)</f>
        <v/>
      </c>
      <c r="AB971" s="7" t="inlineStr">
        <is>
          <t>^Warhead_MissileAP_Medium, ^Warhead_Flak_Medium</t>
        </is>
      </c>
    </row>
    <row r="972">
      <c r="B972" s="7" t="inlineStr">
        <is>
          <t xml:space="preserve">  ↳ RA2Virusgun_elite</t>
        </is>
      </c>
      <c r="C972" s="7" t="inlineStr">
        <is>
          <t>Armament@GARRISONEDELITE</t>
        </is>
      </c>
      <c r="L972" s="6" t="n">
        <v>48000</v>
      </c>
      <c r="M972" s="6" t="n">
        <v>74</v>
      </c>
      <c r="N972" s="6" t="n">
        <v>1</v>
      </c>
      <c r="O972" s="6" t="n"/>
      <c r="P972" s="6" t="n">
        <v>11111</v>
      </c>
      <c r="Q972" s="6" t="n">
        <v>1</v>
      </c>
      <c r="R972">
        <f>M972+IF(MAX(N972-1,0)&gt;0,IF(ISBLANK(O972),5*MAX(N972-1,0),IF(ISNUMBER(O972),O972*MAX(N972-1,0),SUM(IFERROR(VALUE(TEXTSPLIT(O972,",")),0)))),0)</f>
        <v/>
      </c>
      <c r="S972">
        <f>IFERROR(L972*MAX(N972,1)/R972*IF(ISBLANK(K964),1,K964),0)</f>
        <v/>
      </c>
      <c r="AB972" s="7" t="inlineStr">
        <is>
          <t>^Warhead_MissileAP_Medium, ^Warhead_Flak_Medium</t>
        </is>
      </c>
    </row>
    <row r="973">
      <c r="A973" t="inlineStr">
        <is>
          <t>redalert2mod</t>
        </is>
      </c>
      <c r="B973" t="inlineStr">
        <is>
          <t>asianalliance_asdf</t>
        </is>
      </c>
      <c r="C973" t="inlineStr">
        <is>
          <t>ASDF</t>
        </is>
      </c>
      <c r="D973" s="6" t="inlineStr">
        <is>
          <t>SniperInfantry</t>
        </is>
      </c>
      <c r="E973" s="6" t="n">
        <v>39000</v>
      </c>
      <c r="F973" s="6" t="n">
        <v>58</v>
      </c>
      <c r="G973" t="inlineStr">
        <is>
          <t>Flak</t>
        </is>
      </c>
      <c r="H973" s="6" t="n">
        <v>0.75</v>
      </c>
      <c r="I973" s="6" t="n">
        <v>0.75</v>
      </c>
      <c r="J973" s="6" t="n">
        <v>1.25</v>
      </c>
      <c r="K973" t="n">
        <v>0.0109</v>
      </c>
      <c r="P973">
        <f>MAX(P974,P975)</f>
        <v/>
      </c>
      <c r="S973">
        <f>S974+S975</f>
        <v/>
      </c>
      <c r="T973">
        <f>(E973/100000+F973/100+(P973/1000)*J973/5+S973/200)*200*I973*H973</f>
        <v/>
      </c>
      <c r="U973">
        <f>((E973*F973/25000)+((P973/1000)*J973*S973/2.5))*I973*H973</f>
        <v/>
      </c>
      <c r="V973">
        <f>(E973*F973*(P973/1000)*J973*S973*I973*H973)/12500000</f>
        <v/>
      </c>
      <c r="W973">
        <f>(T973+U973+V973)/3</f>
        <v/>
      </c>
      <c r="X973" s="6" t="n">
        <v>357</v>
      </c>
      <c r="Y973">
        <f>IFERROR(W973-X973,"")</f>
        <v/>
      </c>
      <c r="Z973">
        <f>IFERROR(ABS(Y973)/MAX(X973,1),"")</f>
        <v/>
      </c>
      <c r="AA973">
        <f>IFERROR((X973-(((E973/100000+F973/100+S973/200)*200*I973*H973)+((E973*F973/25000)*I973*H973))/3)/(((J973/5)*200*I973*H973)+((J973*S973/2.5)*I973*H973)+((E973*F973*J973*S973*I973*H973)/12500000))/3*1000,"")</f>
        <v/>
      </c>
    </row>
    <row r="974">
      <c r="B974" s="7" t="inlineStr">
        <is>
          <t xml:space="preserve">  ↳ ASDFGun</t>
        </is>
      </c>
      <c r="C974" s="7" t="inlineStr">
        <is>
          <t>Armament@PRIMARY</t>
        </is>
      </c>
      <c r="L974" s="6" t="n">
        <v>4000</v>
      </c>
      <c r="M974" s="6" t="n">
        <v>16</v>
      </c>
      <c r="N974" s="6" t="n">
        <v>3</v>
      </c>
      <c r="O974" s="6" t="n">
        <v>2</v>
      </c>
      <c r="P974" s="6" t="n">
        <v>5935</v>
      </c>
      <c r="Q974" s="6" t="n">
        <v>0.875</v>
      </c>
      <c r="R974">
        <f>M974+IF(MAX(N974-1,0)&gt;0,IF(ISBLANK(O974),5*MAX(N974-1,0),IF(ISNUMBER(O974),O974*MAX(N974-1,0),SUM(IFERROR(VALUE(TEXTSPLIT(O974,",")),0)))),0)</f>
        <v/>
      </c>
      <c r="S974">
        <f>IFERROR(L974*MAX(N974,1)/R974*IF(ISBLANK(K973),1,K973),0)</f>
        <v/>
      </c>
      <c r="AB974" s="7" t="inlineStr">
        <is>
          <t>^Warhead_Bullet_Light, ^Warhead_Bullet_Medium</t>
        </is>
      </c>
    </row>
    <row r="975">
      <c r="B975" s="7" t="inlineStr">
        <is>
          <t xml:space="preserve">  ↳ ASDFGun2</t>
        </is>
      </c>
      <c r="C975" s="7" t="inlineStr">
        <is>
          <t>Armament@Upgrade</t>
        </is>
      </c>
      <c r="L975" s="6" t="n">
        <v>6000</v>
      </c>
      <c r="M975" s="6" t="n">
        <v>16</v>
      </c>
      <c r="N975" s="6" t="n">
        <v>3</v>
      </c>
      <c r="O975" s="6" t="n">
        <v>2</v>
      </c>
      <c r="P975" s="6" t="n">
        <v>5935</v>
      </c>
      <c r="Q975" s="6" t="n">
        <v>1</v>
      </c>
      <c r="R975">
        <f>M975+IF(MAX(N975-1,0)&gt;0,IF(ISBLANK(O975),5*MAX(N975-1,0),IF(ISNUMBER(O975),O975*MAX(N975-1,0),SUM(IFERROR(VALUE(TEXTSPLIT(O975,",")),0)))),0)</f>
        <v/>
      </c>
      <c r="S975">
        <f>IFERROR(L975*MAX(N975,1)/R975*IF(ISBLANK(K973),1,K973),0)</f>
        <v/>
      </c>
      <c r="AB975" s="7" t="inlineStr">
        <is>
          <t>^Warhead_Railgun_Heavy, ^Warhead_Bullet_Light, ^Warhead_Bullet_Medium</t>
        </is>
      </c>
    </row>
    <row r="976">
      <c r="B976" s="7" t="inlineStr">
        <is>
          <t xml:space="preserve">  ↳ ASDFKamikazeTargeting</t>
        </is>
      </c>
      <c r="C976" s="7" t="inlineStr">
        <is>
          <t>Armament@SECONDARY</t>
        </is>
      </c>
      <c r="M976" s="6" t="n">
        <v>100</v>
      </c>
      <c r="N976" s="6" t="n">
        <v>1</v>
      </c>
      <c r="O976" s="6" t="n"/>
      <c r="P976" s="6" t="n">
        <v>7250</v>
      </c>
      <c r="Q976" s="6" t="n">
        <v>1</v>
      </c>
      <c r="R976">
        <f>M976+IF(MAX(N976-1,0)&gt;0,IF(ISBLANK(O976),5*MAX(N976-1,0),IF(ISNUMBER(O976),O976*MAX(N976-1,0),SUM(IFERROR(VALUE(TEXTSPLIT(O976,",")),0)))),0)</f>
        <v/>
      </c>
      <c r="S976">
        <f>IFERROR(L976*MAX(N976,1)/R976*IF(ISBLANK(K973),1,K973),0)</f>
        <v/>
      </c>
      <c r="AB976" s="7" t="inlineStr"/>
    </row>
    <row r="977">
      <c r="B977" s="7" t="inlineStr">
        <is>
          <t xml:space="preserve">  ↳ ASDFGun</t>
        </is>
      </c>
      <c r="C977" s="7" t="inlineStr">
        <is>
          <t>Armament@GARRISONED</t>
        </is>
      </c>
      <c r="L977" s="6" t="n">
        <v>4000</v>
      </c>
      <c r="M977" s="6" t="n">
        <v>16</v>
      </c>
      <c r="N977" s="6" t="n">
        <v>3</v>
      </c>
      <c r="O977" s="6" t="n">
        <v>2</v>
      </c>
      <c r="P977" s="6" t="n">
        <v>5935</v>
      </c>
      <c r="Q977" s="6" t="n">
        <v>0.875</v>
      </c>
      <c r="R977">
        <f>M977+IF(MAX(N977-1,0)&gt;0,IF(ISBLANK(O977),5*MAX(N977-1,0),IF(ISNUMBER(O977),O977*MAX(N977-1,0),SUM(IFERROR(VALUE(TEXTSPLIT(O977,",")),0)))),0)</f>
        <v/>
      </c>
      <c r="S977">
        <f>IFERROR(L977*MAX(N977,1)/R977*IF(ISBLANK(K973),1,K973),0)</f>
        <v/>
      </c>
      <c r="AB977" s="7" t="inlineStr">
        <is>
          <t>^Warhead_Bullet_Light, ^Warhead_Bullet_Medium</t>
        </is>
      </c>
    </row>
    <row r="978">
      <c r="B978" s="7" t="inlineStr">
        <is>
          <t xml:space="preserve">  ↳ ASDFGun2</t>
        </is>
      </c>
      <c r="C978" s="7" t="inlineStr">
        <is>
          <t>Armament@UpgradeGARRISONED</t>
        </is>
      </c>
      <c r="L978" s="6" t="n">
        <v>6000</v>
      </c>
      <c r="M978" s="6" t="n">
        <v>16</v>
      </c>
      <c r="N978" s="6" t="n">
        <v>3</v>
      </c>
      <c r="O978" s="6" t="n">
        <v>2</v>
      </c>
      <c r="P978" s="6" t="n">
        <v>5935</v>
      </c>
      <c r="Q978" s="6" t="n">
        <v>1</v>
      </c>
      <c r="R978">
        <f>M978+IF(MAX(N978-1,0)&gt;0,IF(ISBLANK(O978),5*MAX(N978-1,0),IF(ISNUMBER(O978),O978*MAX(N978-1,0),SUM(IFERROR(VALUE(TEXTSPLIT(O978,",")),0)))),0)</f>
        <v/>
      </c>
      <c r="S978">
        <f>IFERROR(L978*MAX(N978,1)/R978*IF(ISBLANK(K973),1,K973),0)</f>
        <v/>
      </c>
      <c r="AB978" s="7" t="inlineStr">
        <is>
          <t>^Warhead_Railgun_Heavy, ^Warhead_Bullet_Light, ^Warhead_Bullet_Medium</t>
        </is>
      </c>
    </row>
    <row r="979">
      <c r="A979" t="inlineStr">
        <is>
          <t>redalert2mod</t>
        </is>
      </c>
      <c r="B979" t="inlineStr">
        <is>
          <t>asianalliance_shinobi</t>
        </is>
      </c>
      <c r="C979" t="inlineStr">
        <is>
          <t>Shinobi</t>
        </is>
      </c>
      <c r="D979" s="6" t="inlineStr">
        <is>
          <t>SniperInfantry</t>
        </is>
      </c>
      <c r="E979" s="6" t="n">
        <v>20000</v>
      </c>
      <c r="F979" s="6" t="n">
        <v>60</v>
      </c>
      <c r="G979" t="inlineStr">
        <is>
          <t>Flak</t>
        </is>
      </c>
      <c r="H979" s="6" t="n">
        <v>1</v>
      </c>
      <c r="I979" s="6" t="n">
        <v>0.75</v>
      </c>
      <c r="J979" s="6" t="n">
        <v>1</v>
      </c>
      <c r="P979">
        <f>MAX(P980,P981)</f>
        <v/>
      </c>
      <c r="S979">
        <f>S980+S981</f>
        <v/>
      </c>
      <c r="T979">
        <f>(E979/100000+F979/100+(P979/1000)*J979/5+S979/200)*200*I979*H979</f>
        <v/>
      </c>
      <c r="U979">
        <f>((E979*F979/25000)+((P979/1000)*J979*S979/2.5))*I979*H979</f>
        <v/>
      </c>
      <c r="V979">
        <f>(E979*F979*(P979/1000)*J979*S979*I979*H979)/12500000</f>
        <v/>
      </c>
      <c r="W979">
        <f>(T979+U979+V979)/3</f>
        <v/>
      </c>
      <c r="X979" s="6" t="n">
        <v>750</v>
      </c>
      <c r="Y979">
        <f>IFERROR(W979-X979,"")</f>
        <v/>
      </c>
      <c r="Z979">
        <f>IFERROR(ABS(Y979)/MAX(X979,1),"")</f>
        <v/>
      </c>
      <c r="AA979">
        <f>IFERROR((X979-(((E979/100000+F979/100+S979/200)*200*I979*H979)+((E979*F979/25000)*I979*H979))/3)/(((J979/5)*200*I979*H979)+((J979*S979/2.5)*I979*H979)+((E979*F979*J979*S979*I979*H979)/12500000))/3*1000,"")</f>
        <v/>
      </c>
    </row>
    <row r="980">
      <c r="B980" s="7" t="inlineStr">
        <is>
          <t xml:space="preserve">  ↳ AsianNinjaStar</t>
        </is>
      </c>
      <c r="C980" s="7" t="inlineStr">
        <is>
          <t>Armament@PRIMARY</t>
        </is>
      </c>
      <c r="L980" s="6" t="n">
        <v>20000</v>
      </c>
      <c r="M980" s="6" t="n">
        <v>25</v>
      </c>
      <c r="N980" s="6" t="n">
        <v>1</v>
      </c>
      <c r="O980" s="6" t="n"/>
      <c r="P980" s="6" t="n">
        <v>4560</v>
      </c>
      <c r="Q980" s="6" t="n">
        <v>1</v>
      </c>
      <c r="R980">
        <f>M980+IF(MAX(N980-1,0)&gt;0,IF(ISBLANK(O980),5*MAX(N980-1,0),IF(ISNUMBER(O980),O980*MAX(N980-1,0),SUM(IFERROR(VALUE(TEXTSPLIT(O980,",")),0)))),0)</f>
        <v/>
      </c>
      <c r="S980">
        <f>IFERROR(L980*MAX(N980,1)/R980*IF(ISBLANK(K979),1,K979),0)</f>
        <v/>
      </c>
      <c r="AB980" s="7" t="inlineStr">
        <is>
          <t>^Warhead_Melee_Medium</t>
        </is>
      </c>
    </row>
    <row r="981">
      <c r="B981" s="7" t="inlineStr">
        <is>
          <t xml:space="preserve">  ↳ AsianNinjaStar_elite</t>
        </is>
      </c>
      <c r="C981" s="7" t="inlineStr">
        <is>
          <t>Armament@ELITE</t>
        </is>
      </c>
      <c r="L981" s="6" t="n">
        <v>20000</v>
      </c>
      <c r="M981" s="6" t="n">
        <v>25</v>
      </c>
      <c r="N981" s="6" t="n">
        <v>2</v>
      </c>
      <c r="O981" s="6" t="n">
        <v>3</v>
      </c>
      <c r="P981" s="6" t="n">
        <v>5560</v>
      </c>
      <c r="Q981" s="6" t="n">
        <v>1</v>
      </c>
      <c r="R981">
        <f>M981+IF(MAX(N981-1,0)&gt;0,IF(ISBLANK(O981),5*MAX(N981-1,0),IF(ISNUMBER(O981),O981*MAX(N981-1,0),SUM(IFERROR(VALUE(TEXTSPLIT(O981,",")),0)))),0)</f>
        <v/>
      </c>
      <c r="S981">
        <f>IFERROR(L981*MAX(N981,1)/R981*IF(ISBLANK(K979),1,K979),0)</f>
        <v/>
      </c>
      <c r="AB981" s="7" t="inlineStr">
        <is>
          <t>^Warhead_Melee_Medium</t>
        </is>
      </c>
    </row>
    <row r="982">
      <c r="B982" s="7" t="inlineStr">
        <is>
          <t xml:space="preserve">  ↳ AsianNinjaStar</t>
        </is>
      </c>
      <c r="C982" s="7" t="inlineStr">
        <is>
          <t>Armament@GARRISONED</t>
        </is>
      </c>
      <c r="L982" s="6" t="n">
        <v>20000</v>
      </c>
      <c r="M982" s="6" t="n">
        <v>25</v>
      </c>
      <c r="N982" s="6" t="n">
        <v>1</v>
      </c>
      <c r="O982" s="6" t="n"/>
      <c r="P982" s="6" t="n">
        <v>4560</v>
      </c>
      <c r="Q982" s="6" t="n">
        <v>1</v>
      </c>
      <c r="R982">
        <f>M982+IF(MAX(N982-1,0)&gt;0,IF(ISBLANK(O982),5*MAX(N982-1,0),IF(ISNUMBER(O982),O982*MAX(N982-1,0),SUM(IFERROR(VALUE(TEXTSPLIT(O982,",")),0)))),0)</f>
        <v/>
      </c>
      <c r="S982">
        <f>IFERROR(L982*MAX(N982,1)/R982*IF(ISBLANK(K979),1,K979),0)</f>
        <v/>
      </c>
      <c r="AB982" s="7" t="inlineStr">
        <is>
          <t>^Warhead_Melee_Medium</t>
        </is>
      </c>
    </row>
    <row r="983">
      <c r="B983" s="7" t="inlineStr">
        <is>
          <t xml:space="preserve">  ↳ AsianNinjaStar_elite</t>
        </is>
      </c>
      <c r="C983" s="7" t="inlineStr">
        <is>
          <t>Armament@GARRISONEDELITE</t>
        </is>
      </c>
      <c r="L983" s="6" t="n">
        <v>20000</v>
      </c>
      <c r="M983" s="6" t="n">
        <v>25</v>
      </c>
      <c r="N983" s="6" t="n">
        <v>2</v>
      </c>
      <c r="O983" s="6" t="n">
        <v>3</v>
      </c>
      <c r="P983" s="6" t="n">
        <v>5560</v>
      </c>
      <c r="Q983" s="6" t="n">
        <v>1</v>
      </c>
      <c r="R983">
        <f>M983+IF(MAX(N983-1,0)&gt;0,IF(ISBLANK(O983),5*MAX(N983-1,0),IF(ISNUMBER(O983),O983*MAX(N983-1,0),SUM(IFERROR(VALUE(TEXTSPLIT(O983,",")),0)))),0)</f>
        <v/>
      </c>
      <c r="S983">
        <f>IFERROR(L983*MAX(N983,1)/R983*IF(ISBLANK(K979),1,K979),0)</f>
        <v/>
      </c>
      <c r="AB983" s="7" t="inlineStr">
        <is>
          <t>^Warhead_Melee_Medium</t>
        </is>
      </c>
    </row>
    <row r="984">
      <c r="A984" t="inlineStr">
        <is>
          <t>redalert2mod</t>
        </is>
      </c>
      <c r="B984" t="inlineStr">
        <is>
          <t>latinsyndicate_narco</t>
        </is>
      </c>
      <c r="C984" t="inlineStr">
        <is>
          <t>Narco</t>
        </is>
      </c>
      <c r="D984" s="6" t="inlineStr">
        <is>
          <t>SniperInfantry</t>
        </is>
      </c>
      <c r="E984" s="6" t="n">
        <v>28000</v>
      </c>
      <c r="F984" s="6" t="n">
        <v>70</v>
      </c>
      <c r="G984" t="inlineStr">
        <is>
          <t>Flak</t>
        </is>
      </c>
      <c r="H984" s="6" t="n">
        <v>0.75</v>
      </c>
      <c r="I984" s="6" t="n">
        <v>0.75</v>
      </c>
      <c r="J984" s="6" t="n">
        <v>1</v>
      </c>
      <c r="K984" t="n">
        <v>0.0105</v>
      </c>
      <c r="P984">
        <f>MAX(P985,P986,P987,P988)</f>
        <v/>
      </c>
      <c r="S984">
        <f>S985+S986+S987+S988</f>
        <v/>
      </c>
      <c r="T984">
        <f>(E984/100000+F984/100+(P984/1000)*J984/5+S984/200)*200*I984*H984</f>
        <v/>
      </c>
      <c r="U984">
        <f>((E984*F984/25000)+((P984/1000)*J984*S984/2.5))*I984*H984</f>
        <v/>
      </c>
      <c r="V984">
        <f>(E984*F984*(P984/1000)*J984*S984*I984*H984)/12500000</f>
        <v/>
      </c>
      <c r="W984">
        <f>IFERROR((((E984/5000)+(F984/50)+(S984/0)+((P984/0)*J984))*500/4+(((E984/5000)*(F984/50))+(((P984/0)*J984)*(S984/0)))*500/2+((E984/5000)*(F984/50)*((P984/0)*J984)*(S984/0))*500)*(H984/1.0)/3,"")</f>
        <v/>
      </c>
      <c r="X984" s="6" t="n">
        <v>756</v>
      </c>
      <c r="Y984">
        <f>IFERROR(W984-X984,"")</f>
        <v/>
      </c>
      <c r="Z984">
        <f>IFERROR(ABS(Y984)/MAX(X984,1),"")</f>
        <v/>
      </c>
      <c r="AA984">
        <f>IFERROR(ROUND(((3*X984-(((E984/5000)+(F984/50)+(S984/0))*500/4+((E984/5000)*(F984/50))*500/2)*(H984/1.0))/(500/4+((S984/0))*500/2+((E984/5000)*(F984/50)*(S984/0))*500)*(H984/1.0)*0)/J984,-1),"")</f>
        <v/>
      </c>
    </row>
    <row r="985">
      <c r="B985" s="7" t="inlineStr">
        <is>
          <t xml:space="preserve">  ↳ NarcoGrenade</t>
        </is>
      </c>
      <c r="C985" s="7" t="inlineStr">
        <is>
          <t>Armament@Grenade</t>
        </is>
      </c>
      <c r="L985" s="6" t="n">
        <v>70000</v>
      </c>
      <c r="M985" s="6" t="n">
        <v>77</v>
      </c>
      <c r="N985" s="6" t="n">
        <v>1</v>
      </c>
      <c r="O985" s="6" t="n"/>
      <c r="P985" s="6" t="n">
        <v>5701</v>
      </c>
      <c r="Q985" s="6" t="n">
        <v>0.75</v>
      </c>
      <c r="R985">
        <f>M985+IF(MAX(N985-1,0)&gt;0,IF(ISBLANK(O985),5*MAX(N985-1,0),IF(ISNUMBER(O985),O985*MAX(N985-1,0),SUM(IFERROR(VALUE(TEXTSPLIT(O985,",")),0)))),0)</f>
        <v/>
      </c>
      <c r="S985">
        <f>IFERROR(L985*MAX(N985,1)/R985*IF(ISBLANK(K984),1,K984),0)</f>
        <v/>
      </c>
      <c r="AB985" s="7" t="inlineStr">
        <is>
          <t>^Warhead_Demolition_Light</t>
        </is>
      </c>
    </row>
    <row r="986">
      <c r="B986" s="7" t="inlineStr">
        <is>
          <t xml:space="preserve">  ↳ NarcoGrenade_elite</t>
        </is>
      </c>
      <c r="C986" s="7" t="inlineStr">
        <is>
          <t>Armament@GrenadeELITE</t>
        </is>
      </c>
      <c r="L986" s="6" t="n">
        <v>70000</v>
      </c>
      <c r="M986" s="6" t="n">
        <v>77</v>
      </c>
      <c r="N986" s="6" t="n">
        <v>2</v>
      </c>
      <c r="O986" s="6" t="n">
        <v>3</v>
      </c>
      <c r="P986" s="6" t="n">
        <v>7300</v>
      </c>
      <c r="Q986" s="6" t="n">
        <v>0.75</v>
      </c>
      <c r="R986">
        <f>M986+IF(MAX(N986-1,0)&gt;0,IF(ISBLANK(O986),5*MAX(N986-1,0),IF(ISNUMBER(O986),O986*MAX(N986-1,0),SUM(IFERROR(VALUE(TEXTSPLIT(O986,",")),0)))),0)</f>
        <v/>
      </c>
      <c r="S986">
        <f>IFERROR(L986*MAX(N986,1)/R986*IF(ISBLANK(K984),1,K984),0)</f>
        <v/>
      </c>
      <c r="AB986" s="7" t="inlineStr">
        <is>
          <t>^Warhead_Demolition_Light</t>
        </is>
      </c>
    </row>
    <row r="987">
      <c r="B987" s="7" t="inlineStr">
        <is>
          <t xml:space="preserve">  ↳ RA2NarcoPistol</t>
        </is>
      </c>
      <c r="C987" s="7" t="inlineStr">
        <is>
          <t>Armament@Pistol</t>
        </is>
      </c>
      <c r="L987" s="6" t="n">
        <v>20000</v>
      </c>
      <c r="M987" s="6" t="n">
        <v>22</v>
      </c>
      <c r="N987" s="6" t="n">
        <v>1</v>
      </c>
      <c r="O987" s="6" t="n"/>
      <c r="P987" s="6" t="n">
        <v>6300</v>
      </c>
      <c r="Q987" s="6" t="n">
        <v>0.75</v>
      </c>
      <c r="R987">
        <f>M987+IF(MAX(N987-1,0)&gt;0,IF(ISBLANK(O987),5*MAX(N987-1,0),IF(ISNUMBER(O987),O987*MAX(N987-1,0),SUM(IFERROR(VALUE(TEXTSPLIT(O987,",")),0)))),0)</f>
        <v/>
      </c>
      <c r="S987">
        <f>IFERROR(L987*MAX(N987,1)/R987*IF(ISBLANK(K984),1,K984),0)</f>
        <v/>
      </c>
      <c r="AB987" s="7" t="inlineStr">
        <is>
          <t>^Warhead_Sniper_Light</t>
        </is>
      </c>
    </row>
    <row r="988">
      <c r="B988" s="7" t="inlineStr">
        <is>
          <t xml:space="preserve">  ↳ RA2NarcoPistols_elite</t>
        </is>
      </c>
      <c r="C988" s="7" t="inlineStr">
        <is>
          <t>Armament@PistolELITE</t>
        </is>
      </c>
      <c r="L988" s="6" t="n">
        <v>20000</v>
      </c>
      <c r="M988" s="6" t="n">
        <v>22</v>
      </c>
      <c r="N988" s="6" t="n">
        <v>2</v>
      </c>
      <c r="O988" s="6" t="n">
        <v>3</v>
      </c>
      <c r="P988" s="6" t="n">
        <v>7300</v>
      </c>
      <c r="Q988" s="6" t="n">
        <v>0.75</v>
      </c>
      <c r="R988">
        <f>M988+IF(MAX(N988-1,0)&gt;0,IF(ISBLANK(O988),5*MAX(N988-1,0),IF(ISNUMBER(O988),O988*MAX(N988-1,0),SUM(IFERROR(VALUE(TEXTSPLIT(O988,",")),0)))),0)</f>
        <v/>
      </c>
      <c r="S988">
        <f>IFERROR(L988*MAX(N988,1)/R988*IF(ISBLANK(K984),1,K984),0)</f>
        <v/>
      </c>
      <c r="AB988" s="7" t="inlineStr">
        <is>
          <t>^Warhead_Sniper_Light</t>
        </is>
      </c>
    </row>
    <row r="989">
      <c r="B989" s="7" t="inlineStr">
        <is>
          <t xml:space="preserve">  ↳ NarcoGrenade</t>
        </is>
      </c>
      <c r="C989" s="7" t="inlineStr">
        <is>
          <t>Armament@GrenadeGARRISONED</t>
        </is>
      </c>
      <c r="L989" s="6" t="n">
        <v>70000</v>
      </c>
      <c r="M989" s="6" t="n">
        <v>77</v>
      </c>
      <c r="N989" s="6" t="n">
        <v>1</v>
      </c>
      <c r="O989" s="6" t="n"/>
      <c r="P989" s="6" t="n">
        <v>5701</v>
      </c>
      <c r="Q989" s="6" t="n">
        <v>0.75</v>
      </c>
      <c r="R989">
        <f>M989+IF(MAX(N989-1,0)&gt;0,IF(ISBLANK(O989),5*MAX(N989-1,0),IF(ISNUMBER(O989),O989*MAX(N989-1,0),SUM(IFERROR(VALUE(TEXTSPLIT(O989,",")),0)))),0)</f>
        <v/>
      </c>
      <c r="S989">
        <f>IFERROR(L989*MAX(N989,1)/R989*IF(ISBLANK(K984),1,K984),0)</f>
        <v/>
      </c>
      <c r="AB989" s="7" t="inlineStr">
        <is>
          <t>^Warhead_Demolition_Light</t>
        </is>
      </c>
    </row>
    <row r="990">
      <c r="B990" s="7" t="inlineStr">
        <is>
          <t xml:space="preserve">  ↳ NarcoGrenade_elite</t>
        </is>
      </c>
      <c r="C990" s="7" t="inlineStr">
        <is>
          <t>Armament@GrenadeGARRISONEDELITE</t>
        </is>
      </c>
      <c r="L990" s="6" t="n">
        <v>70000</v>
      </c>
      <c r="M990" s="6" t="n">
        <v>77</v>
      </c>
      <c r="N990" s="6" t="n">
        <v>2</v>
      </c>
      <c r="O990" s="6" t="n">
        <v>3</v>
      </c>
      <c r="P990" s="6" t="n">
        <v>7300</v>
      </c>
      <c r="Q990" s="6" t="n">
        <v>0.75</v>
      </c>
      <c r="R990">
        <f>M990+IF(MAX(N990-1,0)&gt;0,IF(ISBLANK(O990),5*MAX(N990-1,0),IF(ISNUMBER(O990),O990*MAX(N990-1,0),SUM(IFERROR(VALUE(TEXTSPLIT(O990,",")),0)))),0)</f>
        <v/>
      </c>
      <c r="S990">
        <f>IFERROR(L990*MAX(N990,1)/R990*IF(ISBLANK(K984),1,K984),0)</f>
        <v/>
      </c>
      <c r="AB990" s="7" t="inlineStr">
        <is>
          <t>^Warhead_Demolition_Light</t>
        </is>
      </c>
    </row>
    <row r="991">
      <c r="B991" s="7" t="inlineStr">
        <is>
          <t xml:space="preserve">  ↳ RA2NarcoPistol</t>
        </is>
      </c>
      <c r="C991" s="7" t="inlineStr">
        <is>
          <t>Armament@PistolGARRISONED</t>
        </is>
      </c>
      <c r="L991" s="6" t="n">
        <v>20000</v>
      </c>
      <c r="M991" s="6" t="n">
        <v>22</v>
      </c>
      <c r="N991" s="6" t="n">
        <v>1</v>
      </c>
      <c r="O991" s="6" t="n"/>
      <c r="P991" s="6" t="n">
        <v>6300</v>
      </c>
      <c r="Q991" s="6" t="n">
        <v>0.75</v>
      </c>
      <c r="R991">
        <f>M991+IF(MAX(N991-1,0)&gt;0,IF(ISBLANK(O991),5*MAX(N991-1,0),IF(ISNUMBER(O991),O991*MAX(N991-1,0),SUM(IFERROR(VALUE(TEXTSPLIT(O991,",")),0)))),0)</f>
        <v/>
      </c>
      <c r="S991">
        <f>IFERROR(L991*MAX(N991,1)/R991*IF(ISBLANK(K984),1,K984),0)</f>
        <v/>
      </c>
      <c r="AB991" s="7" t="inlineStr">
        <is>
          <t>^Warhead_Sniper_Light</t>
        </is>
      </c>
    </row>
    <row r="992">
      <c r="B992" s="7" t="inlineStr">
        <is>
          <t xml:space="preserve">  ↳ RA2NarcoPistols_elite</t>
        </is>
      </c>
      <c r="C992" s="7" t="inlineStr">
        <is>
          <t>Armament@PistolGARRISONEDELITE</t>
        </is>
      </c>
      <c r="L992" s="6" t="n">
        <v>20000</v>
      </c>
      <c r="M992" s="6" t="n">
        <v>22</v>
      </c>
      <c r="N992" s="6" t="n">
        <v>2</v>
      </c>
      <c r="O992" s="6" t="n">
        <v>3</v>
      </c>
      <c r="P992" s="6" t="n">
        <v>7300</v>
      </c>
      <c r="Q992" s="6" t="n">
        <v>0.75</v>
      </c>
      <c r="R992">
        <f>M992+IF(MAX(N992-1,0)&gt;0,IF(ISBLANK(O992),5*MAX(N992-1,0),IF(ISNUMBER(O992),O992*MAX(N992-1,0),SUM(IFERROR(VALUE(TEXTSPLIT(O992,",")),0)))),0)</f>
        <v/>
      </c>
      <c r="S992">
        <f>IFERROR(L992*MAX(N992,1)/R992*IF(ISBLANK(K984),1,K984),0)</f>
        <v/>
      </c>
      <c r="AB992" s="7" t="inlineStr">
        <is>
          <t>^Warhead_Sniper_Light</t>
        </is>
      </c>
    </row>
    <row r="993">
      <c r="A993" t="inlineStr">
        <is>
          <t>redalert2mod</t>
        </is>
      </c>
      <c r="B993" t="inlineStr">
        <is>
          <t>naxis_naximercenarysniper</t>
        </is>
      </c>
      <c r="C993" t="inlineStr">
        <is>
          <t>Naxi Mercenary Sniper</t>
        </is>
      </c>
      <c r="D993" s="6" t="inlineStr">
        <is>
          <t>SniperInfantry</t>
        </is>
      </c>
      <c r="E993" s="6" t="n">
        <v>8000</v>
      </c>
      <c r="F993" s="6" t="n">
        <v>60</v>
      </c>
      <c r="G993" t="inlineStr">
        <is>
          <t>Flak</t>
        </is>
      </c>
      <c r="H993" s="6" t="n">
        <v>0.514</v>
      </c>
      <c r="I993" s="6" t="n">
        <v>1</v>
      </c>
      <c r="J993" s="6" t="n">
        <v>1</v>
      </c>
      <c r="P993">
        <f>MAX(P994,P995)</f>
        <v/>
      </c>
      <c r="S993">
        <f>S994+S995</f>
        <v/>
      </c>
      <c r="T993">
        <f>(E993/100000+F993/100+(P993/1000)*J993/5+S993/200)*200*I993*H993</f>
        <v/>
      </c>
      <c r="U993">
        <f>((E993*F993/25000)+((P993/1000)*J993*S993/2.5))*I993*H993</f>
        <v/>
      </c>
      <c r="V993">
        <f>(E993*F993*(P993/1000)*J993*S993*I993*H993)/12500000</f>
        <v/>
      </c>
      <c r="W993">
        <f>(T993+U993+V993)/3</f>
        <v/>
      </c>
      <c r="X993" s="6" t="n">
        <v>250</v>
      </c>
      <c r="Y993">
        <f>IFERROR(W993-X993,"")</f>
        <v/>
      </c>
      <c r="Z993">
        <f>IFERROR(ABS(Y993)/MAX(X993,1),"")</f>
        <v/>
      </c>
      <c r="AA993">
        <f>IFERROR((X993-(((E993/100000+F993/100+S993/200)*200*I993*H993)+((E993*F993/25000)*I993*H993))/3)/(((J993/5)*200*I993*H993)+((J993*S993/2.5)*I993*H993)+((E993*F993*J993*S993*I993*H993)/12500000))/3*1000,"")</f>
        <v/>
      </c>
    </row>
    <row r="994">
      <c r="B994" s="7" t="inlineStr">
        <is>
          <t xml:space="preserve">  ↳ NaxiSniper</t>
        </is>
      </c>
      <c r="C994" s="7" t="inlineStr">
        <is>
          <t>Armament@PRIMARY</t>
        </is>
      </c>
      <c r="L994" s="6" t="n">
        <v>24000</v>
      </c>
      <c r="M994" s="6" t="n">
        <v>120</v>
      </c>
      <c r="N994" s="6" t="n">
        <v>1</v>
      </c>
      <c r="O994" s="6" t="n"/>
      <c r="P994" s="6" t="n">
        <v>7777</v>
      </c>
      <c r="Q994" s="6" t="n">
        <v>0.75</v>
      </c>
      <c r="R994">
        <f>M994+IF(MAX(N994-1,0)&gt;0,IF(ISBLANK(O994),5*MAX(N994-1,0),IF(ISNUMBER(O994),O994*MAX(N994-1,0),SUM(IFERROR(VALUE(TEXTSPLIT(O994,",")),0)))),0)</f>
        <v/>
      </c>
      <c r="S994">
        <f>IFERROR(L994*MAX(N994,1)/R994*IF(ISBLANK(K993),1,K993),0)</f>
        <v/>
      </c>
      <c r="AB994" s="7" t="inlineStr">
        <is>
          <t>^Warhead_Sniper_Light</t>
        </is>
      </c>
    </row>
    <row r="995">
      <c r="B995" s="7" t="inlineStr">
        <is>
          <t xml:space="preserve">  ↳ NaxiSniper_elite</t>
        </is>
      </c>
      <c r="C995" s="7" t="inlineStr">
        <is>
          <t>Armament@ELITE</t>
        </is>
      </c>
      <c r="L995" s="6" t="n">
        <v>24000</v>
      </c>
      <c r="M995" s="6" t="n">
        <v>120</v>
      </c>
      <c r="N995" s="6" t="n">
        <v>2</v>
      </c>
      <c r="O995" s="6" t="n">
        <v>3</v>
      </c>
      <c r="P995" s="6" t="n">
        <v>8888</v>
      </c>
      <c r="Q995" s="6" t="n">
        <v>0.75</v>
      </c>
      <c r="R995">
        <f>M995+IF(MAX(N995-1,0)&gt;0,IF(ISBLANK(O995),5*MAX(N995-1,0),IF(ISNUMBER(O995),O995*MAX(N995-1,0),SUM(IFERROR(VALUE(TEXTSPLIT(O995,",")),0)))),0)</f>
        <v/>
      </c>
      <c r="S995">
        <f>IFERROR(L995*MAX(N995,1)/R995*IF(ISBLANK(K993),1,K993),0)</f>
        <v/>
      </c>
      <c r="AB995" s="7" t="inlineStr">
        <is>
          <t>^Warhead_Sniper_Light</t>
        </is>
      </c>
    </row>
    <row r="996">
      <c r="B996" s="7" t="inlineStr">
        <is>
          <t xml:space="preserve">  ↳ NaxiSniper</t>
        </is>
      </c>
      <c r="C996" s="7" t="inlineStr">
        <is>
          <t>Armament@GARRISONED</t>
        </is>
      </c>
      <c r="L996" s="6" t="n">
        <v>24000</v>
      </c>
      <c r="M996" s="6" t="n">
        <v>120</v>
      </c>
      <c r="N996" s="6" t="n">
        <v>1</v>
      </c>
      <c r="O996" s="6" t="n"/>
      <c r="P996" s="6" t="n">
        <v>7777</v>
      </c>
      <c r="Q996" s="6" t="n">
        <v>0.75</v>
      </c>
      <c r="R996">
        <f>M996+IF(MAX(N996-1,0)&gt;0,IF(ISBLANK(O996),5*MAX(N996-1,0),IF(ISNUMBER(O996),O996*MAX(N996-1,0),SUM(IFERROR(VALUE(TEXTSPLIT(O996,",")),0)))),0)</f>
        <v/>
      </c>
      <c r="S996">
        <f>IFERROR(L996*MAX(N996,1)/R996*IF(ISBLANK(K993),1,K993),0)</f>
        <v/>
      </c>
      <c r="AB996" s="7" t="inlineStr">
        <is>
          <t>^Warhead_Sniper_Light</t>
        </is>
      </c>
    </row>
    <row r="997">
      <c r="B997" s="7" t="inlineStr">
        <is>
          <t xml:space="preserve">  ↳ NaxiSniper_elite</t>
        </is>
      </c>
      <c r="C997" s="7" t="inlineStr">
        <is>
          <t>Armament@GARRISONEDELITE</t>
        </is>
      </c>
      <c r="L997" s="6" t="n">
        <v>24000</v>
      </c>
      <c r="M997" s="6" t="n">
        <v>120</v>
      </c>
      <c r="N997" s="6" t="n">
        <v>2</v>
      </c>
      <c r="O997" s="6" t="n">
        <v>3</v>
      </c>
      <c r="P997" s="6" t="n">
        <v>8888</v>
      </c>
      <c r="Q997" s="6" t="n">
        <v>0.75</v>
      </c>
      <c r="R997">
        <f>M997+IF(MAX(N997-1,0)&gt;0,IF(ISBLANK(O997),5*MAX(N997-1,0),IF(ISNUMBER(O997),O997*MAX(N997-1,0),SUM(IFERROR(VALUE(TEXTSPLIT(O997,",")),0)))),0)</f>
        <v/>
      </c>
      <c r="S997">
        <f>IFERROR(L997*MAX(N997,1)/R997*IF(ISBLANK(K993),1,K993),0)</f>
        <v/>
      </c>
      <c r="AB997" s="7" t="inlineStr">
        <is>
          <t>^Warhead_Sniper_Light</t>
        </is>
      </c>
    </row>
    <row r="998">
      <c r="A998" t="inlineStr">
        <is>
          <t>redalert2mod</t>
        </is>
      </c>
      <c r="B998" t="inlineStr">
        <is>
          <t>tkm_sniper</t>
        </is>
      </c>
      <c r="C998" t="inlineStr">
        <is>
          <t>Sniper</t>
        </is>
      </c>
      <c r="D998" s="6" t="inlineStr">
        <is>
          <t>SniperInfantry</t>
        </is>
      </c>
      <c r="E998" s="6" t="n">
        <v>20000</v>
      </c>
      <c r="F998" s="6" t="n">
        <v>60</v>
      </c>
      <c r="G998" t="inlineStr">
        <is>
          <t>Flak</t>
        </is>
      </c>
      <c r="H998" s="6" t="n">
        <v>0.6522</v>
      </c>
      <c r="I998" s="6" t="n">
        <v>1</v>
      </c>
      <c r="J998" s="6" t="n">
        <v>1</v>
      </c>
      <c r="P998">
        <f>MAX(P999)</f>
        <v/>
      </c>
      <c r="S998">
        <f>S999</f>
        <v/>
      </c>
      <c r="T998">
        <f>(E998/100000+F998/100+(P998/1000)*J998/5+S998/200)*200*I998*H998</f>
        <v/>
      </c>
      <c r="U998">
        <f>((E998*F998/25000)+((P998/1000)*J998*S998/2.5))*I998*H998</f>
        <v/>
      </c>
      <c r="V998">
        <f>(E998*F998*(P998/1000)*J998*S998*I998*H998)/12500000</f>
        <v/>
      </c>
      <c r="W998">
        <f>(T998+U998+V998)/3</f>
        <v/>
      </c>
      <c r="X998" s="6" t="n">
        <v>600</v>
      </c>
      <c r="Y998">
        <f>IFERROR(W998-X998,"")</f>
        <v/>
      </c>
      <c r="Z998">
        <f>IFERROR(ABS(Y998)/MAX(X998,1),"")</f>
        <v/>
      </c>
      <c r="AA998">
        <f>IFERROR((X998-(((E998/100000+F998/100+S998/200)*200*I998*H998)+((E998*F998/25000)*I998*H998))/3)/(((J998/5)*200*I998*H998)+((J998*S998/2.5)*I998*H998)+((E998*F998*J998*S998*I998*H998)/12500000))/3*1000,"")</f>
        <v/>
      </c>
    </row>
    <row r="999">
      <c r="B999" s="7" t="inlineStr">
        <is>
          <t xml:space="preserve">  ↳ tkmawp</t>
        </is>
      </c>
      <c r="C999" s="7" t="inlineStr">
        <is>
          <t>Armament@PRIMARY</t>
        </is>
      </c>
      <c r="L999" s="6" t="n">
        <v>44000</v>
      </c>
      <c r="M999" s="6" t="n">
        <v>55</v>
      </c>
      <c r="N999" s="6" t="n">
        <v>1</v>
      </c>
      <c r="O999" s="6" t="n"/>
      <c r="P999" s="6" t="n">
        <v>10021</v>
      </c>
      <c r="Q999" s="6" t="n">
        <v>0.75</v>
      </c>
      <c r="R999">
        <f>M999+IF(MAX(N999-1,0)&gt;0,IF(ISBLANK(O999),5*MAX(N999-1,0),IF(ISNUMBER(O999),O999*MAX(N999-1,0),SUM(IFERROR(VALUE(TEXTSPLIT(O999,",")),0)))),0)</f>
        <v/>
      </c>
      <c r="S999">
        <f>IFERROR(L999*MAX(N999,1)/R999*IF(ISBLANK(K998),1,K998),0)</f>
        <v/>
      </c>
      <c r="AB999" s="7" t="inlineStr">
        <is>
          <t>^Warhead_Sniper_Light</t>
        </is>
      </c>
    </row>
    <row r="1000">
      <c r="B1000" s="7" t="inlineStr">
        <is>
          <t xml:space="preserve">  ↳ tkmawp</t>
        </is>
      </c>
      <c r="C1000" s="7" t="inlineStr">
        <is>
          <t>Armament@GARRISONED</t>
        </is>
      </c>
      <c r="L1000" s="6" t="n">
        <v>44000</v>
      </c>
      <c r="M1000" s="6" t="n">
        <v>55</v>
      </c>
      <c r="N1000" s="6" t="n">
        <v>1</v>
      </c>
      <c r="O1000" s="6" t="n"/>
      <c r="P1000" s="6" t="n">
        <v>10021</v>
      </c>
      <c r="Q1000" s="6" t="n">
        <v>0.75</v>
      </c>
      <c r="R1000">
        <f>M1000+IF(MAX(N1000-1,0)&gt;0,IF(ISBLANK(O1000),5*MAX(N1000-1,0),IF(ISNUMBER(O1000),O1000*MAX(N1000-1,0),SUM(IFERROR(VALUE(TEXTSPLIT(O1000,",")),0)))),0)</f>
        <v/>
      </c>
      <c r="S1000">
        <f>IFERROR(L1000*MAX(N1000,1)/R1000*IF(ISBLANK(K998),1,K998),0)</f>
        <v/>
      </c>
      <c r="AB1000" s="7" t="inlineStr">
        <is>
          <t>^Warhead_Sniper_Light</t>
        </is>
      </c>
    </row>
    <row r="1001">
      <c r="A1001" t="inlineStr">
        <is>
          <t>starcraft</t>
        </is>
      </c>
      <c r="B1001" t="inlineStr">
        <is>
          <t>terran_ghost</t>
        </is>
      </c>
      <c r="C1001" t="inlineStr">
        <is>
          <t>Ghost</t>
        </is>
      </c>
      <c r="D1001" s="6" t="inlineStr">
        <is>
          <t>SniperInfantry</t>
        </is>
      </c>
      <c r="E1001" s="6" t="n">
        <v>44000</v>
      </c>
      <c r="F1001" s="6" t="n">
        <v>75</v>
      </c>
      <c r="G1001" t="inlineStr">
        <is>
          <t>Flak</t>
        </is>
      </c>
      <c r="H1001" s="6" t="n">
        <v>0.75</v>
      </c>
      <c r="I1001" s="6" t="n">
        <v>0.75</v>
      </c>
      <c r="J1001" s="6" t="n">
        <v>1</v>
      </c>
      <c r="K1001" t="n">
        <v>0.0103</v>
      </c>
      <c r="P1001">
        <f>MAX(P1002,P1003)</f>
        <v/>
      </c>
      <c r="S1001">
        <f>S1002+S1003</f>
        <v/>
      </c>
      <c r="T1001">
        <f>(E1001/100000+F1001/100+(P1001/1000)*J1001/5+S1001/200)*200*I1001*H1001</f>
        <v/>
      </c>
      <c r="U1001">
        <f>((E1001*F1001/25000)+((P1001/1000)*J1001*S1001/2.5))*I1001*H1001</f>
        <v/>
      </c>
      <c r="V1001">
        <f>(E1001*F1001*(P1001/1000)*J1001*S1001*I1001*H1001)/12500000</f>
        <v/>
      </c>
      <c r="W1001">
        <f>IFERROR((((E1001/15000)+(F1001/50)+(S1001/240)+((P1001/6000)*J1001))*200/4+(((E1001/15000)*(F1001/50))+(((P1001/6000)*J1001)*(S1001/240)))*200/2+((E1001/15000)*(F1001/50)*((P1001/6000)*J1001)*(S1001/240))*200)*(H1001/1.0)/3,"")</f>
        <v/>
      </c>
      <c r="X1001" s="6" t="n">
        <v>1176</v>
      </c>
      <c r="Y1001">
        <f>IFERROR(W1001-X1001,"")</f>
        <v/>
      </c>
      <c r="Z1001">
        <f>IFERROR(ABS(Y1001)/MAX(X1001,1),"")</f>
        <v/>
      </c>
      <c r="AA1001">
        <f>IFERROR(ROUND(((3*X1001-(((E1001/15000)+(F1001/50)+(S1001/240))*200/4+((E1001/15000)*(F1001/50))*200/2)*(H1001/1.0))/(200/4+((S1001/240))*200/2+((E1001/15000)*(F1001/50)*(S1001/240))*200)*(H1001/1.0)*6000)/J1001,-1),"")</f>
        <v/>
      </c>
    </row>
    <row r="1002">
      <c r="B1002" s="7" t="inlineStr">
        <is>
          <t xml:space="preserve">  ↳ GhostSniperLockdown</t>
        </is>
      </c>
      <c r="C1002" s="7" t="inlineStr">
        <is>
          <t>Armament@lockdown</t>
        </is>
      </c>
      <c r="L1002" s="6" t="n">
        <v>124000</v>
      </c>
      <c r="M1002" s="6" t="n">
        <v>22</v>
      </c>
      <c r="N1002" s="6" t="n">
        <v>1</v>
      </c>
      <c r="O1002" s="6" t="n"/>
      <c r="P1002" s="6" t="n">
        <v>8428</v>
      </c>
      <c r="Q1002" s="6" t="n">
        <v>1.25</v>
      </c>
      <c r="R1002">
        <f>M1002+IF(MAX(N1002-1,0)&gt;0,IF(ISBLANK(O1002),5*MAX(N1002-1,0),IF(ISNUMBER(O1002),O1002*MAX(N1002-1,0),SUM(IFERROR(VALUE(TEXTSPLIT(O1002,",")),0)))),0)</f>
        <v/>
      </c>
      <c r="S1002">
        <f>IFERROR(L1002*MAX(N1002,1)/R1002*IF(ISBLANK(K1001),1,K1001),0)</f>
        <v/>
      </c>
      <c r="AB1002" s="7" t="inlineStr">
        <is>
          <t>^Warhead_Tesla_Super, ^Warhead_CannonHE_Heavy</t>
        </is>
      </c>
    </row>
    <row r="1003">
      <c r="B1003" s="7" t="inlineStr">
        <is>
          <t xml:space="preserve">  ↳ GhostSniper</t>
        </is>
      </c>
      <c r="C1003" s="7" t="inlineStr">
        <is>
          <t>Armament@PRIMARY</t>
        </is>
      </c>
      <c r="L1003" s="6" t="n">
        <v>10000</v>
      </c>
      <c r="M1003" s="6" t="n">
        <v>22</v>
      </c>
      <c r="N1003" s="6" t="n">
        <v>1</v>
      </c>
      <c r="O1003" s="6" t="n"/>
      <c r="P1003" s="6" t="n">
        <v>8428</v>
      </c>
      <c r="Q1003" s="6" t="n">
        <v>1.25</v>
      </c>
      <c r="R1003">
        <f>M1003+IF(MAX(N1003-1,0)&gt;0,IF(ISBLANK(O1003),5*MAX(N1003-1,0),IF(ISNUMBER(O1003),O1003*MAX(N1003-1,0),SUM(IFERROR(VALUE(TEXTSPLIT(O1003,",")),0)))),0)</f>
        <v/>
      </c>
      <c r="S1003">
        <f>IFERROR(L1003*MAX(N1003,1)/R1003*IF(ISBLANK(K1001),1,K1001),0)</f>
        <v/>
      </c>
      <c r="AB1003" s="7" t="inlineStr">
        <is>
          <t>^Warhead_CannonHE_Heavy</t>
        </is>
      </c>
    </row>
    <row r="1004">
      <c r="B1004" s="7" t="inlineStr">
        <is>
          <t xml:space="preserve">  ↳ GhostSniper</t>
        </is>
      </c>
      <c r="C1004" s="7" t="inlineStr">
        <is>
          <t>Armament@GARRISONED</t>
        </is>
      </c>
      <c r="L1004" s="6" t="n">
        <v>10000</v>
      </c>
      <c r="M1004" s="6" t="n">
        <v>22</v>
      </c>
      <c r="N1004" s="6" t="n">
        <v>1</v>
      </c>
      <c r="O1004" s="6" t="n"/>
      <c r="P1004" s="6" t="n">
        <v>8428</v>
      </c>
      <c r="Q1004" s="6" t="n">
        <v>1.25</v>
      </c>
      <c r="R1004">
        <f>M1004+IF(MAX(N1004-1,0)&gt;0,IF(ISBLANK(O1004),5*MAX(N1004-1,0),IF(ISNUMBER(O1004),O1004*MAX(N1004-1,0),SUM(IFERROR(VALUE(TEXTSPLIT(O1004,",")),0)))),0)</f>
        <v/>
      </c>
      <c r="S1004">
        <f>IFERROR(L1004*MAX(N1004,1)/R1004*IF(ISBLANK(K1001),1,K1001),0)</f>
        <v/>
      </c>
      <c r="AB1004" s="7" t="inlineStr">
        <is>
          <t>^Warhead_CannonHE_Heavy</t>
        </is>
      </c>
    </row>
    <row r="1005">
      <c r="A1005" t="inlineStr">
        <is>
          <t>starcraft</t>
        </is>
      </c>
      <c r="B1005" t="inlineStr">
        <is>
          <t>terran_reaper</t>
        </is>
      </c>
      <c r="C1005" t="inlineStr">
        <is>
          <t>Reaper</t>
        </is>
      </c>
      <c r="D1005" s="6" t="inlineStr">
        <is>
          <t>SniperInfantry</t>
        </is>
      </c>
      <c r="E1005" s="6" t="n">
        <v>60000</v>
      </c>
      <c r="F1005" s="6" t="n">
        <v>120</v>
      </c>
      <c r="G1005" t="inlineStr">
        <is>
          <t>Flak</t>
        </is>
      </c>
      <c r="H1005" s="6" t="n">
        <v>1</v>
      </c>
      <c r="I1005" s="6" t="n">
        <v>0.5</v>
      </c>
      <c r="J1005" s="6" t="n">
        <v>2</v>
      </c>
      <c r="P1005">
        <f>MAX(P1006,P1007,P1008)</f>
        <v/>
      </c>
      <c r="S1005">
        <f>S1006+S1007+S1008</f>
        <v/>
      </c>
      <c r="T1005">
        <f>(E1005/100000+F1005/100+(P1005/1000)*J1005/5+S1005/200)*200*I1005*H1005</f>
        <v/>
      </c>
      <c r="U1005">
        <f>((E1005*F1005/25000)+((P1005/1000)*J1005*S1005/2.5))*I1005*H1005</f>
        <v/>
      </c>
      <c r="V1005">
        <f>(E1005*F1005*(P1005/1000)*J1005*S1005*I1005*H1005)/12500000</f>
        <v/>
      </c>
      <c r="W1005">
        <f>(T1005+U1005+V1005)/3</f>
        <v/>
      </c>
      <c r="X1005" s="6" t="n">
        <v>600</v>
      </c>
      <c r="Y1005">
        <f>IFERROR(W1005-X1005,"")</f>
        <v/>
      </c>
      <c r="Z1005">
        <f>IFERROR(ABS(Y1005)/MAX(X1005,1),"")</f>
        <v/>
      </c>
      <c r="AA1005">
        <f>IFERROR((X1005-(((E1005/100000+F1005/100+S1005/200)*200*I1005*H1005)+((E1005*F1005/25000)*I1005*H1005))/3)/(((J1005/5)*200*I1005*H1005)+((J1005*S1005/2.5)*I1005*H1005)+((E1005*F1005*J1005*S1005*I1005*H1005)/12500000))/3*1000,"")</f>
        <v/>
      </c>
    </row>
    <row r="1006">
      <c r="B1006" s="7" t="inlineStr">
        <is>
          <t xml:space="preserve">  ↳ ReaperPistols</t>
        </is>
      </c>
      <c r="C1006" s="7" t="inlineStr">
        <is>
          <t>Armament@PRIMARY</t>
        </is>
      </c>
      <c r="L1006" s="6" t="n">
        <v>4000</v>
      </c>
      <c r="M1006" s="6" t="n">
        <v>22</v>
      </c>
      <c r="N1006" s="6" t="n">
        <v>1</v>
      </c>
      <c r="O1006" s="6" t="n"/>
      <c r="P1006" s="6" t="n">
        <v>4375</v>
      </c>
      <c r="Q1006" s="6" t="n">
        <v>0.75</v>
      </c>
      <c r="R1006">
        <f>M1006+IF(MAX(N1006-1,0)&gt;0,IF(ISBLANK(O1006),5*MAX(N1006-1,0),IF(ISNUMBER(O1006),O1006*MAX(N1006-1,0),SUM(IFERROR(VALUE(TEXTSPLIT(O1006,",")),0)))),0)</f>
        <v/>
      </c>
      <c r="S1006">
        <f>IFERROR(L1006*MAX(N1006,1)/R1006*IF(ISBLANK(K1005),1,K1005),0)</f>
        <v/>
      </c>
      <c r="AB1006" s="7" t="inlineStr">
        <is>
          <t>^Warhead_Sniper_Light</t>
        </is>
      </c>
    </row>
    <row r="1007">
      <c r="B1007" s="7" t="inlineStr">
        <is>
          <t xml:space="preserve">  ↳ ReaperPistols</t>
        </is>
      </c>
      <c r="C1007" s="7" t="inlineStr">
        <is>
          <t>Armament@SECONDARY</t>
        </is>
      </c>
      <c r="L1007" s="6" t="n">
        <v>4000</v>
      </c>
      <c r="M1007" s="6" t="n">
        <v>22</v>
      </c>
      <c r="N1007" s="6" t="n">
        <v>1</v>
      </c>
      <c r="O1007" s="6" t="n"/>
      <c r="P1007" s="6" t="n">
        <v>4375</v>
      </c>
      <c r="Q1007" s="6" t="n">
        <v>0.75</v>
      </c>
      <c r="R1007">
        <f>M1007+IF(MAX(N1007-1,0)&gt;0,IF(ISBLANK(O1007),5*MAX(N1007-1,0),IF(ISNUMBER(O1007),O1007*MAX(N1007-1,0),SUM(IFERROR(VALUE(TEXTSPLIT(O1007,",")),0)))),0)</f>
        <v/>
      </c>
      <c r="S1007">
        <f>IFERROR(L1007*MAX(N1007,1)/R1007*IF(ISBLANK(K1005),1,K1005),0)</f>
        <v/>
      </c>
      <c r="AB1007" s="7" t="inlineStr">
        <is>
          <t>^Warhead_Sniper_Light</t>
        </is>
      </c>
    </row>
    <row r="1008">
      <c r="B1008" s="7" t="inlineStr">
        <is>
          <t xml:space="preserve">  ↳ ReaperGrenade</t>
        </is>
      </c>
      <c r="C1008" s="7" t="inlineStr">
        <is>
          <t>Armament@Grenade</t>
        </is>
      </c>
      <c r="L1008" s="6" t="n">
        <v>12000</v>
      </c>
      <c r="M1008" s="6" t="n">
        <v>45</v>
      </c>
      <c r="N1008" s="6" t="n">
        <v>1</v>
      </c>
      <c r="O1008" s="6" t="n"/>
      <c r="P1008" s="6" t="n">
        <v>4375</v>
      </c>
      <c r="Q1008" s="6" t="n">
        <v>1</v>
      </c>
      <c r="R1008">
        <f>M1008+IF(MAX(N1008-1,0)&gt;0,IF(ISBLANK(O1008),5*MAX(N1008-1,0),IF(ISNUMBER(O1008),O1008*MAX(N1008-1,0),SUM(IFERROR(VALUE(TEXTSPLIT(O1008,",")),0)))),0)</f>
        <v/>
      </c>
      <c r="S1008">
        <f>IFERROR(L1008*MAX(N1008,1)/R1008*IF(ISBLANK(K1005),1,K1005),0)</f>
        <v/>
      </c>
      <c r="AB1008" s="7" t="inlineStr">
        <is>
          <t>^Warhead_Demolition_Light, ^Warhead_Concussion_Medium, ^Warhead_CannonHE_Heavy</t>
        </is>
      </c>
    </row>
    <row r="1009">
      <c r="B1009" s="7" t="inlineStr">
        <is>
          <t xml:space="preserve">  ↳ ReaperPistols</t>
        </is>
      </c>
      <c r="C1009" s="7" t="inlineStr">
        <is>
          <t>Armament@GARRISONED1</t>
        </is>
      </c>
      <c r="L1009" s="6" t="n">
        <v>4000</v>
      </c>
      <c r="M1009" s="6" t="n">
        <v>22</v>
      </c>
      <c r="N1009" s="6" t="n">
        <v>1</v>
      </c>
      <c r="O1009" s="6" t="n"/>
      <c r="P1009" s="6" t="n">
        <v>4375</v>
      </c>
      <c r="Q1009" s="6" t="n">
        <v>0.75</v>
      </c>
      <c r="R1009">
        <f>M1009+IF(MAX(N1009-1,0)&gt;0,IF(ISBLANK(O1009),5*MAX(N1009-1,0),IF(ISNUMBER(O1009),O1009*MAX(N1009-1,0),SUM(IFERROR(VALUE(TEXTSPLIT(O1009,",")),0)))),0)</f>
        <v/>
      </c>
      <c r="S1009">
        <f>IFERROR(L1009*MAX(N1009,1)/R1009*IF(ISBLANK(K1005),1,K1005),0)</f>
        <v/>
      </c>
      <c r="AB1009" s="7" t="inlineStr">
        <is>
          <t>^Warhead_Sniper_Light</t>
        </is>
      </c>
    </row>
    <row r="1010">
      <c r="B1010" s="7" t="inlineStr">
        <is>
          <t xml:space="preserve">  ↳ ReaperPistols</t>
        </is>
      </c>
      <c r="C1010" s="7" t="inlineStr">
        <is>
          <t>Armament@GARRISONED2</t>
        </is>
      </c>
      <c r="L1010" s="6" t="n">
        <v>4000</v>
      </c>
      <c r="M1010" s="6" t="n">
        <v>22</v>
      </c>
      <c r="N1010" s="6" t="n">
        <v>1</v>
      </c>
      <c r="O1010" s="6" t="n"/>
      <c r="P1010" s="6" t="n">
        <v>4375</v>
      </c>
      <c r="Q1010" s="6" t="n">
        <v>0.75</v>
      </c>
      <c r="R1010">
        <f>M1010+IF(MAX(N1010-1,0)&gt;0,IF(ISBLANK(O1010),5*MAX(N1010-1,0),IF(ISNUMBER(O1010),O1010*MAX(N1010-1,0),SUM(IFERROR(VALUE(TEXTSPLIT(O1010,",")),0)))),0)</f>
        <v/>
      </c>
      <c r="S1010">
        <f>IFERROR(L1010*MAX(N1010,1)/R1010*IF(ISBLANK(K1005),1,K1005),0)</f>
        <v/>
      </c>
      <c r="AB1010" s="7" t="inlineStr">
        <is>
          <t>^Warhead_Sniper_Light</t>
        </is>
      </c>
    </row>
    <row r="1011">
      <c r="B1011" s="7" t="inlineStr">
        <is>
          <t xml:space="preserve">  ↳ ReaperGrenade</t>
        </is>
      </c>
      <c r="C1011" s="7" t="inlineStr">
        <is>
          <t>Armament@GARRISONEDGrenade</t>
        </is>
      </c>
      <c r="L1011" s="6" t="n">
        <v>12000</v>
      </c>
      <c r="M1011" s="6" t="n">
        <v>45</v>
      </c>
      <c r="N1011" s="6" t="n">
        <v>1</v>
      </c>
      <c r="O1011" s="6" t="n"/>
      <c r="P1011" s="6" t="n">
        <v>4375</v>
      </c>
      <c r="Q1011" s="6" t="n">
        <v>1</v>
      </c>
      <c r="R1011">
        <f>M1011+IF(MAX(N1011-1,0)&gt;0,IF(ISBLANK(O1011),5*MAX(N1011-1,0),IF(ISNUMBER(O1011),O1011*MAX(N1011-1,0),SUM(IFERROR(VALUE(TEXTSPLIT(O1011,",")),0)))),0)</f>
        <v/>
      </c>
      <c r="S1011">
        <f>IFERROR(L1011*MAX(N1011,1)/R1011*IF(ISBLANK(K1005),1,K1005),0)</f>
        <v/>
      </c>
      <c r="AB1011" s="7" t="inlineStr">
        <is>
          <t>^Warhead_Demolition_Light, ^Warhead_Concussion_Medium, ^Warhead_CannonHE_Heavy</t>
        </is>
      </c>
    </row>
    <row r="1012">
      <c r="A1012" t="inlineStr">
        <is>
          <t>starcraft</t>
        </is>
      </c>
      <c r="B1012" t="inlineStr">
        <is>
          <t>terran_specter</t>
        </is>
      </c>
      <c r="C1012" t="inlineStr">
        <is>
          <t>Specter</t>
        </is>
      </c>
      <c r="D1012" s="6" t="inlineStr">
        <is>
          <t>SniperInfantry</t>
        </is>
      </c>
      <c r="E1012" s="6" t="n">
        <v>50000</v>
      </c>
      <c r="F1012" s="6" t="n">
        <v>80</v>
      </c>
      <c r="G1012" t="inlineStr">
        <is>
          <t>Flak</t>
        </is>
      </c>
      <c r="H1012" s="6" t="n">
        <v>0.75</v>
      </c>
      <c r="I1012" s="6" t="n">
        <v>0.75</v>
      </c>
      <c r="J1012" s="6" t="n">
        <v>1</v>
      </c>
      <c r="K1012" t="n">
        <v>0.0106</v>
      </c>
      <c r="P1012">
        <f>MAX(P1013,P1014)</f>
        <v/>
      </c>
      <c r="S1012">
        <f>S1013+S1014</f>
        <v/>
      </c>
      <c r="T1012">
        <f>(E1012/100000+F1012/100+(P1012/1000)*J1012/5+S1012/200)*200*I1012*H1012</f>
        <v/>
      </c>
      <c r="U1012">
        <f>((E1012*F1012/25000)+((P1012/1000)*J1012*S1012/2.5))*I1012*H1012</f>
        <v/>
      </c>
      <c r="V1012">
        <f>(E1012*F1012*(P1012/1000)*J1012*S1012*I1012*H1012)/12500000</f>
        <v/>
      </c>
      <c r="W1012">
        <f>IFERROR((((E1012/15000)+(F1012/50)+(S1012/240)+((P1012/6000)*J1012))*200/4+(((E1012/15000)*(F1012/50))+(((P1012/6000)*J1012)*(S1012/240)))*200/2+((E1012/15000)*(F1012/50)*((P1012/6000)*J1012)*(S1012/240))*200)*(H1012/1.0)/3,"")</f>
        <v/>
      </c>
      <c r="X1012" s="6" t="n">
        <v>1744</v>
      </c>
      <c r="Y1012">
        <f>IFERROR(W1012-X1012,"")</f>
        <v/>
      </c>
      <c r="Z1012">
        <f>IFERROR(ABS(Y1012)/MAX(X1012,1),"")</f>
        <v/>
      </c>
      <c r="AA1012">
        <f>IFERROR(ROUND(((3*X1012-(((E1012/15000)+(F1012/50)+(S1012/240))*200/4+((E1012/15000)*(F1012/50))*200/2)*(H1012/1.0))/(200/4+((S1012/240))*200/2+((E1012/15000)*(F1012/50)*(S1012/240))*200)*(H1012/1.0)*6000)/J1012,-1),"")</f>
        <v/>
      </c>
    </row>
    <row r="1013">
      <c r="B1013" s="7" t="inlineStr">
        <is>
          <t xml:space="preserve">  ↳ SpecterSniperLockdown</t>
        </is>
      </c>
      <c r="C1013" s="7" t="inlineStr">
        <is>
          <t>Armament@lockdown</t>
        </is>
      </c>
      <c r="L1013" s="6" t="n">
        <v>248000</v>
      </c>
      <c r="M1013" s="6" t="n">
        <v>33</v>
      </c>
      <c r="N1013" s="6" t="n">
        <v>1</v>
      </c>
      <c r="O1013" s="6" t="n"/>
      <c r="P1013" s="6" t="n">
        <v>7922</v>
      </c>
      <c r="Q1013" s="6" t="n">
        <v>1.25</v>
      </c>
      <c r="R1013">
        <f>M1013+IF(MAX(N1013-1,0)&gt;0,IF(ISBLANK(O1013),5*MAX(N1013-1,0),IF(ISNUMBER(O1013),O1013*MAX(N1013-1,0),SUM(IFERROR(VALUE(TEXTSPLIT(O1013,",")),0)))),0)</f>
        <v/>
      </c>
      <c r="S1013">
        <f>IFERROR(L1013*MAX(N1013,1)/R1013*IF(ISBLANK(K1012),1,K1012),0)</f>
        <v/>
      </c>
      <c r="AB1013" s="7" t="inlineStr">
        <is>
          <t>^Warhead_Tesla_Super, ^Warhead_CannonHE_Heavy</t>
        </is>
      </c>
    </row>
    <row r="1014">
      <c r="B1014" s="7" t="inlineStr">
        <is>
          <t xml:space="preserve">  ↳ SpecterSniper</t>
        </is>
      </c>
      <c r="C1014" s="7" t="inlineStr">
        <is>
          <t>Armament@PRIMARY</t>
        </is>
      </c>
      <c r="L1014" s="6" t="n">
        <v>20000</v>
      </c>
      <c r="M1014" s="6" t="n">
        <v>33</v>
      </c>
      <c r="N1014" s="6" t="n">
        <v>1</v>
      </c>
      <c r="O1014" s="6" t="n"/>
      <c r="P1014" s="6" t="n">
        <v>7922</v>
      </c>
      <c r="Q1014" s="6" t="n">
        <v>1.25</v>
      </c>
      <c r="R1014">
        <f>M1014+IF(MAX(N1014-1,0)&gt;0,IF(ISBLANK(O1014),5*MAX(N1014-1,0),IF(ISNUMBER(O1014),O1014*MAX(N1014-1,0),SUM(IFERROR(VALUE(TEXTSPLIT(O1014,",")),0)))),0)</f>
        <v/>
      </c>
      <c r="S1014">
        <f>IFERROR(L1014*MAX(N1014,1)/R1014*IF(ISBLANK(K1012),1,K1012),0)</f>
        <v/>
      </c>
      <c r="AB1014" s="7" t="inlineStr">
        <is>
          <t>^Warhead_CannonHE_Heavy</t>
        </is>
      </c>
    </row>
    <row r="1015">
      <c r="B1015" s="7" t="inlineStr">
        <is>
          <t xml:space="preserve">  ↳ SpecterSniper</t>
        </is>
      </c>
      <c r="C1015" s="7" t="inlineStr">
        <is>
          <t>Armament@GARRISONED</t>
        </is>
      </c>
      <c r="L1015" s="6" t="n">
        <v>20000</v>
      </c>
      <c r="M1015" s="6" t="n">
        <v>33</v>
      </c>
      <c r="N1015" s="6" t="n">
        <v>1</v>
      </c>
      <c r="O1015" s="6" t="n"/>
      <c r="P1015" s="6" t="n">
        <v>7922</v>
      </c>
      <c r="Q1015" s="6" t="n">
        <v>1.25</v>
      </c>
      <c r="R1015">
        <f>M1015+IF(MAX(N1015-1,0)&gt;0,IF(ISBLANK(O1015),5*MAX(N1015-1,0),IF(ISNUMBER(O1015),O1015*MAX(N1015-1,0),SUM(IFERROR(VALUE(TEXTSPLIT(O1015,",")),0)))),0)</f>
        <v/>
      </c>
      <c r="S1015">
        <f>IFERROR(L1015*MAX(N1015,1)/R1015*IF(ISBLANK(K1012),1,K1012),0)</f>
        <v/>
      </c>
      <c r="AB1015" s="7" t="inlineStr">
        <is>
          <t>^Warhead_CannonHE_Heavy</t>
        </is>
      </c>
    </row>
    <row r="1016">
      <c r="A1016" t="inlineStr">
        <is>
          <t>warcraft2</t>
        </is>
      </c>
      <c r="B1016" t="inlineStr">
        <is>
          <t>wc2_orcs_deathknight</t>
        </is>
      </c>
      <c r="C1016" t="inlineStr">
        <is>
          <t>Death Knight</t>
        </is>
      </c>
      <c r="D1016" s="6" t="inlineStr">
        <is>
          <t>SniperInfantry</t>
        </is>
      </c>
      <c r="E1016" s="6" t="n">
        <v>50000</v>
      </c>
      <c r="F1016" s="6" t="n">
        <v>65</v>
      </c>
      <c r="G1016" t="inlineStr">
        <is>
          <t>Flak</t>
        </is>
      </c>
      <c r="H1016" s="6" t="n">
        <v>0.6</v>
      </c>
      <c r="I1016" s="6" t="n">
        <v>1</v>
      </c>
      <c r="J1016" s="6" t="n">
        <v>1</v>
      </c>
      <c r="P1016">
        <f>MAX(P1017,P1019,P1020,P1021,P1022,P1023,P1024)</f>
        <v/>
      </c>
      <c r="S1016">
        <f>S1017+S1019+S1020+S1021+S1022+S1023+S1024</f>
        <v/>
      </c>
      <c r="T1016">
        <f>(E1016/100000+F1016/100+(P1016/1000)*J1016/5+S1016/200)*200*I1016*H1016</f>
        <v/>
      </c>
      <c r="U1016">
        <f>((E1016*F1016/25000)+((P1016/1000)*J1016*S1016/2.5))*I1016*H1016</f>
        <v/>
      </c>
      <c r="V1016">
        <f>(E1016*F1016*(P1016/1000)*J1016*S1016*I1016*H1016)/12500000</f>
        <v/>
      </c>
      <c r="W1016">
        <f>(T1016+U1016+V1016)/3</f>
        <v/>
      </c>
      <c r="X1016" s="6" t="n">
        <v>1000</v>
      </c>
      <c r="Y1016">
        <f>IFERROR(W1016-X1016,"")</f>
        <v/>
      </c>
      <c r="Z1016">
        <f>IFERROR(ABS(Y1016)/MAX(X1016,1),"")</f>
        <v/>
      </c>
      <c r="AA1016">
        <f>IFERROR((X1016-(((E1016/100000+F1016/100+S1016/200)*200*I1016*H1016)+((E1016*F1016/25000)*I1016*H1016))/3)/(((J1016/5)*200*I1016*H1016)+((J1016*S1016/2.5)*I1016*H1016)+((E1016*F1016*J1016*S1016*I1016*H1016)/12500000))/3*1000,"")</f>
        <v/>
      </c>
    </row>
    <row r="1017">
      <c r="B1017" s="7" t="inlineStr">
        <is>
          <t xml:space="preserve">  ↳ wc2deathknightFire</t>
        </is>
      </c>
      <c r="C1017" s="7" t="inlineStr">
        <is>
          <t>Armament</t>
        </is>
      </c>
      <c r="L1017" s="6" t="n">
        <v>16000</v>
      </c>
      <c r="M1017" s="6" t="n">
        <v>40</v>
      </c>
      <c r="N1017" s="6" t="n">
        <v>1</v>
      </c>
      <c r="O1017" s="6" t="n"/>
      <c r="P1017" s="6" t="n">
        <v>8000</v>
      </c>
      <c r="Q1017" s="6" t="n">
        <v>1.25</v>
      </c>
      <c r="R1017">
        <f>M1017+IF(MAX(N1017-1,0)&gt;0,IF(ISBLANK(O1017),5*MAX(N1017-1,0),IF(ISNUMBER(O1017),O1017*MAX(N1017-1,0),SUM(IFERROR(VALUE(TEXTSPLIT(O1017,",")),0)))),0)</f>
        <v/>
      </c>
      <c r="S1017">
        <f>IFERROR(L1017*MAX(N1017,1)/R1017*IF(ISBLANK(K1016),1,K1016),0)</f>
        <v/>
      </c>
      <c r="AB1017" s="7" t="inlineStr">
        <is>
          <t>^Warhead_Flame_Heavy, ^Warhead_Tesla_Super</t>
        </is>
      </c>
    </row>
    <row r="1018">
      <c r="B1018" s="7" t="inlineStr">
        <is>
          <t xml:space="preserve">  ↳ wc2deathknightFire</t>
        </is>
      </c>
      <c r="C1018" s="7" t="inlineStr">
        <is>
          <t>Armament@GARRISONED</t>
        </is>
      </c>
      <c r="L1018" s="6" t="n">
        <v>16000</v>
      </c>
      <c r="M1018" s="6" t="n">
        <v>40</v>
      </c>
      <c r="N1018" s="6" t="n">
        <v>1</v>
      </c>
      <c r="O1018" s="6" t="n"/>
      <c r="P1018" s="6" t="n">
        <v>8000</v>
      </c>
      <c r="Q1018" s="6" t="n">
        <v>1.25</v>
      </c>
      <c r="R1018">
        <f>M1018+IF(MAX(N1018-1,0)&gt;0,IF(ISBLANK(O1018),5*MAX(N1018-1,0),IF(ISNUMBER(O1018),O1018*MAX(N1018-1,0),SUM(IFERROR(VALUE(TEXTSPLIT(O1018,",")),0)))),0)</f>
        <v/>
      </c>
      <c r="S1018">
        <f>IFERROR(L1018*MAX(N1018,1)/R1018*IF(ISBLANK(K1016),1,K1016),0)</f>
        <v/>
      </c>
      <c r="AB1018" s="7" t="inlineStr">
        <is>
          <t>^Warhead_Flame_Heavy, ^Warhead_Tesla_Super</t>
        </is>
      </c>
    </row>
    <row r="1019">
      <c r="B1019" s="7" t="inlineStr">
        <is>
          <t xml:space="preserve">  ↳ wc2deathknightDeathCoil</t>
        </is>
      </c>
      <c r="C1019" s="7" t="inlineStr">
        <is>
          <t>Armament@DEATHCOIL</t>
        </is>
      </c>
      <c r="L1019" s="6" t="n">
        <v>16000</v>
      </c>
      <c r="M1019" s="6" t="n">
        <v>80</v>
      </c>
      <c r="N1019" s="6" t="n">
        <v>1</v>
      </c>
      <c r="O1019" s="6" t="n"/>
      <c r="P1019" s="6" t="n">
        <v>8000</v>
      </c>
      <c r="Q1019" s="6" t="n">
        <v>1.25</v>
      </c>
      <c r="R1019">
        <f>M1019+IF(MAX(N1019-1,0)&gt;0,IF(ISBLANK(O1019),5*MAX(N1019-1,0),IF(ISNUMBER(O1019),O1019*MAX(N1019-1,0),SUM(IFERROR(VALUE(TEXTSPLIT(O1019,",")),0)))),0)</f>
        <v/>
      </c>
      <c r="S1019">
        <f>IFERROR(L1019*MAX(N1019,1)/R1019*IF(ISBLANK(K1016),1,K1016),0)</f>
        <v/>
      </c>
      <c r="AB1019" s="7" t="inlineStr">
        <is>
          <t>^Warhead_Flame_Heavy, ^Warhead_Tesla_Super</t>
        </is>
      </c>
    </row>
    <row r="1020">
      <c r="B1020" s="7" t="inlineStr">
        <is>
          <t xml:space="preserve">  ↳ wc2deathknightDeathCoilScatter_Left</t>
        </is>
      </c>
      <c r="C1020" s="7" t="inlineStr">
        <is>
          <t>Armament@DEATHCOILSCATTER1</t>
        </is>
      </c>
      <c r="L1020" s="6" t="n">
        <v>16000</v>
      </c>
      <c r="M1020" s="6" t="n">
        <v>80</v>
      </c>
      <c r="N1020" s="6" t="n">
        <v>1</v>
      </c>
      <c r="O1020" s="6" t="n"/>
      <c r="P1020" s="6" t="n">
        <v>8000</v>
      </c>
      <c r="Q1020" s="6" t="n">
        <v>1.25</v>
      </c>
      <c r="R1020">
        <f>M1020+IF(MAX(N1020-1,0)&gt;0,IF(ISBLANK(O1020),5*MAX(N1020-1,0),IF(ISNUMBER(O1020),O1020*MAX(N1020-1,0),SUM(IFERROR(VALUE(TEXTSPLIT(O1020,",")),0)))),0)</f>
        <v/>
      </c>
      <c r="S1020">
        <f>IFERROR(L1020*MAX(N1020,1)/R1020*IF(ISBLANK(K1016),1,K1016),0)</f>
        <v/>
      </c>
      <c r="AB1020" s="7" t="inlineStr">
        <is>
          <t>^Warhead_Flame_Heavy, ^Warhead_Tesla_Super</t>
        </is>
      </c>
    </row>
    <row r="1021">
      <c r="B1021" s="7" t="inlineStr">
        <is>
          <t xml:space="preserve">  ↳ wc2deathknightDeathCoilScatter_Right</t>
        </is>
      </c>
      <c r="C1021" s="7" t="inlineStr">
        <is>
          <t>Armament@DEATHCOILSCATTER2</t>
        </is>
      </c>
      <c r="L1021" s="6" t="n">
        <v>16000</v>
      </c>
      <c r="M1021" s="6" t="n">
        <v>80</v>
      </c>
      <c r="N1021" s="6" t="n">
        <v>1</v>
      </c>
      <c r="O1021" s="6" t="n"/>
      <c r="P1021" s="6" t="n">
        <v>8000</v>
      </c>
      <c r="Q1021" s="6" t="n">
        <v>1.25</v>
      </c>
      <c r="R1021">
        <f>M1021+IF(MAX(N1021-1,0)&gt;0,IF(ISBLANK(O1021),5*MAX(N1021-1,0),IF(ISNUMBER(O1021),O1021*MAX(N1021-1,0),SUM(IFERROR(VALUE(TEXTSPLIT(O1021,",")),0)))),0)</f>
        <v/>
      </c>
      <c r="S1021">
        <f>IFERROR(L1021*MAX(N1021,1)/R1021*IF(ISBLANK(K1016),1,K1016),0)</f>
        <v/>
      </c>
      <c r="AB1021" s="7" t="inlineStr">
        <is>
          <t>^Warhead_Flame_Heavy, ^Warhead_Tesla_Super</t>
        </is>
      </c>
    </row>
    <row r="1022">
      <c r="B1022" s="7" t="inlineStr">
        <is>
          <t xml:space="preserve">  ↳ wc2deathknightHaste</t>
        </is>
      </c>
      <c r="C1022" s="7" t="inlineStr">
        <is>
          <t>Armament@HASTE</t>
        </is>
      </c>
      <c r="L1022" s="6" t="n">
        <v>1</v>
      </c>
      <c r="M1022" s="6" t="n">
        <v>60</v>
      </c>
      <c r="N1022" s="6" t="n">
        <v>1</v>
      </c>
      <c r="O1022" s="6" t="n"/>
      <c r="P1022" s="6" t="n">
        <v>5120</v>
      </c>
      <c r="Q1022" s="6" t="n">
        <v>1</v>
      </c>
      <c r="R1022">
        <f>M1022+IF(MAX(N1022-1,0)&gt;0,IF(ISBLANK(O1022),5*MAX(N1022-1,0),IF(ISNUMBER(O1022),O1022*MAX(N1022-1,0),SUM(IFERROR(VALUE(TEXTSPLIT(O1022,",")),0)))),0)</f>
        <v/>
      </c>
      <c r="S1022">
        <f>IFERROR(L1022*MAX(N1022,1)/R1022*IF(ISBLANK(K1016),1,K1016),0)</f>
        <v/>
      </c>
      <c r="AB1022" s="7" t="inlineStr"/>
    </row>
    <row r="1023">
      <c r="B1023" s="7" t="inlineStr">
        <is>
          <t xml:space="preserve">  ↳ wc2deathknightDeathAndDecay</t>
        </is>
      </c>
      <c r="C1023" s="7" t="inlineStr">
        <is>
          <t>Armament@DEATHANDDECAY</t>
        </is>
      </c>
      <c r="L1023" s="6" t="n">
        <v>1</v>
      </c>
      <c r="M1023" s="6" t="n">
        <v>50</v>
      </c>
      <c r="N1023" s="6" t="n">
        <v>1</v>
      </c>
      <c r="O1023" s="6" t="n"/>
      <c r="P1023" s="6" t="n">
        <v>8000</v>
      </c>
      <c r="Q1023" s="6" t="n">
        <v>1</v>
      </c>
      <c r="R1023">
        <f>M1023+IF(MAX(N1023-1,0)&gt;0,IF(ISBLANK(O1023),5*MAX(N1023-1,0),IF(ISNUMBER(O1023),O1023*MAX(N1023-1,0),SUM(IFERROR(VALUE(TEXTSPLIT(O1023,",")),0)))),0)</f>
        <v/>
      </c>
      <c r="S1023">
        <f>IFERROR(L1023*MAX(N1023,1)/R1023*IF(ISBLANK(K1016),1,K1016),0)</f>
        <v/>
      </c>
      <c r="AB1023" s="7" t="inlineStr">
        <is>
          <t>wc2mageBlizzard</t>
        </is>
      </c>
    </row>
    <row r="1024">
      <c r="B1024" s="7" t="inlineStr">
        <is>
          <t xml:space="preserve">  ↳ wc2deathknightRaiseDead</t>
        </is>
      </c>
      <c r="C1024" s="7" t="inlineStr">
        <is>
          <t>Armament@RAISEDEAD</t>
        </is>
      </c>
      <c r="L1024" t="n">
        <v>0</v>
      </c>
      <c r="M1024" s="6" t="n">
        <v>60</v>
      </c>
      <c r="N1024" s="6" t="n">
        <v>1</v>
      </c>
      <c r="O1024" s="6" t="n"/>
      <c r="P1024" s="6" t="n">
        <v>5120</v>
      </c>
      <c r="Q1024" s="6" t="n">
        <v>1</v>
      </c>
      <c r="R1024">
        <f>M1024+IF(MAX(N1024-1,0)&gt;0,IF(ISBLANK(O1024),5*MAX(N1024-1,0),IF(ISNUMBER(O1024),O1024*MAX(N1024-1,0),SUM(IFERROR(VALUE(TEXTSPLIT(O1024,",")),0)))),0)</f>
        <v/>
      </c>
      <c r="S1024">
        <f>IFERROR(L1024*MAX(N1024,1)/R1024*IF(ISBLANK(K1016),1,K1016),0)</f>
        <v/>
      </c>
      <c r="AB1024" s="7" t="inlineStr"/>
    </row>
    <row r="1025">
      <c r="A1025" t="inlineStr">
        <is>
          <t>warcraft2</t>
        </is>
      </c>
      <c r="B1025" t="inlineStr">
        <is>
          <t>wc2_humans_archmage</t>
        </is>
      </c>
      <c r="C1025" t="inlineStr">
        <is>
          <t>Archmage</t>
        </is>
      </c>
      <c r="D1025" s="6" t="inlineStr">
        <is>
          <t>SniperInfantry</t>
        </is>
      </c>
      <c r="E1025" s="6" t="n">
        <v>50000</v>
      </c>
      <c r="F1025" s="6" t="n">
        <v>65</v>
      </c>
      <c r="G1025" t="inlineStr">
        <is>
          <t>Flak</t>
        </is>
      </c>
      <c r="H1025" s="6" t="n">
        <v>0.6</v>
      </c>
      <c r="I1025" s="6" t="n">
        <v>1</v>
      </c>
      <c r="J1025" s="6" t="n">
        <v>1</v>
      </c>
      <c r="P1025">
        <f>MAX(P1026,P1028,P1029,P1030,P1032)</f>
        <v/>
      </c>
      <c r="S1025">
        <f>S1026+S1028+S1029+S1030+S1032</f>
        <v/>
      </c>
      <c r="T1025">
        <f>(E1025/100000+F1025/100+(P1025/1000)*J1025/5+S1025/200)*200*I1025*H1025</f>
        <v/>
      </c>
      <c r="U1025">
        <f>((E1025*F1025/25000)+((P1025/1000)*J1025*S1025/2.5))*I1025*H1025</f>
        <v/>
      </c>
      <c r="V1025">
        <f>(E1025*F1025*(P1025/1000)*J1025*S1025*I1025*H1025)/12500000</f>
        <v/>
      </c>
      <c r="W1025">
        <f>(T1025+U1025+V1025)/3</f>
        <v/>
      </c>
      <c r="X1025" s="6" t="n">
        <v>1000</v>
      </c>
      <c r="Y1025">
        <f>IFERROR(W1025-X1025,"")</f>
        <v/>
      </c>
      <c r="Z1025">
        <f>IFERROR(ABS(Y1025)/MAX(X1025,1),"")</f>
        <v/>
      </c>
      <c r="AA1025">
        <f>IFERROR((X1025-(((E1025/100000+F1025/100+S1025/200)*200*I1025*H1025)+((E1025*F1025/25000)*I1025*H1025))/3)/(((J1025/5)*200*I1025*H1025)+((J1025*S1025/2.5)*I1025*H1025)+((E1025*F1025*J1025*S1025*I1025*H1025)/12500000))/3*1000,"")</f>
        <v/>
      </c>
    </row>
    <row r="1026">
      <c r="B1026" s="7" t="inlineStr">
        <is>
          <t xml:space="preserve">  ↳ wc2mageFire</t>
        </is>
      </c>
      <c r="C1026" s="7" t="inlineStr">
        <is>
          <t>Armament</t>
        </is>
      </c>
      <c r="L1026" s="6" t="n">
        <v>8000</v>
      </c>
      <c r="M1026" s="6" t="n">
        <v>40</v>
      </c>
      <c r="N1026" s="6" t="n">
        <v>1</v>
      </c>
      <c r="O1026" s="6" t="n"/>
      <c r="P1026" s="6" t="n">
        <v>8000</v>
      </c>
      <c r="Q1026" s="6" t="n">
        <v>1</v>
      </c>
      <c r="R1026">
        <f>M1026+IF(MAX(N1026-1,0)&gt;0,IF(ISBLANK(O1026),5*MAX(N1026-1,0),IF(ISNUMBER(O1026),O1026*MAX(N1026-1,0),SUM(IFERROR(VALUE(TEXTSPLIT(O1026,",")),0)))),0)</f>
        <v/>
      </c>
      <c r="S1026">
        <f>IFERROR(L1026*MAX(N1026,1)/R1026*IF(ISBLANK(K1025),1,K1025),0)</f>
        <v/>
      </c>
      <c r="AB1026" s="7" t="inlineStr">
        <is>
          <t>^Warhead_Tesla_Super</t>
        </is>
      </c>
    </row>
    <row r="1027">
      <c r="B1027" s="7" t="inlineStr">
        <is>
          <t xml:space="preserve">  ↳ wc2mageFire</t>
        </is>
      </c>
      <c r="C1027" s="7" t="inlineStr">
        <is>
          <t>Armament@GARRISONED</t>
        </is>
      </c>
      <c r="L1027" s="6" t="n">
        <v>8000</v>
      </c>
      <c r="M1027" s="6" t="n">
        <v>40</v>
      </c>
      <c r="N1027" s="6" t="n">
        <v>1</v>
      </c>
      <c r="O1027" s="6" t="n"/>
      <c r="P1027" s="6" t="n">
        <v>8000</v>
      </c>
      <c r="Q1027" s="6" t="n">
        <v>1</v>
      </c>
      <c r="R1027">
        <f>M1027+IF(MAX(N1027-1,0)&gt;0,IF(ISBLANK(O1027),5*MAX(N1027-1,0),IF(ISNUMBER(O1027),O1027*MAX(N1027-1,0),SUM(IFERROR(VALUE(TEXTSPLIT(O1027,",")),0)))),0)</f>
        <v/>
      </c>
      <c r="S1027">
        <f>IFERROR(L1027*MAX(N1027,1)/R1027*IF(ISBLANK(K1025),1,K1025),0)</f>
        <v/>
      </c>
      <c r="AB1027" s="7" t="inlineStr">
        <is>
          <t>^Warhead_Tesla_Super</t>
        </is>
      </c>
    </row>
    <row r="1028">
      <c r="B1028" s="7" t="inlineStr">
        <is>
          <t xml:space="preserve">  ↳ wc2mageFireballVisible</t>
        </is>
      </c>
      <c r="C1028" s="7" t="inlineStr">
        <is>
          <t>Armament@FIREBALL_VISIBLE</t>
        </is>
      </c>
      <c r="L1028" s="6" t="n">
        <v>18000</v>
      </c>
      <c r="M1028" s="6" t="n">
        <v>80</v>
      </c>
      <c r="N1028" s="6" t="n">
        <v>1</v>
      </c>
      <c r="O1028" s="6" t="n"/>
      <c r="P1028" s="6" t="n">
        <v>8000</v>
      </c>
      <c r="Q1028" s="6" t="n">
        <v>1.25</v>
      </c>
      <c r="R1028">
        <f>M1028+IF(MAX(N1028-1,0)&gt;0,IF(ISBLANK(O1028),5*MAX(N1028-1,0),IF(ISNUMBER(O1028),O1028*MAX(N1028-1,0),SUM(IFERROR(VALUE(TEXTSPLIT(O1028,",")),0)))),0)</f>
        <v/>
      </c>
      <c r="S1028">
        <f>IFERROR(L1028*MAX(N1028,1)/R1028*IF(ISBLANK(K1025),1,K1025),0)</f>
        <v/>
      </c>
      <c r="AB1028" s="7" t="inlineStr">
        <is>
          <t>^Warhead_Flame_Heavy</t>
        </is>
      </c>
    </row>
    <row r="1029">
      <c r="B1029" s="7" t="inlineStr">
        <is>
          <t xml:space="preserve">  ↳ wc2mageFireballExplosion</t>
        </is>
      </c>
      <c r="C1029" s="7" t="inlineStr">
        <is>
          <t>Armament@FIREBALL_EXPLOSIONS</t>
        </is>
      </c>
      <c r="L1029" s="6" t="n">
        <v>18000</v>
      </c>
      <c r="M1029" s="6" t="n">
        <v>80</v>
      </c>
      <c r="N1029" s="6" t="n">
        <v>5</v>
      </c>
      <c r="O1029" s="6" t="n">
        <v>0</v>
      </c>
      <c r="P1029" s="6" t="n">
        <v>8000</v>
      </c>
      <c r="Q1029" s="6" t="n">
        <v>1.25</v>
      </c>
      <c r="R1029">
        <f>M1029+IF(MAX(N1029-1,0)&gt;0,IF(ISBLANK(O1029),5*MAX(N1029-1,0),IF(ISNUMBER(O1029),O1029*MAX(N1029-1,0),SUM(IFERROR(VALUE(TEXTSPLIT(O1029,",")),0)))),0)</f>
        <v/>
      </c>
      <c r="S1029">
        <f>IFERROR(L1029*MAX(N1029,1)/R1029*IF(ISBLANK(K1025),1,K1025),0)</f>
        <v/>
      </c>
      <c r="AB1029" s="7" t="inlineStr">
        <is>
          <t>^Warhead_Flame_Heavy</t>
        </is>
      </c>
    </row>
    <row r="1030">
      <c r="B1030" s="7" t="inlineStr">
        <is>
          <t xml:space="preserve">  ↳ wc2mageSlow</t>
        </is>
      </c>
      <c r="C1030" s="7" t="inlineStr">
        <is>
          <t>Armament@SLOW</t>
        </is>
      </c>
      <c r="L1030" s="6" t="n">
        <v>1</v>
      </c>
      <c r="M1030" s="6" t="n">
        <v>60</v>
      </c>
      <c r="N1030" s="6" t="n">
        <v>1</v>
      </c>
      <c r="O1030" s="6" t="n"/>
      <c r="P1030" s="6" t="n">
        <v>8000</v>
      </c>
      <c r="Q1030" s="6" t="n">
        <v>1</v>
      </c>
      <c r="R1030">
        <f>M1030+IF(MAX(N1030-1,0)&gt;0,IF(ISBLANK(O1030),5*MAX(N1030-1,0),IF(ISNUMBER(O1030),O1030*MAX(N1030-1,0),SUM(IFERROR(VALUE(TEXTSPLIT(O1030,",")),0)))),0)</f>
        <v/>
      </c>
      <c r="S1030">
        <f>IFERROR(L1030*MAX(N1030,1)/R1030*IF(ISBLANK(K1025),1,K1025),0)</f>
        <v/>
      </c>
      <c r="AB1030" s="7" t="inlineStr"/>
    </row>
    <row r="1031">
      <c r="B1031" s="7" t="inlineStr">
        <is>
          <t xml:space="preserve">  ↳ wc2magePolymorph</t>
        </is>
      </c>
      <c r="C1031" s="7" t="inlineStr">
        <is>
          <t>Armament@POLYMORPH</t>
        </is>
      </c>
      <c r="M1031" s="6" t="n">
        <v>60</v>
      </c>
      <c r="N1031" s="6" t="n">
        <v>1</v>
      </c>
      <c r="O1031" s="6" t="n"/>
      <c r="P1031" s="6" t="n">
        <v>8000</v>
      </c>
      <c r="Q1031" s="6" t="n">
        <v>1</v>
      </c>
      <c r="R1031">
        <f>M1031+IF(MAX(N1031-1,0)&gt;0,IF(ISBLANK(O1031),5*MAX(N1031-1,0),IF(ISNUMBER(O1031),O1031*MAX(N1031-1,0),SUM(IFERROR(VALUE(TEXTSPLIT(O1031,",")),0)))),0)</f>
        <v/>
      </c>
      <c r="S1031">
        <f>IFERROR(L1031*MAX(N1031,1)/R1031*IF(ISBLANK(K1025),1,K1025),0)</f>
        <v/>
      </c>
      <c r="AB1031" s="7" t="inlineStr"/>
    </row>
    <row r="1032">
      <c r="B1032" s="7" t="inlineStr">
        <is>
          <t xml:space="preserve">  ↳ wc2mageBlizzard</t>
        </is>
      </c>
      <c r="C1032" s="7" t="inlineStr">
        <is>
          <t>Armament@BLIZZARD</t>
        </is>
      </c>
      <c r="L1032" s="6" t="n">
        <v>1</v>
      </c>
      <c r="M1032" s="6" t="n">
        <v>50</v>
      </c>
      <c r="N1032" s="6" t="n">
        <v>1</v>
      </c>
      <c r="O1032" s="6" t="n"/>
      <c r="P1032" s="6" t="n">
        <v>8000</v>
      </c>
      <c r="Q1032" s="6" t="n">
        <v>1</v>
      </c>
      <c r="R1032">
        <f>M1032+IF(MAX(N1032-1,0)&gt;0,IF(ISBLANK(O1032),5*MAX(N1032-1,0),IF(ISNUMBER(O1032),O1032*MAX(N1032-1,0),SUM(IFERROR(VALUE(TEXTSPLIT(O1032,",")),0)))),0)</f>
        <v/>
      </c>
      <c r="S1032">
        <f>IFERROR(L1032*MAX(N1032,1)/R1032*IF(ISBLANK(K1025),1,K1025),0)</f>
        <v/>
      </c>
      <c r="AB1032" s="7" t="inlineStr"/>
    </row>
    <row r="1033">
      <c r="A1033" t="inlineStr">
        <is>
          <t>warcraft2</t>
        </is>
      </c>
      <c r="B1033" t="inlineStr">
        <is>
          <t>wc2_humans_highelfpriest</t>
        </is>
      </c>
      <c r="C1033" t="inlineStr">
        <is>
          <t>High Elf priest</t>
        </is>
      </c>
      <c r="D1033" s="6" t="inlineStr">
        <is>
          <t>SniperInfantry</t>
        </is>
      </c>
      <c r="E1033" s="6" t="n">
        <v>50000</v>
      </c>
      <c r="F1033" s="6" t="n">
        <v>65</v>
      </c>
      <c r="G1033" t="inlineStr">
        <is>
          <t>Flak</t>
        </is>
      </c>
      <c r="H1033" s="6" t="n">
        <v>0.6</v>
      </c>
      <c r="I1033" s="6" t="n">
        <v>1</v>
      </c>
      <c r="J1033" s="6" t="n">
        <v>1</v>
      </c>
      <c r="P1033">
        <f>MAX(P1034,P1035,P1036)</f>
        <v/>
      </c>
      <c r="S1033">
        <f>S1034+S1035+S1036</f>
        <v/>
      </c>
      <c r="T1033">
        <f>(E1033/100000+F1033/100+(P1033/1000)*J1033/5+S1033/200)*200*I1033*H1033</f>
        <v/>
      </c>
      <c r="U1033">
        <f>((E1033*F1033/25000)+((P1033/1000)*J1033*S1033/2.5))*I1033*H1033</f>
        <v/>
      </c>
      <c r="V1033">
        <f>(E1033*F1033*(P1033/1000)*J1033*S1033*I1033*H1033)/12500000</f>
        <v/>
      </c>
      <c r="W1033">
        <f>(T1033+U1033+V1033)/3</f>
        <v/>
      </c>
      <c r="X1033" s="6" t="n">
        <v>1000</v>
      </c>
      <c r="Y1033">
        <f>IFERROR(W1033-X1033,"")</f>
        <v/>
      </c>
      <c r="Z1033">
        <f>IFERROR(ABS(Y1033)/MAX(X1033,1),"")</f>
        <v/>
      </c>
      <c r="AA1033">
        <f>IFERROR((X1033-(((E1033/100000+F1033/100+S1033/200)*200*I1033*H1033)+((E1033*F1033/25000)*I1033*H1033))/3)/(((J1033/5)*200*I1033*H1033)+((J1033*S1033/2.5)*I1033*H1033)+((E1033*F1033*J1033*S1033*I1033*H1033)/12500000))/3*1000,"")</f>
        <v/>
      </c>
    </row>
    <row r="1034">
      <c r="B1034" s="7" t="inlineStr">
        <is>
          <t xml:space="preserve">  ↳ wc2mageFire</t>
        </is>
      </c>
      <c r="C1034" s="7" t="inlineStr">
        <is>
          <t>Armament</t>
        </is>
      </c>
      <c r="L1034" s="6" t="n">
        <v>8000</v>
      </c>
      <c r="M1034" s="6" t="n">
        <v>40</v>
      </c>
      <c r="N1034" s="6" t="n">
        <v>1</v>
      </c>
      <c r="O1034" s="6" t="n"/>
      <c r="P1034" s="6" t="n">
        <v>8000</v>
      </c>
      <c r="Q1034" s="6" t="n">
        <v>1</v>
      </c>
      <c r="R1034">
        <f>M1034+IF(MAX(N1034-1,0)&gt;0,IF(ISBLANK(O1034),5*MAX(N1034-1,0),IF(ISNUMBER(O1034),O1034*MAX(N1034-1,0),SUM(IFERROR(VALUE(TEXTSPLIT(O1034,",")),0)))),0)</f>
        <v/>
      </c>
      <c r="S1034">
        <f>IFERROR(L1034*MAX(N1034,1)/R1034*IF(ISBLANK(K1033),1,K1033),0)</f>
        <v/>
      </c>
      <c r="AB1034" s="7" t="inlineStr">
        <is>
          <t>^Warhead_Tesla_Super</t>
        </is>
      </c>
    </row>
    <row r="1035">
      <c r="B1035" s="7" t="inlineStr">
        <is>
          <t xml:space="preserve">  ↳ wc2priesthealing</t>
        </is>
      </c>
      <c r="C1035" s="7" t="inlineStr">
        <is>
          <t>Armament@HEAL</t>
        </is>
      </c>
      <c r="L1035" s="6" t="n">
        <v>-5000</v>
      </c>
      <c r="M1035" s="6" t="n">
        <v>40</v>
      </c>
      <c r="N1035" s="6" t="n">
        <v>1</v>
      </c>
      <c r="O1035" s="6" t="n"/>
      <c r="P1035" s="6" t="n">
        <v>5120</v>
      </c>
      <c r="Q1035" s="6" t="n">
        <v>1</v>
      </c>
      <c r="R1035">
        <f>M1035+IF(MAX(N1035-1,0)&gt;0,IF(ISBLANK(O1035),5*MAX(N1035-1,0),IF(ISNUMBER(O1035),O1035*MAX(N1035-1,0),SUM(IFERROR(VALUE(TEXTSPLIT(O1035,",")),0)))),0)</f>
        <v/>
      </c>
      <c r="S1035">
        <f>IFERROR(L1035*MAX(N1035,1)/R1035*IF(ISBLANK(K1033),1,K1033),0)</f>
        <v/>
      </c>
      <c r="AB1035" s="7" t="inlineStr"/>
    </row>
    <row r="1036">
      <c r="B1036" s="7" t="inlineStr">
        <is>
          <t xml:space="preserve">  ↳ wc2paladinexorcism</t>
        </is>
      </c>
      <c r="C1036" s="7" t="inlineStr">
        <is>
          <t>Armament@EXORCISM</t>
        </is>
      </c>
      <c r="L1036" s="6" t="n">
        <v>4025</v>
      </c>
      <c r="M1036" s="6" t="n">
        <v>60</v>
      </c>
      <c r="N1036" s="6" t="n">
        <v>1</v>
      </c>
      <c r="O1036" s="6" t="n"/>
      <c r="P1036" s="6" t="n">
        <v>5120</v>
      </c>
      <c r="Q1036" s="6" t="n">
        <v>1</v>
      </c>
      <c r="R1036">
        <f>M1036+IF(MAX(N1036-1,0)&gt;0,IF(ISBLANK(O1036),5*MAX(N1036-1,0),IF(ISNUMBER(O1036),O1036*MAX(N1036-1,0),SUM(IFERROR(VALUE(TEXTSPLIT(O1036,",")),0)))),0)</f>
        <v/>
      </c>
      <c r="S1036">
        <f>IFERROR(L1036*MAX(N1036,1)/R1036*IF(ISBLANK(K1033),1,K1033),0)</f>
        <v/>
      </c>
      <c r="AB1036" s="7" t="inlineStr"/>
    </row>
    <row r="1037">
      <c r="A1037" t="inlineStr">
        <is>
          <t>warcraft2</t>
        </is>
      </c>
      <c r="B1037" t="inlineStr">
        <is>
          <t>wc2_humans_highelfsorceress</t>
        </is>
      </c>
      <c r="C1037" t="inlineStr">
        <is>
          <t>High Elf Sorceress</t>
        </is>
      </c>
      <c r="D1037" s="6" t="inlineStr">
        <is>
          <t>SniperInfantry</t>
        </is>
      </c>
      <c r="E1037" s="6" t="n">
        <v>50000</v>
      </c>
      <c r="F1037" s="6" t="n">
        <v>65</v>
      </c>
      <c r="G1037" t="inlineStr">
        <is>
          <t>Flak</t>
        </is>
      </c>
      <c r="H1037" s="6" t="n">
        <v>0.6</v>
      </c>
      <c r="I1037" s="6" t="n">
        <v>1</v>
      </c>
      <c r="J1037" s="6" t="n">
        <v>1</v>
      </c>
      <c r="P1037">
        <f>MAX(P1038,P1039,P1040)</f>
        <v/>
      </c>
      <c r="S1037">
        <f>S1038+S1039+S1040</f>
        <v/>
      </c>
      <c r="T1037">
        <f>(E1037/100000+F1037/100+(P1037/1000)*J1037/5+S1037/200)*200*I1037*H1037</f>
        <v/>
      </c>
      <c r="U1037">
        <f>((E1037*F1037/25000)+((P1037/1000)*J1037*S1037/2.5))*I1037*H1037</f>
        <v/>
      </c>
      <c r="V1037">
        <f>(E1037*F1037*(P1037/1000)*J1037*S1037*I1037*H1037)/12500000</f>
        <v/>
      </c>
      <c r="W1037">
        <f>(T1037+U1037+V1037)/3</f>
        <v/>
      </c>
      <c r="X1037" s="6" t="n">
        <v>1000</v>
      </c>
      <c r="Y1037">
        <f>IFERROR(W1037-X1037,"")</f>
        <v/>
      </c>
      <c r="Z1037">
        <f>IFERROR(ABS(Y1037)/MAX(X1037,1),"")</f>
        <v/>
      </c>
      <c r="AA1037">
        <f>IFERROR((X1037-(((E1037/100000+F1037/100+S1037/200)*200*I1037*H1037)+((E1037*F1037/25000)*I1037*H1037))/3)/(((J1037/5)*200*I1037*H1037)+((J1037*S1037/2.5)*I1037*H1037)+((E1037*F1037*J1037*S1037*I1037*H1037)/12500000))/3*1000,"")</f>
        <v/>
      </c>
    </row>
    <row r="1038">
      <c r="B1038" s="7" t="inlineStr">
        <is>
          <t xml:space="preserve">  ↳ wc2mageFire</t>
        </is>
      </c>
      <c r="C1038" s="7" t="inlineStr">
        <is>
          <t>Armament</t>
        </is>
      </c>
      <c r="L1038" s="6" t="n">
        <v>8000</v>
      </c>
      <c r="M1038" s="6" t="n">
        <v>40</v>
      </c>
      <c r="N1038" s="6" t="n">
        <v>1</v>
      </c>
      <c r="O1038" s="6" t="n"/>
      <c r="P1038" s="6" t="n">
        <v>8000</v>
      </c>
      <c r="Q1038" s="6" t="n">
        <v>1</v>
      </c>
      <c r="R1038">
        <f>M1038+IF(MAX(N1038-1,0)&gt;0,IF(ISBLANK(O1038),5*MAX(N1038-1,0),IF(ISNUMBER(O1038),O1038*MAX(N1038-1,0),SUM(IFERROR(VALUE(TEXTSPLIT(O1038,",")),0)))),0)</f>
        <v/>
      </c>
      <c r="S1038">
        <f>IFERROR(L1038*MAX(N1038,1)/R1038*IF(ISBLANK(K1037),1,K1037),0)</f>
        <v/>
      </c>
      <c r="AB1038" s="7" t="inlineStr">
        <is>
          <t>^Warhead_Tesla_Super</t>
        </is>
      </c>
    </row>
    <row r="1039">
      <c r="B1039" s="7" t="inlineStr">
        <is>
          <t xml:space="preserve">  ↳ wc2paladinhealing</t>
        </is>
      </c>
      <c r="C1039" s="7" t="inlineStr">
        <is>
          <t>Armament@HEAL</t>
        </is>
      </c>
      <c r="L1039" s="6" t="n">
        <v>-4025</v>
      </c>
      <c r="M1039" s="6" t="n">
        <v>60</v>
      </c>
      <c r="N1039" s="6" t="n">
        <v>1</v>
      </c>
      <c r="O1039" s="6" t="n"/>
      <c r="P1039" s="6" t="n">
        <v>5120</v>
      </c>
      <c r="Q1039" s="6" t="n">
        <v>1</v>
      </c>
      <c r="R1039">
        <f>M1039+IF(MAX(N1039-1,0)&gt;0,IF(ISBLANK(O1039),5*MAX(N1039-1,0),IF(ISNUMBER(O1039),O1039*MAX(N1039-1,0),SUM(IFERROR(VALUE(TEXTSPLIT(O1039,",")),0)))),0)</f>
        <v/>
      </c>
      <c r="S1039">
        <f>IFERROR(L1039*MAX(N1039,1)/R1039*IF(ISBLANK(K1037),1,K1037),0)</f>
        <v/>
      </c>
      <c r="AB1039" s="7" t="inlineStr"/>
    </row>
    <row r="1040">
      <c r="B1040" s="7" t="inlineStr">
        <is>
          <t xml:space="preserve">  ↳ wc2paladinexorcism</t>
        </is>
      </c>
      <c r="C1040" s="7" t="inlineStr">
        <is>
          <t>Armament@EXORCISM</t>
        </is>
      </c>
      <c r="L1040" s="6" t="n">
        <v>4025</v>
      </c>
      <c r="M1040" s="6" t="n">
        <v>60</v>
      </c>
      <c r="N1040" s="6" t="n">
        <v>1</v>
      </c>
      <c r="O1040" s="6" t="n"/>
      <c r="P1040" s="6" t="n">
        <v>5120</v>
      </c>
      <c r="Q1040" s="6" t="n">
        <v>1</v>
      </c>
      <c r="R1040">
        <f>M1040+IF(MAX(N1040-1,0)&gt;0,IF(ISBLANK(O1040),5*MAX(N1040-1,0),IF(ISNUMBER(O1040),O1040*MAX(N1040-1,0),SUM(IFERROR(VALUE(TEXTSPLIT(O1040,",")),0)))),0)</f>
        <v/>
      </c>
      <c r="S1040">
        <f>IFERROR(L1040*MAX(N1040,1)/R1040*IF(ISBLANK(K1037),1,K1037),0)</f>
        <v/>
      </c>
      <c r="AB1040" s="7" t="inlineStr"/>
    </row>
    <row r="1041">
      <c r="A1041" t="inlineStr">
        <is>
          <t>warcraft2</t>
        </is>
      </c>
      <c r="B1041" t="inlineStr">
        <is>
          <t>wc2_humans_mage</t>
        </is>
      </c>
      <c r="C1041" t="inlineStr">
        <is>
          <t>Mage</t>
        </is>
      </c>
      <c r="D1041" s="6" t="inlineStr">
        <is>
          <t>SniperInfantry</t>
        </is>
      </c>
      <c r="E1041" s="6" t="n">
        <v>50000</v>
      </c>
      <c r="F1041" s="6" t="n">
        <v>65</v>
      </c>
      <c r="G1041" t="inlineStr">
        <is>
          <t>Flak</t>
        </is>
      </c>
      <c r="H1041" s="6" t="n">
        <v>0.6</v>
      </c>
      <c r="I1041" s="6" t="n">
        <v>1</v>
      </c>
      <c r="J1041" s="6" t="n">
        <v>1</v>
      </c>
      <c r="P1041">
        <f>MAX(P1042,P1044,P1045,P1046,P1048)</f>
        <v/>
      </c>
      <c r="S1041">
        <f>S1042+S1044+S1045+S1046+S1048</f>
        <v/>
      </c>
      <c r="T1041">
        <f>(E1041/100000+F1041/100+(P1041/1000)*J1041/5+S1041/200)*200*I1041*H1041</f>
        <v/>
      </c>
      <c r="U1041">
        <f>((E1041*F1041/25000)+((P1041/1000)*J1041*S1041/2.5))*I1041*H1041</f>
        <v/>
      </c>
      <c r="V1041">
        <f>(E1041*F1041*(P1041/1000)*J1041*S1041*I1041*H1041)/12500000</f>
        <v/>
      </c>
      <c r="W1041">
        <f>(T1041+U1041+V1041)/3</f>
        <v/>
      </c>
      <c r="X1041" s="6" t="n">
        <v>1000</v>
      </c>
      <c r="Y1041">
        <f>IFERROR(W1041-X1041,"")</f>
        <v/>
      </c>
      <c r="Z1041">
        <f>IFERROR(ABS(Y1041)/MAX(X1041,1),"")</f>
        <v/>
      </c>
      <c r="AA1041">
        <f>IFERROR((X1041-(((E1041/100000+F1041/100+S1041/200)*200*I1041*H1041)+((E1041*F1041/25000)*I1041*H1041))/3)/(((J1041/5)*200*I1041*H1041)+((J1041*S1041/2.5)*I1041*H1041)+((E1041*F1041*J1041*S1041*I1041*H1041)/12500000))/3*1000,"")</f>
        <v/>
      </c>
    </row>
    <row r="1042">
      <c r="B1042" s="7" t="inlineStr">
        <is>
          <t xml:space="preserve">  ↳ wc2mageFire</t>
        </is>
      </c>
      <c r="C1042" s="7" t="inlineStr">
        <is>
          <t>Armament</t>
        </is>
      </c>
      <c r="L1042" s="6" t="n">
        <v>8000</v>
      </c>
      <c r="M1042" s="6" t="n">
        <v>40</v>
      </c>
      <c r="N1042" s="6" t="n">
        <v>1</v>
      </c>
      <c r="O1042" s="6" t="n"/>
      <c r="P1042" s="6" t="n">
        <v>8000</v>
      </c>
      <c r="Q1042" s="6" t="n">
        <v>1</v>
      </c>
      <c r="R1042">
        <f>M1042+IF(MAX(N1042-1,0)&gt;0,IF(ISBLANK(O1042),5*MAX(N1042-1,0),IF(ISNUMBER(O1042),O1042*MAX(N1042-1,0),SUM(IFERROR(VALUE(TEXTSPLIT(O1042,",")),0)))),0)</f>
        <v/>
      </c>
      <c r="S1042">
        <f>IFERROR(L1042*MAX(N1042,1)/R1042*IF(ISBLANK(K1041),1,K1041),0)</f>
        <v/>
      </c>
      <c r="AB1042" s="7" t="inlineStr">
        <is>
          <t>^Warhead_Tesla_Super</t>
        </is>
      </c>
    </row>
    <row r="1043">
      <c r="B1043" s="7" t="inlineStr">
        <is>
          <t xml:space="preserve">  ↳ wc2mageFire</t>
        </is>
      </c>
      <c r="C1043" s="7" t="inlineStr">
        <is>
          <t>Armament@GARRISONED</t>
        </is>
      </c>
      <c r="L1043" s="6" t="n">
        <v>8000</v>
      </c>
      <c r="M1043" s="6" t="n">
        <v>40</v>
      </c>
      <c r="N1043" s="6" t="n">
        <v>1</v>
      </c>
      <c r="O1043" s="6" t="n"/>
      <c r="P1043" s="6" t="n">
        <v>8000</v>
      </c>
      <c r="Q1043" s="6" t="n">
        <v>1</v>
      </c>
      <c r="R1043">
        <f>M1043+IF(MAX(N1043-1,0)&gt;0,IF(ISBLANK(O1043),5*MAX(N1043-1,0),IF(ISNUMBER(O1043),O1043*MAX(N1043-1,0),SUM(IFERROR(VALUE(TEXTSPLIT(O1043,",")),0)))),0)</f>
        <v/>
      </c>
      <c r="S1043">
        <f>IFERROR(L1043*MAX(N1043,1)/R1043*IF(ISBLANK(K1041),1,K1041),0)</f>
        <v/>
      </c>
      <c r="AB1043" s="7" t="inlineStr">
        <is>
          <t>^Warhead_Tesla_Super</t>
        </is>
      </c>
    </row>
    <row r="1044">
      <c r="B1044" s="7" t="inlineStr">
        <is>
          <t xml:space="preserve">  ↳ wc2mageFireballVisible</t>
        </is>
      </c>
      <c r="C1044" s="7" t="inlineStr">
        <is>
          <t>Armament@FIREBALL_VISIBLE</t>
        </is>
      </c>
      <c r="L1044" s="6" t="n">
        <v>18000</v>
      </c>
      <c r="M1044" s="6" t="n">
        <v>80</v>
      </c>
      <c r="N1044" s="6" t="n">
        <v>1</v>
      </c>
      <c r="O1044" s="6" t="n"/>
      <c r="P1044" s="6" t="n">
        <v>8000</v>
      </c>
      <c r="Q1044" s="6" t="n">
        <v>1.25</v>
      </c>
      <c r="R1044">
        <f>M1044+IF(MAX(N1044-1,0)&gt;0,IF(ISBLANK(O1044),5*MAX(N1044-1,0),IF(ISNUMBER(O1044),O1044*MAX(N1044-1,0),SUM(IFERROR(VALUE(TEXTSPLIT(O1044,",")),0)))),0)</f>
        <v/>
      </c>
      <c r="S1044">
        <f>IFERROR(L1044*MAX(N1044,1)/R1044*IF(ISBLANK(K1041),1,K1041),0)</f>
        <v/>
      </c>
      <c r="AB1044" s="7" t="inlineStr">
        <is>
          <t>^Warhead_Flame_Heavy</t>
        </is>
      </c>
    </row>
    <row r="1045">
      <c r="B1045" s="7" t="inlineStr">
        <is>
          <t xml:space="preserve">  ↳ wc2mageFireballExplosion</t>
        </is>
      </c>
      <c r="C1045" s="7" t="inlineStr">
        <is>
          <t>Armament@FIREBALL_EXPLOSIONS</t>
        </is>
      </c>
      <c r="L1045" s="6" t="n">
        <v>18000</v>
      </c>
      <c r="M1045" s="6" t="n">
        <v>80</v>
      </c>
      <c r="N1045" s="6" t="n">
        <v>5</v>
      </c>
      <c r="O1045" s="6" t="n">
        <v>0</v>
      </c>
      <c r="P1045" s="6" t="n">
        <v>8000</v>
      </c>
      <c r="Q1045" s="6" t="n">
        <v>1.25</v>
      </c>
      <c r="R1045">
        <f>M1045+IF(MAX(N1045-1,0)&gt;0,IF(ISBLANK(O1045),5*MAX(N1045-1,0),IF(ISNUMBER(O1045),O1045*MAX(N1045-1,0),SUM(IFERROR(VALUE(TEXTSPLIT(O1045,",")),0)))),0)</f>
        <v/>
      </c>
      <c r="S1045">
        <f>IFERROR(L1045*MAX(N1045,1)/R1045*IF(ISBLANK(K1041),1,K1041),0)</f>
        <v/>
      </c>
      <c r="AB1045" s="7" t="inlineStr">
        <is>
          <t>^Warhead_Flame_Heavy</t>
        </is>
      </c>
    </row>
    <row r="1046">
      <c r="B1046" s="7" t="inlineStr">
        <is>
          <t xml:space="preserve">  ↳ wc2mageSlow</t>
        </is>
      </c>
      <c r="C1046" s="7" t="inlineStr">
        <is>
          <t>Armament@SLOW</t>
        </is>
      </c>
      <c r="L1046" s="6" t="n">
        <v>1</v>
      </c>
      <c r="M1046" s="6" t="n">
        <v>60</v>
      </c>
      <c r="N1046" s="6" t="n">
        <v>1</v>
      </c>
      <c r="O1046" s="6" t="n"/>
      <c r="P1046" s="6" t="n">
        <v>8000</v>
      </c>
      <c r="Q1046" s="6" t="n">
        <v>1</v>
      </c>
      <c r="R1046">
        <f>M1046+IF(MAX(N1046-1,0)&gt;0,IF(ISBLANK(O1046),5*MAX(N1046-1,0),IF(ISNUMBER(O1046),O1046*MAX(N1046-1,0),SUM(IFERROR(VALUE(TEXTSPLIT(O1046,",")),0)))),0)</f>
        <v/>
      </c>
      <c r="S1046">
        <f>IFERROR(L1046*MAX(N1046,1)/R1046*IF(ISBLANK(K1041),1,K1041),0)</f>
        <v/>
      </c>
      <c r="AB1046" s="7" t="inlineStr"/>
    </row>
    <row r="1047">
      <c r="B1047" s="7" t="inlineStr">
        <is>
          <t xml:space="preserve">  ↳ wc2magePolymorph</t>
        </is>
      </c>
      <c r="C1047" s="7" t="inlineStr">
        <is>
          <t>Armament@POLYMORPH</t>
        </is>
      </c>
      <c r="M1047" s="6" t="n">
        <v>60</v>
      </c>
      <c r="N1047" s="6" t="n">
        <v>1</v>
      </c>
      <c r="O1047" s="6" t="n"/>
      <c r="P1047" s="6" t="n">
        <v>8000</v>
      </c>
      <c r="Q1047" s="6" t="n">
        <v>1</v>
      </c>
      <c r="R1047">
        <f>M1047+IF(MAX(N1047-1,0)&gt;0,IF(ISBLANK(O1047),5*MAX(N1047-1,0),IF(ISNUMBER(O1047),O1047*MAX(N1047-1,0),SUM(IFERROR(VALUE(TEXTSPLIT(O1047,",")),0)))),0)</f>
        <v/>
      </c>
      <c r="S1047">
        <f>IFERROR(L1047*MAX(N1047,1)/R1047*IF(ISBLANK(K1041),1,K1041),0)</f>
        <v/>
      </c>
      <c r="AB1047" s="7" t="inlineStr"/>
    </row>
    <row r="1048">
      <c r="B1048" s="7" t="inlineStr">
        <is>
          <t xml:space="preserve">  ↳ wc2mageBlizzard</t>
        </is>
      </c>
      <c r="C1048" s="7" t="inlineStr">
        <is>
          <t>Armament@BLIZZARD</t>
        </is>
      </c>
      <c r="L1048" s="6" t="n">
        <v>1</v>
      </c>
      <c r="M1048" s="6" t="n">
        <v>50</v>
      </c>
      <c r="N1048" s="6" t="n">
        <v>1</v>
      </c>
      <c r="O1048" s="6" t="n"/>
      <c r="P1048" s="6" t="n">
        <v>8000</v>
      </c>
      <c r="Q1048" s="6" t="n">
        <v>1</v>
      </c>
      <c r="R1048">
        <f>M1048+IF(MAX(N1048-1,0)&gt;0,IF(ISBLANK(O1048),5*MAX(N1048-1,0),IF(ISNUMBER(O1048),O1048*MAX(N1048-1,0),SUM(IFERROR(VALUE(TEXTSPLIT(O1048,",")),0)))),0)</f>
        <v/>
      </c>
      <c r="S1048">
        <f>IFERROR(L1048*MAX(N1048,1)/R1048*IF(ISBLANK(K1041),1,K1041),0)</f>
        <v/>
      </c>
      <c r="AB1048" s="7" t="inlineStr"/>
    </row>
    <row r="1049">
      <c r="A1049" s="4" t="inlineStr">
        <is>
          <t>HeroInfantry</t>
        </is>
      </c>
      <c r="B1049" s="5" t="n"/>
      <c r="C1049" s="5" t="n"/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  <c r="O1049" s="5" t="n"/>
      <c r="P1049" s="5" t="n"/>
      <c r="Q1049" s="5" t="n"/>
      <c r="R1049" s="5" t="n"/>
      <c r="S1049" s="5" t="n"/>
      <c r="T1049" s="5" t="n"/>
      <c r="U1049" s="5" t="n"/>
      <c r="V1049" s="5" t="n"/>
      <c r="W1049" s="5" t="n"/>
      <c r="X1049" s="5" t="n"/>
      <c r="Y1049" s="5" t="n"/>
      <c r="Z1049" s="5" t="n"/>
      <c r="AA1049" s="5" t="n"/>
      <c r="AB1049" s="5" t="n"/>
    </row>
    <row r="1050">
      <c r="A1050" t="inlineStr">
        <is>
          <t>tiberiandawn</t>
        </is>
      </c>
      <c r="B1050" t="inlineStr">
        <is>
          <t>td_gdi_commando</t>
        </is>
      </c>
      <c r="C1050" t="inlineStr">
        <is>
          <t>GDI Commando</t>
        </is>
      </c>
      <c r="D1050" s="6" t="inlineStr">
        <is>
          <t>HeroInfantry</t>
        </is>
      </c>
      <c r="E1050" s="6" t="n">
        <v>80000</v>
      </c>
      <c r="F1050" s="6" t="n">
        <v>65</v>
      </c>
      <c r="G1050" t="inlineStr">
        <is>
          <t>Heroic</t>
        </is>
      </c>
      <c r="H1050" s="6" t="n">
        <v>0.3976</v>
      </c>
      <c r="I1050" s="6" t="n">
        <v>1</v>
      </c>
      <c r="J1050" s="6" t="n">
        <v>1</v>
      </c>
      <c r="P1050">
        <f>MAX(P1053,P1055)</f>
        <v/>
      </c>
      <c r="S1050">
        <f>S1053+S1055</f>
        <v/>
      </c>
      <c r="T1050">
        <f>(E1050/100000+F1050/100+(P1050/1000)*J1050/5+S1050/200)*200*I1050*H1050</f>
        <v/>
      </c>
      <c r="U1050">
        <f>((E1050*F1050/25000)+((P1050/1000)*J1050*S1050/2.5))*I1050*H1050</f>
        <v/>
      </c>
      <c r="V1050">
        <f>(E1050*F1050*(P1050/1000)*J1050*S1050*I1050*H1050)/12500000</f>
        <v/>
      </c>
      <c r="W1050">
        <f>(T1050+U1050+V1050)/3</f>
        <v/>
      </c>
      <c r="X1050" s="6" t="n">
        <v>3000</v>
      </c>
      <c r="Y1050">
        <f>IFERROR(W1050-X1050,"")</f>
        <v/>
      </c>
      <c r="Z1050">
        <f>IFERROR(ABS(Y1050)/MAX(X1050,1),"")</f>
        <v/>
      </c>
      <c r="AA1050">
        <f>IFERROR((X1050-(((E1050/100000+F1050/100+S1050/200)*200*I1050*H1050)+((E1050*F1050/25000)*I1050*H1050))/3)/(((J1050/5)*200*I1050*H1050)+((J1050*S1050/2.5)*I1050*H1050)+((E1050*F1050*J1050*S1050*I1050*H1050)/12500000))/3*1000,"")</f>
        <v/>
      </c>
    </row>
    <row r="1051">
      <c r="B1051" s="7" t="inlineStr">
        <is>
          <t xml:space="preserve">  ↳ TanyaAttach</t>
        </is>
      </c>
      <c r="C1051" s="7" t="inlineStr">
        <is>
          <t>Armament@c4</t>
        </is>
      </c>
      <c r="M1051" s="6" t="n">
        <v>20</v>
      </c>
      <c r="N1051" s="6" t="n">
        <v>1</v>
      </c>
      <c r="O1051" s="6" t="n"/>
      <c r="P1051" s="6" t="n">
        <v>2000</v>
      </c>
      <c r="Q1051" s="6" t="n">
        <v>1</v>
      </c>
      <c r="R1051">
        <f>M1051+IF(MAX(N1051-1,0)&gt;0,IF(ISBLANK(O1051),5*MAX(N1051-1,0),IF(ISNUMBER(O1051),O1051*MAX(N1051-1,0),SUM(IFERROR(VALUE(TEXTSPLIT(O1051,",")),0)))),0)</f>
        <v/>
      </c>
      <c r="S1051">
        <f>IFERROR(L1051*MAX(N1051,1)/R1051*IF(ISBLANK(K1050),1,K1050),0)</f>
        <v/>
      </c>
      <c r="AB1051" s="7" t="inlineStr">
        <is>
          <t>IvanAttach</t>
        </is>
      </c>
    </row>
    <row r="1052">
      <c r="B1052" s="7" t="inlineStr">
        <is>
          <t xml:space="preserve">  ↳ GenericC4</t>
        </is>
      </c>
      <c r="C1052" s="7" t="inlineStr">
        <is>
          <t>Armament@c4building</t>
        </is>
      </c>
      <c r="M1052" s="6" t="n">
        <v>20</v>
      </c>
      <c r="N1052" s="6" t="n">
        <v>1</v>
      </c>
      <c r="O1052" s="6" t="n"/>
      <c r="P1052" s="6" t="n">
        <v>2000</v>
      </c>
      <c r="Q1052" s="6" t="n">
        <v>1</v>
      </c>
      <c r="R1052">
        <f>M1052+IF(MAX(N1052-1,0)&gt;0,IF(ISBLANK(O1052),5*MAX(N1052-1,0),IF(ISNUMBER(O1052),O1052*MAX(N1052-1,0),SUM(IFERROR(VALUE(TEXTSPLIT(O1052,",")),0)))),0)</f>
        <v/>
      </c>
      <c r="S1052">
        <f>IFERROR(L1052*MAX(N1052,1)/R1052*IF(ISBLANK(K1050),1,K1050),0)</f>
        <v/>
      </c>
      <c r="AB1052" s="7" t="inlineStr"/>
    </row>
    <row r="1053">
      <c r="B1053" s="7" t="inlineStr">
        <is>
          <t xml:space="preserve">  ↳ td_gdi_commando_sniper</t>
        </is>
      </c>
      <c r="C1053" s="7" t="inlineStr">
        <is>
          <t>Armament</t>
        </is>
      </c>
      <c r="L1053" s="6" t="n">
        <v>40000</v>
      </c>
      <c r="M1053" s="6" t="n">
        <v>25</v>
      </c>
      <c r="N1053" s="6" t="n">
        <v>1</v>
      </c>
      <c r="O1053" s="6" t="n"/>
      <c r="P1053" s="6" t="n">
        <v>8086</v>
      </c>
      <c r="Q1053" s="6" t="n">
        <v>0.75</v>
      </c>
      <c r="R1053">
        <f>M1053+IF(MAX(N1053-1,0)&gt;0,IF(ISBLANK(O1053),5*MAX(N1053-1,0),IF(ISNUMBER(O1053),O1053*MAX(N1053-1,0),SUM(IFERROR(VALUE(TEXTSPLIT(O1053,",")),0)))),0)</f>
        <v/>
      </c>
      <c r="S1053">
        <f>IFERROR(L1053*MAX(N1053,1)/R1053*IF(ISBLANK(K1050),1,K1050),0)</f>
        <v/>
      </c>
      <c r="AB1053" s="7" t="inlineStr">
        <is>
          <t>^Warhead_Sniper_Light</t>
        </is>
      </c>
    </row>
    <row r="1054">
      <c r="B1054" s="7" t="inlineStr">
        <is>
          <t xml:space="preserve">  ↳ td_gdi_commando_sniper</t>
        </is>
      </c>
      <c r="C1054" s="7" t="inlineStr">
        <is>
          <t>Armament@GARRISONED</t>
        </is>
      </c>
      <c r="L1054" s="6" t="n">
        <v>40000</v>
      </c>
      <c r="M1054" s="6" t="n">
        <v>25</v>
      </c>
      <c r="N1054" s="6" t="n">
        <v>1</v>
      </c>
      <c r="O1054" s="6" t="n"/>
      <c r="P1054" s="6" t="n">
        <v>8086</v>
      </c>
      <c r="Q1054" s="6" t="n">
        <v>0.75</v>
      </c>
      <c r="R1054">
        <f>M1054+IF(MAX(N1054-1,0)&gt;0,IF(ISBLANK(O1054),5*MAX(N1054-1,0),IF(ISNUMBER(O1054),O1054*MAX(N1054-1,0),SUM(IFERROR(VALUE(TEXTSPLIT(O1054,",")),0)))),0)</f>
        <v/>
      </c>
      <c r="S1054">
        <f>IFERROR(L1054*MAX(N1054,1)/R1054*IF(ISBLANK(K1050),1,K1050),0)</f>
        <v/>
      </c>
      <c r="AB1054" s="7" t="inlineStr">
        <is>
          <t>^Warhead_Sniper_Light</t>
        </is>
      </c>
    </row>
    <row r="1055">
      <c r="B1055" s="7" t="inlineStr">
        <is>
          <t xml:space="preserve">  ↳ td_gdi_commando_sniper_elite</t>
        </is>
      </c>
      <c r="C1055" s="7" t="inlineStr">
        <is>
          <t>Armament@Upgrade</t>
        </is>
      </c>
      <c r="L1055" s="6" t="n">
        <v>40000</v>
      </c>
      <c r="M1055" s="6" t="n">
        <v>25</v>
      </c>
      <c r="N1055" s="6" t="n">
        <v>1</v>
      </c>
      <c r="O1055" s="6" t="n"/>
      <c r="P1055" s="6" t="n">
        <v>8086</v>
      </c>
      <c r="Q1055" s="6" t="n">
        <v>1</v>
      </c>
      <c r="R1055">
        <f>M1055+IF(MAX(N1055-1,0)&gt;0,IF(ISBLANK(O1055),5*MAX(N1055-1,0),IF(ISNUMBER(O1055),O1055*MAX(N1055-1,0),SUM(IFERROR(VALUE(TEXTSPLIT(O1055,",")),0)))),0)</f>
        <v/>
      </c>
      <c r="S1055">
        <f>IFERROR(L1055*MAX(N1055,1)/R1055*IF(ISBLANK(K1050),1,K1050),0)</f>
        <v/>
      </c>
      <c r="AB1055" s="7" t="inlineStr">
        <is>
          <t>^Warhead_Railgun_Heavy, ^Warhead_Sniper_Light</t>
        </is>
      </c>
    </row>
    <row r="1056">
      <c r="B1056" s="7" t="inlineStr">
        <is>
          <t xml:space="preserve">  ↳ td_gdi_commando_sniper_elite</t>
        </is>
      </c>
      <c r="C1056" s="7" t="inlineStr">
        <is>
          <t>Armament@UpgradeGARRISONED</t>
        </is>
      </c>
      <c r="L1056" s="6" t="n">
        <v>40000</v>
      </c>
      <c r="M1056" s="6" t="n">
        <v>25</v>
      </c>
      <c r="N1056" s="6" t="n">
        <v>1</v>
      </c>
      <c r="O1056" s="6" t="n"/>
      <c r="P1056" s="6" t="n">
        <v>8086</v>
      </c>
      <c r="Q1056" s="6" t="n">
        <v>1</v>
      </c>
      <c r="R1056">
        <f>M1056+IF(MAX(N1056-1,0)&gt;0,IF(ISBLANK(O1056),5*MAX(N1056-1,0),IF(ISNUMBER(O1056),O1056*MAX(N1056-1,0),SUM(IFERROR(VALUE(TEXTSPLIT(O1056,",")),0)))),0)</f>
        <v/>
      </c>
      <c r="S1056">
        <f>IFERROR(L1056*MAX(N1056,1)/R1056*IF(ISBLANK(K1050),1,K1050),0)</f>
        <v/>
      </c>
      <c r="AB1056" s="7" t="inlineStr">
        <is>
          <t>^Warhead_Railgun_Heavy, ^Warhead_Sniper_Light</t>
        </is>
      </c>
    </row>
    <row r="1057">
      <c r="A1057" t="inlineStr">
        <is>
          <t>tiberiandawn</t>
        </is>
      </c>
      <c r="B1057" t="inlineStr">
        <is>
          <t>td_gdi_havoc</t>
        </is>
      </c>
      <c r="C1057" t="inlineStr">
        <is>
          <t>Havoc</t>
        </is>
      </c>
      <c r="D1057" s="6" t="inlineStr">
        <is>
          <t>HeroInfantry</t>
        </is>
      </c>
      <c r="E1057" s="6" t="n">
        <v>100000</v>
      </c>
      <c r="F1057" s="6" t="n">
        <v>75</v>
      </c>
      <c r="G1057" t="inlineStr">
        <is>
          <t>Heroic</t>
        </is>
      </c>
      <c r="H1057" s="6" t="n">
        <v>0.75</v>
      </c>
      <c r="I1057" s="6" t="n">
        <v>1</v>
      </c>
      <c r="J1057" s="6" t="n">
        <v>1.25</v>
      </c>
      <c r="K1057" t="n">
        <v>0.012</v>
      </c>
      <c r="P1057">
        <f>MAX(P1058,P1059,P1060,P1061)</f>
        <v/>
      </c>
      <c r="S1057">
        <f>S1058+S1059+S1060+S1061</f>
        <v/>
      </c>
      <c r="T1057">
        <f>(E1057/100000+F1057/100+(P1057/1000)*J1057/5+S1057/200)*200*I1057*H1057</f>
        <v/>
      </c>
      <c r="U1057">
        <f>((E1057*F1057/25000)+((P1057/1000)*J1057*S1057/2.5))*I1057*H1057</f>
        <v/>
      </c>
      <c r="V1057">
        <f>(E1057*F1057*(P1057/1000)*J1057*S1057*I1057*H1057)/12500000</f>
        <v/>
      </c>
      <c r="W1057">
        <f>(T1057+U1057+V1057)/3</f>
        <v/>
      </c>
      <c r="X1057" s="6" t="n">
        <v>4000</v>
      </c>
      <c r="Y1057">
        <f>IFERROR(W1057-X1057,"")</f>
        <v/>
      </c>
      <c r="Z1057">
        <f>IFERROR(ABS(Y1057)/MAX(X1057,1),"")</f>
        <v/>
      </c>
      <c r="AA1057">
        <f>IFERROR((X1057-(((E1057/100000+F1057/100+S1057/200)*200*I1057*H1057)+((E1057*F1057/25000)*I1057*H1057))/3)/(((J1057/5)*200*I1057*H1057)+((J1057*S1057/2.5)*I1057*H1057)+((E1057*F1057*J1057*S1057*I1057*H1057)/12500000))/3*1000,"")</f>
        <v/>
      </c>
    </row>
    <row r="1058">
      <c r="B1058" s="7" t="inlineStr">
        <is>
          <t xml:space="preserve">  ↳ CommandoSniper</t>
        </is>
      </c>
      <c r="C1058" s="7" t="inlineStr">
        <is>
          <t>Armament@ra1_allies_alliedsniper</t>
        </is>
      </c>
      <c r="L1058" s="6" t="n">
        <v>40000</v>
      </c>
      <c r="M1058" s="6" t="n">
        <v>100</v>
      </c>
      <c r="N1058" s="6" t="n">
        <v>1</v>
      </c>
      <c r="O1058" s="6" t="n"/>
      <c r="P1058" s="6" t="n">
        <v>7750</v>
      </c>
      <c r="Q1058" s="6" t="n">
        <v>1</v>
      </c>
      <c r="R1058">
        <f>M1058+IF(MAX(N1058-1,0)&gt;0,IF(ISBLANK(O1058),5*MAX(N1058-1,0),IF(ISNUMBER(O1058),O1058*MAX(N1058-1,0),SUM(IFERROR(VALUE(TEXTSPLIT(O1058,",")),0)))),0)</f>
        <v/>
      </c>
      <c r="S1058">
        <f>IFERROR(L1058*MAX(N1058,1)/R1058*IF(ISBLANK(K1057),1,K1057),0)</f>
        <v/>
      </c>
      <c r="AB1058" s="7" t="inlineStr">
        <is>
          <t>^SniperWeapon, ^Chaingun</t>
        </is>
      </c>
    </row>
    <row r="1059">
      <c r="B1059" s="7" t="inlineStr">
        <is>
          <t xml:space="preserve">  ↳ CommandoRocketLauncher</t>
        </is>
      </c>
      <c r="C1059" s="7" t="inlineStr">
        <is>
          <t>Armament@Rocket</t>
        </is>
      </c>
      <c r="L1059" s="6" t="n">
        <v>40000</v>
      </c>
      <c r="M1059" s="6" t="n">
        <v>100</v>
      </c>
      <c r="N1059" s="6" t="n">
        <v>1</v>
      </c>
      <c r="O1059" s="6" t="n"/>
      <c r="P1059" s="6" t="n">
        <v>7750</v>
      </c>
      <c r="Q1059" s="6" t="n">
        <v>0.875</v>
      </c>
      <c r="R1059">
        <f>M1059+IF(MAX(N1059-1,0)&gt;0,IF(ISBLANK(O1059),5*MAX(N1059-1,0),IF(ISNUMBER(O1059),O1059*MAX(N1059-1,0),SUM(IFERROR(VALUE(TEXTSPLIT(O1059,",")),0)))),0)</f>
        <v/>
      </c>
      <c r="S1059">
        <f>IFERROR(L1059*MAX(N1059,1)/R1059*IF(ISBLANK(K1057),1,K1057),0)</f>
        <v/>
      </c>
      <c r="AB1059" s="7" t="inlineStr">
        <is>
          <t>^Warhead_MissileHE_Medium, ^Warhead_MissileHE_Light</t>
        </is>
      </c>
    </row>
    <row r="1060">
      <c r="B1060" s="7" t="inlineStr">
        <is>
          <t xml:space="preserve">  ↳ CommandoGrenadeLauncher</t>
        </is>
      </c>
      <c r="C1060" s="7" t="inlineStr">
        <is>
          <t>Armament@Grenade</t>
        </is>
      </c>
      <c r="L1060" s="6" t="n">
        <v>40000</v>
      </c>
      <c r="M1060" s="6" t="n">
        <v>100</v>
      </c>
      <c r="N1060" s="6" t="n">
        <v>1</v>
      </c>
      <c r="O1060" s="6" t="n"/>
      <c r="P1060" s="6" t="n">
        <v>7750</v>
      </c>
      <c r="Q1060" s="6" t="n">
        <v>1</v>
      </c>
      <c r="R1060">
        <f>M1060+IF(MAX(N1060-1,0)&gt;0,IF(ISBLANK(O1060),5*MAX(N1060-1,0),IF(ISNUMBER(O1060),O1060*MAX(N1060-1,0),SUM(IFERROR(VALUE(TEXTSPLIT(O1060,",")),0)))),0)</f>
        <v/>
      </c>
      <c r="S1060">
        <f>IFERROR(L1060*MAX(N1060,1)/R1060*IF(ISBLANK(K1057),1,K1057),0)</f>
        <v/>
      </c>
      <c r="AB1060" s="7" t="inlineStr">
        <is>
          <t>^ShrapnelWeapon, ^Grenade, ^EMPDamage</t>
        </is>
      </c>
    </row>
    <row r="1061">
      <c r="B1061" s="7" t="inlineStr">
        <is>
          <t xml:space="preserve">  ↳ CommandoM16</t>
        </is>
      </c>
      <c r="C1061" s="7" t="inlineStr">
        <is>
          <t>Armament@M16</t>
        </is>
      </c>
      <c r="L1061" s="6" t="n">
        <v>8000</v>
      </c>
      <c r="M1061" s="6" t="n">
        <v>92</v>
      </c>
      <c r="N1061" s="6" t="n">
        <v>5</v>
      </c>
      <c r="O1061" s="6" t="n">
        <v>2</v>
      </c>
      <c r="P1061" s="6" t="n">
        <v>7750</v>
      </c>
      <c r="Q1061" s="6" t="n">
        <v>1</v>
      </c>
      <c r="R1061">
        <f>M1061+IF(MAX(N1061-1,0)&gt;0,IF(ISBLANK(O1061),5*MAX(N1061-1,0),IF(ISNUMBER(O1061),O1061*MAX(N1061-1,0),SUM(IFERROR(VALUE(TEXTSPLIT(O1061,",")),0)))),0)</f>
        <v/>
      </c>
      <c r="S1061">
        <f>IFERROR(L1061*MAX(N1061,1)/R1061*IF(ISBLANK(K1057),1,K1057),0)</f>
        <v/>
      </c>
      <c r="AB1061" s="7" t="inlineStr">
        <is>
          <t>^SniperWeapon, ^Chaingun</t>
        </is>
      </c>
    </row>
    <row r="1062">
      <c r="B1062" s="7" t="inlineStr">
        <is>
          <t xml:space="preserve">  ↳ CommandoSniper</t>
        </is>
      </c>
      <c r="C1062" s="7" t="inlineStr">
        <is>
          <t>Armament@SniperGARRISONED</t>
        </is>
      </c>
      <c r="L1062" s="6" t="n">
        <v>40000</v>
      </c>
      <c r="M1062" s="6" t="n">
        <v>100</v>
      </c>
      <c r="N1062" s="6" t="n">
        <v>1</v>
      </c>
      <c r="O1062" s="6" t="n"/>
      <c r="P1062" s="6" t="n">
        <v>7750</v>
      </c>
      <c r="Q1062" s="6" t="n">
        <v>1</v>
      </c>
      <c r="R1062">
        <f>M1062+IF(MAX(N1062-1,0)&gt;0,IF(ISBLANK(O1062),5*MAX(N1062-1,0),IF(ISNUMBER(O1062),O1062*MAX(N1062-1,0),SUM(IFERROR(VALUE(TEXTSPLIT(O1062,",")),0)))),0)</f>
        <v/>
      </c>
      <c r="S1062">
        <f>IFERROR(L1062*MAX(N1062,1)/R1062*IF(ISBLANK(K1057),1,K1057),0)</f>
        <v/>
      </c>
      <c r="AB1062" s="7" t="inlineStr">
        <is>
          <t>^SniperWeapon, ^Chaingun</t>
        </is>
      </c>
    </row>
    <row r="1063">
      <c r="B1063" s="7" t="inlineStr">
        <is>
          <t xml:space="preserve">  ↳ CommandoRocketLauncher</t>
        </is>
      </c>
      <c r="C1063" s="7" t="inlineStr">
        <is>
          <t>Armament@RocketGARRISONED</t>
        </is>
      </c>
      <c r="L1063" s="6" t="n">
        <v>40000</v>
      </c>
      <c r="M1063" s="6" t="n">
        <v>100</v>
      </c>
      <c r="N1063" s="6" t="n">
        <v>1</v>
      </c>
      <c r="O1063" s="6" t="n"/>
      <c r="P1063" s="6" t="n">
        <v>7750</v>
      </c>
      <c r="Q1063" s="6" t="n">
        <v>0.875</v>
      </c>
      <c r="R1063">
        <f>M1063+IF(MAX(N1063-1,0)&gt;0,IF(ISBLANK(O1063),5*MAX(N1063-1,0),IF(ISNUMBER(O1063),O1063*MAX(N1063-1,0),SUM(IFERROR(VALUE(TEXTSPLIT(O1063,",")),0)))),0)</f>
        <v/>
      </c>
      <c r="S1063">
        <f>IFERROR(L1063*MAX(N1063,1)/R1063*IF(ISBLANK(K1057),1,K1057),0)</f>
        <v/>
      </c>
      <c r="AB1063" s="7" t="inlineStr">
        <is>
          <t>^Warhead_MissileHE_Medium, ^Warhead_MissileHE_Light</t>
        </is>
      </c>
    </row>
    <row r="1064">
      <c r="B1064" s="7" t="inlineStr">
        <is>
          <t xml:space="preserve">  ↳ CommandoGrenadeLauncher</t>
        </is>
      </c>
      <c r="C1064" s="7" t="inlineStr">
        <is>
          <t>Armament@GrenadeGARRISONED</t>
        </is>
      </c>
      <c r="L1064" s="6" t="n">
        <v>40000</v>
      </c>
      <c r="M1064" s="6" t="n">
        <v>100</v>
      </c>
      <c r="N1064" s="6" t="n">
        <v>1</v>
      </c>
      <c r="O1064" s="6" t="n"/>
      <c r="P1064" s="6" t="n">
        <v>7750</v>
      </c>
      <c r="Q1064" s="6" t="n">
        <v>1</v>
      </c>
      <c r="R1064">
        <f>M1064+IF(MAX(N1064-1,0)&gt;0,IF(ISBLANK(O1064),5*MAX(N1064-1,0),IF(ISNUMBER(O1064),O1064*MAX(N1064-1,0),SUM(IFERROR(VALUE(TEXTSPLIT(O1064,",")),0)))),0)</f>
        <v/>
      </c>
      <c r="S1064">
        <f>IFERROR(L1064*MAX(N1064,1)/R1064*IF(ISBLANK(K1057),1,K1057),0)</f>
        <v/>
      </c>
      <c r="AB1064" s="7" t="inlineStr">
        <is>
          <t>^ShrapnelWeapon, ^Grenade, ^EMPDamage</t>
        </is>
      </c>
    </row>
    <row r="1065">
      <c r="B1065" s="7" t="inlineStr">
        <is>
          <t xml:space="preserve">  ↳ CommandoM16</t>
        </is>
      </c>
      <c r="C1065" s="7" t="inlineStr">
        <is>
          <t>Armament@M16GARRISONED</t>
        </is>
      </c>
      <c r="L1065" s="6" t="n">
        <v>8000</v>
      </c>
      <c r="M1065" s="6" t="n">
        <v>92</v>
      </c>
      <c r="N1065" s="6" t="n">
        <v>5</v>
      </c>
      <c r="O1065" s="6" t="n">
        <v>2</v>
      </c>
      <c r="P1065" s="6" t="n">
        <v>7750</v>
      </c>
      <c r="Q1065" s="6" t="n">
        <v>1</v>
      </c>
      <c r="R1065">
        <f>M1065+IF(MAX(N1065-1,0)&gt;0,IF(ISBLANK(O1065),5*MAX(N1065-1,0),IF(ISNUMBER(O1065),O1065*MAX(N1065-1,0),SUM(IFERROR(VALUE(TEXTSPLIT(O1065,",")),0)))),0)</f>
        <v/>
      </c>
      <c r="S1065">
        <f>IFERROR(L1065*MAX(N1065,1)/R1065*IF(ISBLANK(K1057),1,K1057),0)</f>
        <v/>
      </c>
      <c r="AB1065" s="7" t="inlineStr">
        <is>
          <t>^SniperWeapon, ^Chaingun</t>
        </is>
      </c>
    </row>
    <row r="1066">
      <c r="B1066" s="7" t="inlineStr">
        <is>
          <t xml:space="preserve">  ↳ GenericC4</t>
        </is>
      </c>
      <c r="C1066" s="7" t="inlineStr">
        <is>
          <t>Armament@c4</t>
        </is>
      </c>
      <c r="M1066" s="6" t="n">
        <v>20</v>
      </c>
      <c r="N1066" s="6" t="n">
        <v>1</v>
      </c>
      <c r="O1066" s="6" t="n"/>
      <c r="P1066" s="6" t="n">
        <v>2000</v>
      </c>
      <c r="Q1066" s="6" t="n">
        <v>1</v>
      </c>
      <c r="R1066">
        <f>M1066+IF(MAX(N1066-1,0)&gt;0,IF(ISBLANK(O1066),5*MAX(N1066-1,0),IF(ISNUMBER(O1066),O1066*MAX(N1066-1,0),SUM(IFERROR(VALUE(TEXTSPLIT(O1066,",")),0)))),0)</f>
        <v/>
      </c>
      <c r="S1066">
        <f>IFERROR(L1066*MAX(N1066,1)/R1066*IF(ISBLANK(K1057),1,K1057),0)</f>
        <v/>
      </c>
      <c r="AB1066" s="7" t="inlineStr"/>
    </row>
    <row r="1067">
      <c r="A1067" t="inlineStr">
        <is>
          <t>tiberiandawn</t>
        </is>
      </c>
      <c r="B1067" t="inlineStr">
        <is>
          <t>td_nod_commando</t>
        </is>
      </c>
      <c r="C1067" t="inlineStr">
        <is>
          <t>Nod Commando</t>
        </is>
      </c>
      <c r="D1067" s="6" t="inlineStr">
        <is>
          <t>HeroInfantry</t>
        </is>
      </c>
      <c r="E1067" s="6" t="n">
        <v>80000</v>
      </c>
      <c r="F1067" s="6" t="n">
        <v>65</v>
      </c>
      <c r="G1067" t="inlineStr">
        <is>
          <t>Heroic</t>
        </is>
      </c>
      <c r="H1067" s="6" t="n">
        <v>0.3976</v>
      </c>
      <c r="I1067" s="6" t="n">
        <v>1</v>
      </c>
      <c r="J1067" s="6" t="n">
        <v>1</v>
      </c>
      <c r="P1067">
        <f>MAX(P1070)</f>
        <v/>
      </c>
      <c r="S1067">
        <f>S1070</f>
        <v/>
      </c>
      <c r="T1067">
        <f>(E1067/100000+F1067/100+(P1067/1000)*J1067/5+S1067/200)*200*I1067*H1067</f>
        <v/>
      </c>
      <c r="U1067">
        <f>((E1067*F1067/25000)+((P1067/1000)*J1067*S1067/2.5))*I1067*H1067</f>
        <v/>
      </c>
      <c r="V1067">
        <f>(E1067*F1067*(P1067/1000)*J1067*S1067*I1067*H1067)/12500000</f>
        <v/>
      </c>
      <c r="W1067">
        <f>(T1067+U1067+V1067)/3</f>
        <v/>
      </c>
      <c r="X1067" s="6" t="n">
        <v>3000</v>
      </c>
      <c r="Y1067">
        <f>IFERROR(W1067-X1067,"")</f>
        <v/>
      </c>
      <c r="Z1067">
        <f>IFERROR(ABS(Y1067)/MAX(X1067,1),"")</f>
        <v/>
      </c>
      <c r="AA1067">
        <f>IFERROR((X1067-(((E1067/100000+F1067/100+S1067/200)*200*I1067*H1067)+((E1067*F1067/25000)*I1067*H1067))/3)/(((J1067/5)*200*I1067*H1067)+((J1067*S1067/2.5)*I1067*H1067)+((E1067*F1067*J1067*S1067*I1067*H1067)/12500000))/3*1000,"")</f>
        <v/>
      </c>
    </row>
    <row r="1068">
      <c r="B1068" s="7" t="inlineStr">
        <is>
          <t xml:space="preserve">  ↳ TanyaAttach</t>
        </is>
      </c>
      <c r="C1068" s="7" t="inlineStr">
        <is>
          <t>Armament@c4</t>
        </is>
      </c>
      <c r="M1068" s="6" t="n">
        <v>20</v>
      </c>
      <c r="N1068" s="6" t="n">
        <v>1</v>
      </c>
      <c r="O1068" s="6" t="n"/>
      <c r="P1068" s="6" t="n">
        <v>2000</v>
      </c>
      <c r="Q1068" s="6" t="n">
        <v>1</v>
      </c>
      <c r="R1068">
        <f>M1068+IF(MAX(N1068-1,0)&gt;0,IF(ISBLANK(O1068),5*MAX(N1068-1,0),IF(ISNUMBER(O1068),O1068*MAX(N1068-1,0),SUM(IFERROR(VALUE(TEXTSPLIT(O1068,",")),0)))),0)</f>
        <v/>
      </c>
      <c r="S1068">
        <f>IFERROR(L1068*MAX(N1068,1)/R1068*IF(ISBLANK(K1067),1,K1067),0)</f>
        <v/>
      </c>
      <c r="AB1068" s="7" t="inlineStr">
        <is>
          <t>IvanAttach</t>
        </is>
      </c>
    </row>
    <row r="1069">
      <c r="B1069" s="7" t="inlineStr">
        <is>
          <t xml:space="preserve">  ↳ GenericC4</t>
        </is>
      </c>
      <c r="C1069" s="7" t="inlineStr">
        <is>
          <t>Armament@c4building</t>
        </is>
      </c>
      <c r="M1069" s="6" t="n">
        <v>20</v>
      </c>
      <c r="N1069" s="6" t="n">
        <v>1</v>
      </c>
      <c r="O1069" s="6" t="n"/>
      <c r="P1069" s="6" t="n">
        <v>2000</v>
      </c>
      <c r="Q1069" s="6" t="n">
        <v>1</v>
      </c>
      <c r="R1069">
        <f>M1069+IF(MAX(N1069-1,0)&gt;0,IF(ISBLANK(O1069),5*MAX(N1069-1,0),IF(ISNUMBER(O1069),O1069*MAX(N1069-1,0),SUM(IFERROR(VALUE(TEXTSPLIT(O1069,",")),0)))),0)</f>
        <v/>
      </c>
      <c r="S1069">
        <f>IFERROR(L1069*MAX(N1069,1)/R1069*IF(ISBLANK(K1067),1,K1067),0)</f>
        <v/>
      </c>
      <c r="AB1069" s="7" t="inlineStr"/>
    </row>
    <row r="1070">
      <c r="B1070" s="7" t="inlineStr">
        <is>
          <t xml:space="preserve">  ↳ td_gdi_commando_sniper</t>
        </is>
      </c>
      <c r="C1070" s="7" t="inlineStr">
        <is>
          <t>Armament</t>
        </is>
      </c>
      <c r="L1070" s="6" t="n">
        <v>40000</v>
      </c>
      <c r="M1070" s="6" t="n">
        <v>25</v>
      </c>
      <c r="N1070" s="6" t="n">
        <v>1</v>
      </c>
      <c r="O1070" s="6" t="n"/>
      <c r="P1070" s="6" t="n">
        <v>8086</v>
      </c>
      <c r="Q1070" s="6" t="n">
        <v>0.75</v>
      </c>
      <c r="R1070">
        <f>M1070+IF(MAX(N1070-1,0)&gt;0,IF(ISBLANK(O1070),5*MAX(N1070-1,0),IF(ISNUMBER(O1070),O1070*MAX(N1070-1,0),SUM(IFERROR(VALUE(TEXTSPLIT(O1070,",")),0)))),0)</f>
        <v/>
      </c>
      <c r="S1070">
        <f>IFERROR(L1070*MAX(N1070,1)/R1070*IF(ISBLANK(K1067),1,K1067),0)</f>
        <v/>
      </c>
      <c r="AB1070" s="7" t="inlineStr">
        <is>
          <t>^Warhead_Sniper_Light</t>
        </is>
      </c>
    </row>
    <row r="1071">
      <c r="B1071" s="7" t="inlineStr">
        <is>
          <t xml:space="preserve">  ↳ td_gdi_commando_sniper</t>
        </is>
      </c>
      <c r="C1071" s="7" t="inlineStr">
        <is>
          <t>Armament@GARRISONED</t>
        </is>
      </c>
      <c r="L1071" s="6" t="n">
        <v>40000</v>
      </c>
      <c r="M1071" s="6" t="n">
        <v>25</v>
      </c>
      <c r="N1071" s="6" t="n">
        <v>1</v>
      </c>
      <c r="O1071" s="6" t="n"/>
      <c r="P1071" s="6" t="n">
        <v>8086</v>
      </c>
      <c r="Q1071" s="6" t="n">
        <v>0.75</v>
      </c>
      <c r="R1071">
        <f>M1071+IF(MAX(N1071-1,0)&gt;0,IF(ISBLANK(O1071),5*MAX(N1071-1,0),IF(ISNUMBER(O1071),O1071*MAX(N1071-1,0),SUM(IFERROR(VALUE(TEXTSPLIT(O1071,",")),0)))),0)</f>
        <v/>
      </c>
      <c r="S1071">
        <f>IFERROR(L1071*MAX(N1071,1)/R1071*IF(ISBLANK(K1067),1,K1067),0)</f>
        <v/>
      </c>
      <c r="AB1071" s="7" t="inlineStr">
        <is>
          <t>^Warhead_Sniper_Light</t>
        </is>
      </c>
    </row>
    <row r="1072">
      <c r="A1072" t="inlineStr">
        <is>
          <t>tiberiandawn</t>
        </is>
      </c>
      <c r="B1072" t="inlineStr">
        <is>
          <t>td_nod_lasercommando</t>
        </is>
      </c>
      <c r="C1072" t="inlineStr">
        <is>
          <t>Laser Commando</t>
        </is>
      </c>
      <c r="D1072" s="6" t="inlineStr">
        <is>
          <t>HeroInfantry</t>
        </is>
      </c>
      <c r="E1072" s="6" t="n">
        <v>57000</v>
      </c>
      <c r="F1072" s="6" t="n">
        <v>79</v>
      </c>
      <c r="G1072" t="inlineStr">
        <is>
          <t>Heroic</t>
        </is>
      </c>
      <c r="H1072" s="6" t="n">
        <v>0.75</v>
      </c>
      <c r="I1072" s="6" t="n">
        <v>1</v>
      </c>
      <c r="J1072" s="6" t="n">
        <v>2</v>
      </c>
      <c r="P1072">
        <f>MAX(P1073,P1074)</f>
        <v/>
      </c>
      <c r="S1072">
        <f>S1073+S1074</f>
        <v/>
      </c>
      <c r="T1072">
        <f>(E1072/100000+F1072/100+(P1072/1000)*J1072/5+S1072/200)*200*I1072*H1072</f>
        <v/>
      </c>
      <c r="U1072">
        <f>((E1072*F1072/25000)+((P1072/1000)*J1072*S1072/2.5))*I1072*H1072</f>
        <v/>
      </c>
      <c r="V1072">
        <f>(E1072*F1072*(P1072/1000)*J1072*S1072*I1072*H1072)/12500000</f>
        <v/>
      </c>
      <c r="W1072">
        <f>(T1072+U1072+V1072)/3</f>
        <v/>
      </c>
      <c r="X1072" s="6" t="n">
        <v>5000</v>
      </c>
      <c r="Y1072">
        <f>IFERROR(W1072-X1072,"")</f>
        <v/>
      </c>
      <c r="Z1072">
        <f>IFERROR(ABS(Y1072)/MAX(X1072,1),"")</f>
        <v/>
      </c>
      <c r="AA1072">
        <f>IFERROR((X1072-(((E1072/100000+F1072/100+S1072/200)*200*I1072*H1072)+((E1072*F1072/25000)*I1072*H1072))/3)/(((J1072/5)*200*I1072*H1072)+((J1072*S1072/2.5)*I1072*H1072)+((E1072*F1072*J1072*S1072*I1072*H1072)/12500000))/3*1000,"")</f>
        <v/>
      </c>
    </row>
    <row r="1073">
      <c r="B1073" s="7" t="inlineStr">
        <is>
          <t xml:space="preserve">  ↳ NodCommandoLaser</t>
        </is>
      </c>
      <c r="C1073" s="7" t="inlineStr">
        <is>
          <t>Armament@pointdefense</t>
        </is>
      </c>
      <c r="L1073" s="6" t="n">
        <v>2000</v>
      </c>
      <c r="M1073" s="6" t="n">
        <v>8</v>
      </c>
      <c r="N1073" s="6" t="n">
        <v>1</v>
      </c>
      <c r="O1073" s="6" t="n"/>
      <c r="P1073" s="6" t="n">
        <v>6030</v>
      </c>
      <c r="Q1073" s="6" t="n">
        <v>1.25</v>
      </c>
      <c r="R1073">
        <f>M1073+IF(MAX(N1073-1,0)&gt;0,IF(ISBLANK(O1073),5*MAX(N1073-1,0),IF(ISNUMBER(O1073),O1073*MAX(N1073-1,0),SUM(IFERROR(VALUE(TEXTSPLIT(O1073,",")),0)))),0)</f>
        <v/>
      </c>
      <c r="S1073">
        <f>IFERROR(L1073*MAX(N1073,1)/R1073*IF(ISBLANK(K1072),1,K1072),0)</f>
        <v/>
      </c>
      <c r="AB1073" s="7" t="inlineStr">
        <is>
          <t>^Warhead_Laser_Heavy</t>
        </is>
      </c>
    </row>
    <row r="1074">
      <c r="B1074" s="7" t="inlineStr">
        <is>
          <t xml:space="preserve">  ↳ NodCommandoLaser</t>
        </is>
      </c>
      <c r="C1074" s="7" t="inlineStr">
        <is>
          <t>Armament</t>
        </is>
      </c>
      <c r="L1074" s="6" t="n">
        <v>2000</v>
      </c>
      <c r="M1074" s="6" t="n">
        <v>8</v>
      </c>
      <c r="N1074" s="6" t="n">
        <v>1</v>
      </c>
      <c r="O1074" s="6" t="n"/>
      <c r="P1074" s="6" t="n">
        <v>6030</v>
      </c>
      <c r="Q1074" s="6" t="n">
        <v>1.25</v>
      </c>
      <c r="R1074">
        <f>M1074+IF(MAX(N1074-1,0)&gt;0,IF(ISBLANK(O1074),5*MAX(N1074-1,0),IF(ISNUMBER(O1074),O1074*MAX(N1074-1,0),SUM(IFERROR(VALUE(TEXTSPLIT(O1074,",")),0)))),0)</f>
        <v/>
      </c>
      <c r="S1074">
        <f>IFERROR(L1074*MAX(N1074,1)/R1074*IF(ISBLANK(K1072),1,K1072),0)</f>
        <v/>
      </c>
      <c r="AB1074" s="7" t="inlineStr">
        <is>
          <t>^Warhead_Laser_Heavy</t>
        </is>
      </c>
    </row>
    <row r="1075">
      <c r="B1075" s="7" t="inlineStr">
        <is>
          <t xml:space="preserve">  ↳ NodCommandoLaser</t>
        </is>
      </c>
      <c r="C1075" s="7" t="inlineStr">
        <is>
          <t>Armament@GARRISONED</t>
        </is>
      </c>
      <c r="L1075" s="6" t="n">
        <v>2000</v>
      </c>
      <c r="M1075" s="6" t="n">
        <v>8</v>
      </c>
      <c r="N1075" s="6" t="n">
        <v>1</v>
      </c>
      <c r="O1075" s="6" t="n"/>
      <c r="P1075" s="6" t="n">
        <v>6030</v>
      </c>
      <c r="Q1075" s="6" t="n">
        <v>1.25</v>
      </c>
      <c r="R1075">
        <f>M1075+IF(MAX(N1075-1,0)&gt;0,IF(ISBLANK(O1075),5*MAX(N1075-1,0),IF(ISNUMBER(O1075),O1075*MAX(N1075-1,0),SUM(IFERROR(VALUE(TEXTSPLIT(O1075,",")),0)))),0)</f>
        <v/>
      </c>
      <c r="S1075">
        <f>IFERROR(L1075*MAX(N1075,1)/R1075*IF(ISBLANK(K1072),1,K1072),0)</f>
        <v/>
      </c>
      <c r="AB1075" s="7" t="inlineStr">
        <is>
          <t>^Warhead_Laser_Heavy</t>
        </is>
      </c>
    </row>
    <row r="1076">
      <c r="B1076" s="7" t="inlineStr">
        <is>
          <t xml:space="preserve">  ↳ GenericC4</t>
        </is>
      </c>
      <c r="C1076" s="7" t="inlineStr">
        <is>
          <t>Armament@c4</t>
        </is>
      </c>
      <c r="M1076" s="6" t="n">
        <v>20</v>
      </c>
      <c r="N1076" s="6" t="n">
        <v>1</v>
      </c>
      <c r="O1076" s="6" t="n"/>
      <c r="P1076" s="6" t="n">
        <v>2000</v>
      </c>
      <c r="Q1076" s="6" t="n">
        <v>1</v>
      </c>
      <c r="R1076">
        <f>M1076+IF(MAX(N1076-1,0)&gt;0,IF(ISBLANK(O1076),5*MAX(N1076-1,0),IF(ISNUMBER(O1076),O1076*MAX(N1076-1,0),SUM(IFERROR(VALUE(TEXTSPLIT(O1076,",")),0)))),0)</f>
        <v/>
      </c>
      <c r="S1076">
        <f>IFERROR(L1076*MAX(N1076,1)/R1076*IF(ISBLANK(K1072),1,K1072),0)</f>
        <v/>
      </c>
      <c r="AB1076" s="7" t="inlineStr"/>
    </row>
    <row r="1077">
      <c r="A1077" t="inlineStr">
        <is>
          <t>redalert</t>
        </is>
      </c>
      <c r="B1077" t="inlineStr">
        <is>
          <t>japan_exorcist</t>
        </is>
      </c>
      <c r="C1077" t="inlineStr">
        <is>
          <t>Exorcist</t>
        </is>
      </c>
      <c r="D1077" s="6" t="inlineStr">
        <is>
          <t>HeroInfantry</t>
        </is>
      </c>
      <c r="E1077" s="6" t="n">
        <v>75000</v>
      </c>
      <c r="F1077" s="6" t="n">
        <v>60</v>
      </c>
      <c r="G1077" t="inlineStr">
        <is>
          <t>Heroic</t>
        </is>
      </c>
      <c r="H1077" s="6" t="n">
        <v>0.75</v>
      </c>
      <c r="I1077" s="6" t="n">
        <v>1</v>
      </c>
      <c r="J1077" s="6" t="n">
        <v>1.25</v>
      </c>
      <c r="P1077">
        <f>MAX(P1078,P1079)</f>
        <v/>
      </c>
      <c r="S1077">
        <f>S1078+S1079</f>
        <v/>
      </c>
      <c r="T1077">
        <f>(E1077/100000+F1077/100+(P1077/1000)*J1077/5+S1077/200)*200*I1077*H1077</f>
        <v/>
      </c>
      <c r="U1077">
        <f>((E1077*F1077/25000)+((P1077/1000)*J1077*S1077/2.5))*I1077*H1077</f>
        <v/>
      </c>
      <c r="V1077">
        <f>(E1077*F1077*(P1077/1000)*J1077*S1077*I1077*H1077)/12500000</f>
        <v/>
      </c>
      <c r="W1077">
        <f>(T1077+U1077+V1077)/3</f>
        <v/>
      </c>
      <c r="X1077" s="6" t="n">
        <v>3000</v>
      </c>
      <c r="Y1077">
        <f>IFERROR(W1077-X1077,"")</f>
        <v/>
      </c>
      <c r="Z1077">
        <f>IFERROR(ABS(Y1077)/MAX(X1077,1),"")</f>
        <v/>
      </c>
      <c r="AA1077">
        <f>IFERROR((X1077-(((E1077/100000+F1077/100+S1077/200)*200*I1077*H1077)+((E1077*F1077/25000)*I1077*H1077))/3)/(((J1077/5)*200*I1077*H1077)+((J1077*S1077/2.5)*I1077*H1077)+((E1077*F1077*J1077*S1077*I1077*H1077)/12500000))/3*1000,"")</f>
        <v/>
      </c>
    </row>
    <row r="1078">
      <c r="B1078" s="7" t="inlineStr">
        <is>
          <t xml:space="preserve">  ↳ Hakureiring</t>
        </is>
      </c>
      <c r="C1078" s="7" t="inlineStr">
        <is>
          <t>Armament@PRIMARY</t>
        </is>
      </c>
      <c r="L1078" s="6" t="n">
        <v>20000</v>
      </c>
      <c r="M1078" s="6" t="n">
        <v>30</v>
      </c>
      <c r="N1078" s="6" t="n">
        <v>3</v>
      </c>
      <c r="O1078" s="6" t="n">
        <v>10</v>
      </c>
      <c r="P1078" s="6" t="n">
        <v>6666</v>
      </c>
      <c r="Q1078" s="6" t="n">
        <v>1.25</v>
      </c>
      <c r="R1078">
        <f>M1078+IF(MAX(N1078-1,0)&gt;0,IF(ISBLANK(O1078),5*MAX(N1078-1,0),IF(ISNUMBER(O1078),O1078*MAX(N1078-1,0),SUM(IFERROR(VALUE(TEXTSPLIT(O1078,",")),0)))),0)</f>
        <v/>
      </c>
      <c r="S1078">
        <f>IFERROR(L1078*MAX(N1078,1)/R1078*IF(ISBLANK(K1077),1,K1077),0)</f>
        <v/>
      </c>
      <c r="AB1078" s="7" t="inlineStr">
        <is>
          <t>^Warhead_Magic_Heavy</t>
        </is>
      </c>
    </row>
    <row r="1079">
      <c r="B1079" s="7" t="inlineStr">
        <is>
          <t xml:space="preserve">  ↳ Hakureiring2</t>
        </is>
      </c>
      <c r="C1079" s="7" t="inlineStr">
        <is>
          <t>Armament@Special</t>
        </is>
      </c>
      <c r="L1079" s="6" t="n">
        <v>240000</v>
      </c>
      <c r="M1079" s="6" t="n">
        <v>100</v>
      </c>
      <c r="N1079" s="6" t="n">
        <v>1</v>
      </c>
      <c r="O1079" s="6" t="n">
        <v>10</v>
      </c>
      <c r="P1079" s="6" t="n">
        <v>6666</v>
      </c>
      <c r="Q1079" s="6" t="n">
        <v>1.25</v>
      </c>
      <c r="R1079">
        <f>M1079+IF(MAX(N1079-1,0)&gt;0,IF(ISBLANK(O1079),5*MAX(N1079-1,0),IF(ISNUMBER(O1079),O1079*MAX(N1079-1,0),SUM(IFERROR(VALUE(TEXTSPLIT(O1079,",")),0)))),0)</f>
        <v/>
      </c>
      <c r="S1079">
        <f>IFERROR(L1079*MAX(N1079,1)/R1079*IF(ISBLANK(K1077),1,K1077),0)</f>
        <v/>
      </c>
      <c r="AB1079" s="7" t="inlineStr">
        <is>
          <t>^Warhead_Magic_Heavy</t>
        </is>
      </c>
    </row>
    <row r="1080">
      <c r="B1080" s="7" t="inlineStr">
        <is>
          <t xml:space="preserve">  ↳ Hakureiring</t>
        </is>
      </c>
      <c r="C1080" s="7" t="inlineStr">
        <is>
          <t>Armament@GARRISONED</t>
        </is>
      </c>
      <c r="L1080" s="6" t="n">
        <v>20000</v>
      </c>
      <c r="M1080" s="6" t="n">
        <v>30</v>
      </c>
      <c r="N1080" s="6" t="n">
        <v>3</v>
      </c>
      <c r="O1080" s="6" t="n">
        <v>10</v>
      </c>
      <c r="P1080" s="6" t="n">
        <v>6666</v>
      </c>
      <c r="Q1080" s="6" t="n">
        <v>1.25</v>
      </c>
      <c r="R1080">
        <f>M1080+IF(MAX(N1080-1,0)&gt;0,IF(ISBLANK(O1080),5*MAX(N1080-1,0),IF(ISNUMBER(O1080),O1080*MAX(N1080-1,0),SUM(IFERROR(VALUE(TEXTSPLIT(O1080,",")),0)))),0)</f>
        <v/>
      </c>
      <c r="S1080">
        <f>IFERROR(L1080*MAX(N1080,1)/R1080*IF(ISBLANK(K1077),1,K1077),0)</f>
        <v/>
      </c>
      <c r="AB1080" s="7" t="inlineStr">
        <is>
          <t>^Warhead_Magic_Heavy</t>
        </is>
      </c>
    </row>
    <row r="1081">
      <c r="B1081" s="7" t="inlineStr">
        <is>
          <t xml:space="preserve">  ↳ Hakureiring2</t>
        </is>
      </c>
      <c r="C1081" s="7" t="inlineStr">
        <is>
          <t>Armament@GARRISONEDSpecial</t>
        </is>
      </c>
      <c r="L1081" s="6" t="n">
        <v>240000</v>
      </c>
      <c r="M1081" s="6" t="n">
        <v>100</v>
      </c>
      <c r="N1081" s="6" t="n">
        <v>1</v>
      </c>
      <c r="O1081" s="6" t="n">
        <v>10</v>
      </c>
      <c r="P1081" s="6" t="n">
        <v>6666</v>
      </c>
      <c r="Q1081" s="6" t="n">
        <v>1.25</v>
      </c>
      <c r="R1081">
        <f>M1081+IF(MAX(N1081-1,0)&gt;0,IF(ISBLANK(O1081),5*MAX(N1081-1,0),IF(ISNUMBER(O1081),O1081*MAX(N1081-1,0),SUM(IFERROR(VALUE(TEXTSPLIT(O1081,",")),0)))),0)</f>
        <v/>
      </c>
      <c r="S1081">
        <f>IFERROR(L1081*MAX(N1081,1)/R1081*IF(ISBLANK(K1077),1,K1077),0)</f>
        <v/>
      </c>
      <c r="AB1081" s="7" t="inlineStr">
        <is>
          <t>^Warhead_Magic_Heavy</t>
        </is>
      </c>
    </row>
    <row r="1082">
      <c r="A1082" t="inlineStr">
        <is>
          <t>redalert</t>
        </is>
      </c>
      <c r="B1082" t="inlineStr">
        <is>
          <t>ra1_soviets_volkov</t>
        </is>
      </c>
      <c r="C1082" t="inlineStr">
        <is>
          <t>Volkov</t>
        </is>
      </c>
      <c r="D1082" s="6" t="inlineStr">
        <is>
          <t>HeroInfantry</t>
        </is>
      </c>
      <c r="E1082" s="6" t="n">
        <v>400000</v>
      </c>
      <c r="F1082" s="6" t="n">
        <v>55</v>
      </c>
      <c r="G1082" t="inlineStr">
        <is>
          <t>Heroic</t>
        </is>
      </c>
      <c r="H1082" s="6" t="n">
        <v>0.75</v>
      </c>
      <c r="I1082" s="6" t="n">
        <v>1</v>
      </c>
      <c r="J1082" s="6" t="n">
        <v>1</v>
      </c>
      <c r="P1082">
        <f>MAX(P1083,P1084,P1085,P1086,P1087,P1088)</f>
        <v/>
      </c>
      <c r="S1082">
        <f>S1083+S1084+S1085+S1086+S1087+S1088</f>
        <v/>
      </c>
      <c r="T1082">
        <f>(E1082/100000+F1082/100+(P1082/1000)*J1082/5+S1082/200)*200*I1082*H1082</f>
        <v/>
      </c>
      <c r="U1082">
        <f>((E1082*F1082/25000)+((P1082/1000)*J1082*S1082/2.5))*I1082*H1082</f>
        <v/>
      </c>
      <c r="V1082">
        <f>(E1082*F1082*(P1082/1000)*J1082*S1082*I1082*H1082)/12500000</f>
        <v/>
      </c>
      <c r="W1082">
        <f>(T1082+U1082+V1082)/3</f>
        <v/>
      </c>
      <c r="X1082" s="6" t="n">
        <v>10000</v>
      </c>
      <c r="Y1082">
        <f>IFERROR(W1082-X1082,"")</f>
        <v/>
      </c>
      <c r="Z1082">
        <f>IFERROR(ABS(Y1082)/MAX(X1082,1),"")</f>
        <v/>
      </c>
      <c r="AA1082">
        <f>IFERROR((X1082-(((E1082/100000+F1082/100+S1082/200)*200*I1082*H1082)+((E1082*F1082/25000)*I1082*H1082))/3)/(((J1082/5)*200*I1082*H1082)+((J1082*S1082/2.5)*I1082*H1082)+((E1082*F1082*J1082*S1082*I1082*H1082)/12500000))/3*1000,"")</f>
        <v/>
      </c>
    </row>
    <row r="1083">
      <c r="B1083" s="7" t="inlineStr">
        <is>
          <t xml:space="preserve">  ↳ VolkovMagneticWeapon</t>
        </is>
      </c>
      <c r="C1083" s="7" t="inlineStr">
        <is>
          <t>Armament</t>
        </is>
      </c>
      <c r="L1083" s="6" t="n">
        <v>30000</v>
      </c>
      <c r="M1083" s="6" t="n">
        <v>15</v>
      </c>
      <c r="N1083" s="6" t="n">
        <v>2</v>
      </c>
      <c r="O1083" s="6" t="n">
        <v>5</v>
      </c>
      <c r="P1083" s="6" t="n">
        <v>5400</v>
      </c>
      <c r="Q1083" s="6" t="n">
        <v>1.25</v>
      </c>
      <c r="R1083">
        <f>M1083+IF(MAX(N1083-1,0)&gt;0,IF(ISBLANK(O1083),5*MAX(N1083-1,0),IF(ISNUMBER(O1083),O1083*MAX(N1083-1,0),SUM(IFERROR(VALUE(TEXTSPLIT(O1083,",")),0)))),0)</f>
        <v/>
      </c>
      <c r="S1083">
        <f>IFERROR(L1083*MAX(N1083,1)/R1083*IF(ISBLANK(K1082),1,K1082),0)</f>
        <v/>
      </c>
      <c r="AB1083" s="7" t="inlineStr">
        <is>
          <t>^Warhead_CannonHE_Heavy</t>
        </is>
      </c>
    </row>
    <row r="1084">
      <c r="B1084" s="7" t="inlineStr">
        <is>
          <t xml:space="preserve">  ↳ VolkovMagneticWeaponTesla</t>
        </is>
      </c>
      <c r="C1084" s="7" t="inlineStr">
        <is>
          <t>Armament@Tesla</t>
        </is>
      </c>
      <c r="L1084" s="6" t="n">
        <v>32000</v>
      </c>
      <c r="M1084" s="6" t="n">
        <v>30</v>
      </c>
      <c r="N1084" s="6" t="n">
        <v>2</v>
      </c>
      <c r="O1084" s="6" t="n">
        <v>9</v>
      </c>
      <c r="P1084" s="6" t="n">
        <v>5660</v>
      </c>
      <c r="Q1084" s="6" t="n">
        <v>1.25</v>
      </c>
      <c r="R1084">
        <f>M1084+IF(MAX(N1084-1,0)&gt;0,IF(ISBLANK(O1084),5*MAX(N1084-1,0),IF(ISNUMBER(O1084),O1084*MAX(N1084-1,0),SUM(IFERROR(VALUE(TEXTSPLIT(O1084,",")),0)))),0)</f>
        <v/>
      </c>
      <c r="S1084">
        <f>IFERROR(L1084*MAX(N1084,1)/R1084*IF(ISBLANK(K1082),1,K1082),0)</f>
        <v/>
      </c>
      <c r="AB1084" s="7" t="inlineStr">
        <is>
          <t>^Warhead_CannonHE_Heavy, ^Warhead_Tesla_Heavy</t>
        </is>
      </c>
    </row>
    <row r="1085">
      <c r="B1085" s="7" t="inlineStr">
        <is>
          <t xml:space="preserve">  ↳ VolkovMagneticWeaponNuclearShells</t>
        </is>
      </c>
      <c r="C1085" s="7" t="inlineStr">
        <is>
          <t>Armament@NuclearShells</t>
        </is>
      </c>
      <c r="L1085" s="6" t="n">
        <v>160000</v>
      </c>
      <c r="M1085" s="6" t="n">
        <v>40</v>
      </c>
      <c r="N1085" s="6" t="n">
        <v>1</v>
      </c>
      <c r="O1085" s="6" t="n">
        <v>5</v>
      </c>
      <c r="P1085" s="6" t="n">
        <v>5400</v>
      </c>
      <c r="Q1085" s="6" t="n">
        <v>1.375</v>
      </c>
      <c r="R1085">
        <f>M1085+IF(MAX(N1085-1,0)&gt;0,IF(ISBLANK(O1085),5*MAX(N1085-1,0),IF(ISNUMBER(O1085),O1085*MAX(N1085-1,0),SUM(IFERROR(VALUE(TEXTSPLIT(O1085,",")),0)))),0)</f>
        <v/>
      </c>
      <c r="S1085">
        <f>IFERROR(L1085*MAX(N1085,1)/R1085*IF(ISBLANK(K1082),1,K1082),0)</f>
        <v/>
      </c>
      <c r="AB1085" s="7" t="inlineStr">
        <is>
          <t>^Warhead_Nuclear_Super, ^Warhead_CannonHE_Heavy</t>
        </is>
      </c>
    </row>
    <row r="1086">
      <c r="B1086" s="7" t="inlineStr">
        <is>
          <t xml:space="preserve">  ↳ VolkovMagneticWeaponIncendiary</t>
        </is>
      </c>
      <c r="C1086" s="7" t="inlineStr">
        <is>
          <t>Armament@Incendiary</t>
        </is>
      </c>
      <c r="L1086" s="6" t="n">
        <v>40000</v>
      </c>
      <c r="M1086" s="6" t="n">
        <v>15</v>
      </c>
      <c r="N1086" s="6" t="n">
        <v>2</v>
      </c>
      <c r="O1086" s="6" t="n">
        <v>5</v>
      </c>
      <c r="P1086" s="6" t="n">
        <v>5400</v>
      </c>
      <c r="Q1086" s="6" t="n">
        <v>1.125</v>
      </c>
      <c r="R1086">
        <f>M1086+IF(MAX(N1086-1,0)&gt;0,IF(ISBLANK(O1086),5*MAX(N1086-1,0),IF(ISNUMBER(O1086),O1086*MAX(N1086-1,0),SUM(IFERROR(VALUE(TEXTSPLIT(O1086,",")),0)))),0)</f>
        <v/>
      </c>
      <c r="S1086">
        <f>IFERROR(L1086*MAX(N1086,1)/R1086*IF(ISBLANK(K1082),1,K1082),0)</f>
        <v/>
      </c>
      <c r="AB1086" s="7" t="inlineStr">
        <is>
          <t>^Warhead_Flame_Medium, ^Warhead_CannonHE_Heavy</t>
        </is>
      </c>
    </row>
    <row r="1087">
      <c r="B1087" s="7" t="inlineStr">
        <is>
          <t xml:space="preserve">  ↳ VolkovMagneticWeaponIncendiaryTesla</t>
        </is>
      </c>
      <c r="C1087" s="7" t="inlineStr">
        <is>
          <t>Armament@IncendiaryTesla</t>
        </is>
      </c>
      <c r="L1087" s="6" t="n">
        <v>40000</v>
      </c>
      <c r="M1087" s="6" t="n">
        <v>30</v>
      </c>
      <c r="N1087" s="6" t="n">
        <v>2</v>
      </c>
      <c r="O1087" s="6" t="n">
        <v>9</v>
      </c>
      <c r="P1087" s="6" t="n">
        <v>5660</v>
      </c>
      <c r="Q1087" s="6" t="n">
        <v>1.25</v>
      </c>
      <c r="R1087">
        <f>M1087+IF(MAX(N1087-1,0)&gt;0,IF(ISBLANK(O1087),5*MAX(N1087-1,0),IF(ISNUMBER(O1087),O1087*MAX(N1087-1,0),SUM(IFERROR(VALUE(TEXTSPLIT(O1087,",")),0)))),0)</f>
        <v/>
      </c>
      <c r="S1087">
        <f>IFERROR(L1087*MAX(N1087,1)/R1087*IF(ISBLANK(K1082),1,K1082),0)</f>
        <v/>
      </c>
      <c r="AB1087" s="7" t="inlineStr">
        <is>
          <t>^Warhead_CannonHE_Heavy</t>
        </is>
      </c>
    </row>
    <row r="1088">
      <c r="B1088" s="7" t="inlineStr">
        <is>
          <t xml:space="preserve">  ↳ VolkovMagneticWeaponIncendiaryNuclearShells</t>
        </is>
      </c>
      <c r="C1088" s="7" t="inlineStr">
        <is>
          <t>Armament@IncendiaryNuclearShells</t>
        </is>
      </c>
      <c r="L1088" s="6" t="n">
        <v>200000</v>
      </c>
      <c r="M1088" s="6" t="n">
        <v>40</v>
      </c>
      <c r="N1088" s="6" t="n">
        <v>1</v>
      </c>
      <c r="O1088" s="6" t="n">
        <v>5</v>
      </c>
      <c r="P1088" s="6" t="n">
        <v>5400</v>
      </c>
      <c r="Q1088" s="6" t="n">
        <v>1.25</v>
      </c>
      <c r="R1088">
        <f>M1088+IF(MAX(N1088-1,0)&gt;0,IF(ISBLANK(O1088),5*MAX(N1088-1,0),IF(ISNUMBER(O1088),O1088*MAX(N1088-1,0),SUM(IFERROR(VALUE(TEXTSPLIT(O1088,",")),0)))),0)</f>
        <v/>
      </c>
      <c r="S1088">
        <f>IFERROR(L1088*MAX(N1088,1)/R1088*IF(ISBLANK(K1082),1,K1082),0)</f>
        <v/>
      </c>
      <c r="AB1088" s="7" t="inlineStr">
        <is>
          <t>^Warhead_CannonHE_Heavy</t>
        </is>
      </c>
    </row>
    <row r="1089">
      <c r="B1089" s="7" t="inlineStr">
        <is>
          <t xml:space="preserve">  ↳ VolkovMagneticWeapon</t>
        </is>
      </c>
      <c r="C1089" s="7" t="inlineStr">
        <is>
          <t>Armament@GARRISONED</t>
        </is>
      </c>
      <c r="L1089" s="6" t="n">
        <v>30000</v>
      </c>
      <c r="M1089" s="6" t="n">
        <v>15</v>
      </c>
      <c r="N1089" s="6" t="n">
        <v>2</v>
      </c>
      <c r="O1089" s="6" t="n">
        <v>5</v>
      </c>
      <c r="P1089" s="6" t="n">
        <v>5400</v>
      </c>
      <c r="Q1089" s="6" t="n">
        <v>1.25</v>
      </c>
      <c r="R1089">
        <f>M1089+IF(MAX(N1089-1,0)&gt;0,IF(ISBLANK(O1089),5*MAX(N1089-1,0),IF(ISNUMBER(O1089),O1089*MAX(N1089-1,0),SUM(IFERROR(VALUE(TEXTSPLIT(O1089,",")),0)))),0)</f>
        <v/>
      </c>
      <c r="S1089">
        <f>IFERROR(L1089*MAX(N1089,1)/R1089*IF(ISBLANK(K1082),1,K1082),0)</f>
        <v/>
      </c>
      <c r="AB1089" s="7" t="inlineStr">
        <is>
          <t>^Warhead_CannonHE_Heavy</t>
        </is>
      </c>
    </row>
    <row r="1090">
      <c r="B1090" s="7" t="inlineStr">
        <is>
          <t xml:space="preserve">  ↳ VolkovMagneticWeaponTesla</t>
        </is>
      </c>
      <c r="C1090" s="7" t="inlineStr">
        <is>
          <t>Armament@GARRISONEDTesla</t>
        </is>
      </c>
      <c r="L1090" s="6" t="n">
        <v>32000</v>
      </c>
      <c r="M1090" s="6" t="n">
        <v>30</v>
      </c>
      <c r="N1090" s="6" t="n">
        <v>2</v>
      </c>
      <c r="O1090" s="6" t="n">
        <v>9</v>
      </c>
      <c r="P1090" s="6" t="n">
        <v>5660</v>
      </c>
      <c r="Q1090" s="6" t="n">
        <v>1.25</v>
      </c>
      <c r="R1090">
        <f>M1090+IF(MAX(N1090-1,0)&gt;0,IF(ISBLANK(O1090),5*MAX(N1090-1,0),IF(ISNUMBER(O1090),O1090*MAX(N1090-1,0),SUM(IFERROR(VALUE(TEXTSPLIT(O1090,",")),0)))),0)</f>
        <v/>
      </c>
      <c r="S1090">
        <f>IFERROR(L1090*MAX(N1090,1)/R1090*IF(ISBLANK(K1082),1,K1082),0)</f>
        <v/>
      </c>
      <c r="AB1090" s="7" t="inlineStr">
        <is>
          <t>^Warhead_CannonHE_Heavy, ^Warhead_Tesla_Heavy</t>
        </is>
      </c>
    </row>
    <row r="1091">
      <c r="B1091" s="7" t="inlineStr">
        <is>
          <t xml:space="preserve">  ↳ VolkovMagneticWeaponNuclearShells</t>
        </is>
      </c>
      <c r="C1091" s="7" t="inlineStr">
        <is>
          <t>Armament@GARRISONEDNuclearShells</t>
        </is>
      </c>
      <c r="L1091" s="6" t="n">
        <v>160000</v>
      </c>
      <c r="M1091" s="6" t="n">
        <v>40</v>
      </c>
      <c r="N1091" s="6" t="n">
        <v>1</v>
      </c>
      <c r="O1091" s="6" t="n">
        <v>5</v>
      </c>
      <c r="P1091" s="6" t="n">
        <v>5400</v>
      </c>
      <c r="Q1091" s="6" t="n">
        <v>1.375</v>
      </c>
      <c r="R1091">
        <f>M1091+IF(MAX(N1091-1,0)&gt;0,IF(ISBLANK(O1091),5*MAX(N1091-1,0),IF(ISNUMBER(O1091),O1091*MAX(N1091-1,0),SUM(IFERROR(VALUE(TEXTSPLIT(O1091,",")),0)))),0)</f>
        <v/>
      </c>
      <c r="S1091">
        <f>IFERROR(L1091*MAX(N1091,1)/R1091*IF(ISBLANK(K1082),1,K1082),0)</f>
        <v/>
      </c>
      <c r="AB1091" s="7" t="inlineStr">
        <is>
          <t>^Warhead_Nuclear_Super, ^Warhead_CannonHE_Heavy</t>
        </is>
      </c>
    </row>
    <row r="1092">
      <c r="B1092" s="7" t="inlineStr">
        <is>
          <t xml:space="preserve">  ↳ VolkovMagneticWeaponIncendiary</t>
        </is>
      </c>
      <c r="C1092" s="7" t="inlineStr">
        <is>
          <t>Armament@GARRISONEDIncendiary</t>
        </is>
      </c>
      <c r="L1092" s="6" t="n">
        <v>40000</v>
      </c>
      <c r="M1092" s="6" t="n">
        <v>15</v>
      </c>
      <c r="N1092" s="6" t="n">
        <v>2</v>
      </c>
      <c r="O1092" s="6" t="n">
        <v>5</v>
      </c>
      <c r="P1092" s="6" t="n">
        <v>5400</v>
      </c>
      <c r="Q1092" s="6" t="n">
        <v>1.125</v>
      </c>
      <c r="R1092">
        <f>M1092+IF(MAX(N1092-1,0)&gt;0,IF(ISBLANK(O1092),5*MAX(N1092-1,0),IF(ISNUMBER(O1092),O1092*MAX(N1092-1,0),SUM(IFERROR(VALUE(TEXTSPLIT(O1092,",")),0)))),0)</f>
        <v/>
      </c>
      <c r="S1092">
        <f>IFERROR(L1092*MAX(N1092,1)/R1092*IF(ISBLANK(K1082),1,K1082),0)</f>
        <v/>
      </c>
      <c r="AB1092" s="7" t="inlineStr">
        <is>
          <t>^Warhead_Flame_Medium, ^Warhead_CannonHE_Heavy</t>
        </is>
      </c>
    </row>
    <row r="1093">
      <c r="B1093" s="7" t="inlineStr">
        <is>
          <t xml:space="preserve">  ↳ VolkovMagneticWeaponIncendiaryTesla</t>
        </is>
      </c>
      <c r="C1093" s="7" t="inlineStr">
        <is>
          <t>Armament@GARRISONEDIncendiaryTesla</t>
        </is>
      </c>
      <c r="L1093" s="6" t="n">
        <v>40000</v>
      </c>
      <c r="M1093" s="6" t="n">
        <v>30</v>
      </c>
      <c r="N1093" s="6" t="n">
        <v>2</v>
      </c>
      <c r="O1093" s="6" t="n">
        <v>9</v>
      </c>
      <c r="P1093" s="6" t="n">
        <v>5660</v>
      </c>
      <c r="Q1093" s="6" t="n">
        <v>1.25</v>
      </c>
      <c r="R1093">
        <f>M1093+IF(MAX(N1093-1,0)&gt;0,IF(ISBLANK(O1093),5*MAX(N1093-1,0),IF(ISNUMBER(O1093),O1093*MAX(N1093-1,0),SUM(IFERROR(VALUE(TEXTSPLIT(O1093,",")),0)))),0)</f>
        <v/>
      </c>
      <c r="S1093">
        <f>IFERROR(L1093*MAX(N1093,1)/R1093*IF(ISBLANK(K1082),1,K1082),0)</f>
        <v/>
      </c>
      <c r="AB1093" s="7" t="inlineStr">
        <is>
          <t>^Warhead_CannonHE_Heavy</t>
        </is>
      </c>
    </row>
    <row r="1094">
      <c r="B1094" s="7" t="inlineStr">
        <is>
          <t xml:space="preserve">  ↳ VolkovMagneticWeaponIncendiaryNuclearShells</t>
        </is>
      </c>
      <c r="C1094" s="7" t="inlineStr">
        <is>
          <t>Armament@GARRISONEDIncendiaryNuclearShells</t>
        </is>
      </c>
      <c r="L1094" s="6" t="n">
        <v>200000</v>
      </c>
      <c r="M1094" s="6" t="n">
        <v>40</v>
      </c>
      <c r="N1094" s="6" t="n">
        <v>1</v>
      </c>
      <c r="O1094" s="6" t="n">
        <v>5</v>
      </c>
      <c r="P1094" s="6" t="n">
        <v>5400</v>
      </c>
      <c r="Q1094" s="6" t="n">
        <v>1.25</v>
      </c>
      <c r="R1094">
        <f>M1094+IF(MAX(N1094-1,0)&gt;0,IF(ISBLANK(O1094),5*MAX(N1094-1,0),IF(ISNUMBER(O1094),O1094*MAX(N1094-1,0),SUM(IFERROR(VALUE(TEXTSPLIT(O1094,",")),0)))),0)</f>
        <v/>
      </c>
      <c r="S1094">
        <f>IFERROR(L1094*MAX(N1094,1)/R1094*IF(ISBLANK(K1082),1,K1082),0)</f>
        <v/>
      </c>
      <c r="AB1094" s="7" t="inlineStr">
        <is>
          <t>^Warhead_CannonHE_Heavy</t>
        </is>
      </c>
    </row>
    <row r="1095">
      <c r="A1095" t="inlineStr">
        <is>
          <t>redalert</t>
        </is>
      </c>
      <c r="B1095" t="inlineStr">
        <is>
          <t>ra1_allies_tanya</t>
        </is>
      </c>
      <c r="C1095" t="inlineStr">
        <is>
          <t>Tanya</t>
        </is>
      </c>
      <c r="D1095" s="6" t="inlineStr">
        <is>
          <t>HeroInfantry</t>
        </is>
      </c>
      <c r="E1095" s="6" t="n">
        <v>44000</v>
      </c>
      <c r="F1095" s="6" t="n">
        <v>77</v>
      </c>
      <c r="G1095" t="inlineStr">
        <is>
          <t>Heroic</t>
        </is>
      </c>
      <c r="H1095" s="6" t="n">
        <v>0.75</v>
      </c>
      <c r="I1095" s="6" t="n">
        <v>1</v>
      </c>
      <c r="J1095" s="6" t="n">
        <v>1.25</v>
      </c>
      <c r="P1095">
        <f>MAX(P1096,P1100)</f>
        <v/>
      </c>
      <c r="S1095">
        <f>S1096+S1100</f>
        <v/>
      </c>
      <c r="T1095">
        <f>(E1095/100000+F1095/100+(P1095/1000)*J1095/5+S1095/200)*200*I1095*H1095</f>
        <v/>
      </c>
      <c r="U1095">
        <f>((E1095*F1095/25000)+((P1095/1000)*J1095*S1095/2.5))*I1095*H1095</f>
        <v/>
      </c>
      <c r="V1095">
        <f>(E1095*F1095*(P1095/1000)*J1095*S1095*I1095*H1095)/12500000</f>
        <v/>
      </c>
      <c r="W1095">
        <f>(T1095+U1095+V1095)/3</f>
        <v/>
      </c>
      <c r="X1095" s="6" t="n">
        <v>3000</v>
      </c>
      <c r="Y1095">
        <f>IFERROR(W1095-X1095,"")</f>
        <v/>
      </c>
      <c r="Z1095">
        <f>IFERROR(ABS(Y1095)/MAX(X1095,1),"")</f>
        <v/>
      </c>
      <c r="AA1095">
        <f>IFERROR((X1095-(((E1095/100000+F1095/100+S1095/200)*200*I1095*H1095)+((E1095*F1095/25000)*I1095*H1095))/3)/(((J1095/5)*200*I1095*H1095)+((J1095*S1095/2.5)*I1095*H1095)+((E1095*F1095*J1095*S1095*I1095*H1095)/12500000))/3*1000,"")</f>
        <v/>
      </c>
    </row>
    <row r="1096">
      <c r="B1096" s="7" t="inlineStr">
        <is>
          <t xml:space="preserve">  ↳ Colt45</t>
        </is>
      </c>
      <c r="C1096" s="7" t="inlineStr">
        <is>
          <t>Armament@PRIMARY</t>
        </is>
      </c>
      <c r="L1096" s="6" t="n">
        <v>7777</v>
      </c>
      <c r="M1096" s="6" t="n">
        <v>7</v>
      </c>
      <c r="N1096" s="6" t="n">
        <v>2</v>
      </c>
      <c r="O1096" s="6" t="n">
        <v>0</v>
      </c>
      <c r="P1096" s="6" t="n">
        <v>7777</v>
      </c>
      <c r="Q1096" s="6" t="n">
        <v>0.75</v>
      </c>
      <c r="R1096">
        <f>M1096+IF(MAX(N1096-1,0)&gt;0,IF(ISBLANK(O1096),5*MAX(N1096-1,0),IF(ISNUMBER(O1096),O1096*MAX(N1096-1,0),SUM(IFERROR(VALUE(TEXTSPLIT(O1096,",")),0)))),0)</f>
        <v/>
      </c>
      <c r="S1096">
        <f>IFERROR(L1096*MAX(N1096,1)/R1096*IF(ISBLANK(K1095),1,K1095),0)</f>
        <v/>
      </c>
      <c r="AB1096" s="7" t="inlineStr">
        <is>
          <t>^Warhead_Sniper_Light</t>
        </is>
      </c>
    </row>
    <row r="1097">
      <c r="B1097" s="7" t="inlineStr">
        <is>
          <t xml:space="preserve">  ↳ Colt45</t>
        </is>
      </c>
      <c r="C1097" s="7" t="inlineStr">
        <is>
          <t>Armament@GARRISONED</t>
        </is>
      </c>
      <c r="L1097" s="6" t="n">
        <v>7777</v>
      </c>
      <c r="M1097" s="6" t="n">
        <v>7</v>
      </c>
      <c r="N1097" s="6" t="n">
        <v>2</v>
      </c>
      <c r="O1097" s="6" t="n">
        <v>0</v>
      </c>
      <c r="P1097" s="6" t="n">
        <v>7777</v>
      </c>
      <c r="Q1097" s="6" t="n">
        <v>0.75</v>
      </c>
      <c r="R1097">
        <f>M1097+IF(MAX(N1097-1,0)&gt;0,IF(ISBLANK(O1097),5*MAX(N1097-1,0),IF(ISNUMBER(O1097),O1097*MAX(N1097-1,0),SUM(IFERROR(VALUE(TEXTSPLIT(O1097,",")),0)))),0)</f>
        <v/>
      </c>
      <c r="S1097">
        <f>IFERROR(L1097*MAX(N1097,1)/R1097*IF(ISBLANK(K1095),1,K1095),0)</f>
        <v/>
      </c>
      <c r="AB1097" s="7" t="inlineStr">
        <is>
          <t>^Warhead_Sniper_Light</t>
        </is>
      </c>
    </row>
    <row r="1098">
      <c r="B1098" s="7" t="inlineStr">
        <is>
          <t xml:space="preserve">  ↳ TanyaAttach</t>
        </is>
      </c>
      <c r="C1098" s="7" t="inlineStr">
        <is>
          <t>Armament@c4</t>
        </is>
      </c>
      <c r="M1098" s="6" t="n">
        <v>20</v>
      </c>
      <c r="N1098" s="6" t="n">
        <v>1</v>
      </c>
      <c r="O1098" s="6" t="n"/>
      <c r="P1098" s="6" t="n">
        <v>2000</v>
      </c>
      <c r="Q1098" s="6" t="n">
        <v>1</v>
      </c>
      <c r="R1098">
        <f>M1098+IF(MAX(N1098-1,0)&gt;0,IF(ISBLANK(O1098),5*MAX(N1098-1,0),IF(ISNUMBER(O1098),O1098*MAX(N1098-1,0),SUM(IFERROR(VALUE(TEXTSPLIT(O1098,",")),0)))),0)</f>
        <v/>
      </c>
      <c r="S1098">
        <f>IFERROR(L1098*MAX(N1098,1)/R1098*IF(ISBLANK(K1095),1,K1095),0)</f>
        <v/>
      </c>
      <c r="AB1098" s="7" t="inlineStr">
        <is>
          <t>IvanAttach</t>
        </is>
      </c>
    </row>
    <row r="1099">
      <c r="B1099" s="7" t="inlineStr">
        <is>
          <t xml:space="preserve">  ↳ GenericC4</t>
        </is>
      </c>
      <c r="C1099" s="7" t="inlineStr">
        <is>
          <t>Armament@c4building</t>
        </is>
      </c>
      <c r="M1099" s="6" t="n">
        <v>20</v>
      </c>
      <c r="N1099" s="6" t="n">
        <v>1</v>
      </c>
      <c r="O1099" s="6" t="n"/>
      <c r="P1099" s="6" t="n">
        <v>2000</v>
      </c>
      <c r="Q1099" s="6" t="n">
        <v>1</v>
      </c>
      <c r="R1099">
        <f>M1099+IF(MAX(N1099-1,0)&gt;0,IF(ISBLANK(O1099),5*MAX(N1099-1,0),IF(ISNUMBER(O1099),O1099*MAX(N1099-1,0),SUM(IFERROR(VALUE(TEXTSPLIT(O1099,",")),0)))),0)</f>
        <v/>
      </c>
      <c r="S1099">
        <f>IFERROR(L1099*MAX(N1099,1)/R1099*IF(ISBLANK(K1095),1,K1095),0)</f>
        <v/>
      </c>
      <c r="AB1099" s="7" t="inlineStr"/>
    </row>
    <row r="1100">
      <c r="B1100" s="7" t="inlineStr">
        <is>
          <t xml:space="preserve">  ↳ Colt45Cryo</t>
        </is>
      </c>
      <c r="C1100" s="7" t="inlineStr">
        <is>
          <t>Armament@PRIMARYCryo</t>
        </is>
      </c>
      <c r="L1100" s="6" t="n">
        <v>7777</v>
      </c>
      <c r="M1100" s="6" t="n">
        <v>7</v>
      </c>
      <c r="N1100" s="6" t="n">
        <v>2</v>
      </c>
      <c r="O1100" s="6" t="n">
        <v>0</v>
      </c>
      <c r="P1100" s="6" t="n">
        <v>7777</v>
      </c>
      <c r="Q1100" s="6" t="n">
        <v>0.75</v>
      </c>
      <c r="R1100">
        <f>M1100+IF(MAX(N1100-1,0)&gt;0,IF(ISBLANK(O1100),5*MAX(N1100-1,0),IF(ISNUMBER(O1100),O1100*MAX(N1100-1,0),SUM(IFERROR(VALUE(TEXTSPLIT(O1100,",")),0)))),0)</f>
        <v/>
      </c>
      <c r="S1100">
        <f>IFERROR(L1100*MAX(N1100,1)/R1100*IF(ISBLANK(K1095),1,K1095),0)</f>
        <v/>
      </c>
      <c r="AB1100" s="7" t="inlineStr">
        <is>
          <t>^Warhead_BulletCryo_Light</t>
        </is>
      </c>
    </row>
    <row r="1101">
      <c r="B1101" s="7" t="inlineStr">
        <is>
          <t xml:space="preserve">  ↳ Colt45Cryo</t>
        </is>
      </c>
      <c r="C1101" s="7" t="inlineStr">
        <is>
          <t>Armament@GARRISONEDCryo</t>
        </is>
      </c>
      <c r="L1101" s="6" t="n">
        <v>7777</v>
      </c>
      <c r="M1101" s="6" t="n">
        <v>7</v>
      </c>
      <c r="N1101" s="6" t="n">
        <v>2</v>
      </c>
      <c r="O1101" s="6" t="n">
        <v>0</v>
      </c>
      <c r="P1101" s="6" t="n">
        <v>7777</v>
      </c>
      <c r="Q1101" s="6" t="n">
        <v>0.75</v>
      </c>
      <c r="R1101">
        <f>M1101+IF(MAX(N1101-1,0)&gt;0,IF(ISBLANK(O1101),5*MAX(N1101-1,0),IF(ISNUMBER(O1101),O1101*MAX(N1101-1,0),SUM(IFERROR(VALUE(TEXTSPLIT(O1101,",")),0)))),0)</f>
        <v/>
      </c>
      <c r="S1101">
        <f>IFERROR(L1101*MAX(N1101,1)/R1101*IF(ISBLANK(K1095),1,K1095),0)</f>
        <v/>
      </c>
      <c r="AB1101" s="7" t="inlineStr">
        <is>
          <t>^Warhead_BulletCryo_Light</t>
        </is>
      </c>
    </row>
    <row r="1102">
      <c r="A1102" t="inlineStr">
        <is>
          <t>tiberiansun</t>
        </is>
      </c>
      <c r="B1102" t="inlineStr">
        <is>
          <t>cabal_berserker</t>
        </is>
      </c>
      <c r="C1102" t="inlineStr">
        <is>
          <t>Berserker</t>
        </is>
      </c>
      <c r="D1102" s="6" t="inlineStr">
        <is>
          <t>HeroInfantry</t>
        </is>
      </c>
      <c r="E1102" s="6" t="n">
        <v>800000</v>
      </c>
      <c r="F1102" s="6" t="n">
        <v>60</v>
      </c>
      <c r="G1102" t="inlineStr">
        <is>
          <t>Heavy</t>
        </is>
      </c>
      <c r="H1102" s="6" t="n">
        <v>0.5</v>
      </c>
      <c r="I1102" s="6" t="n">
        <v>1</v>
      </c>
      <c r="J1102" s="6" t="n">
        <v>1</v>
      </c>
      <c r="P1102">
        <f>MAX(P1103)</f>
        <v/>
      </c>
      <c r="S1102">
        <f>S1103</f>
        <v/>
      </c>
      <c r="T1102">
        <f>(E1102/100000+F1102/100+(P1102/1000)*J1102/5+S1102/200)*200*I1102*H1102</f>
        <v/>
      </c>
      <c r="U1102">
        <f>((E1102*F1102/25000)+((P1102/1000)*J1102*S1102/2.5))*I1102*H1102</f>
        <v/>
      </c>
      <c r="V1102">
        <f>(E1102*F1102*(P1102/1000)*J1102*S1102*I1102*H1102)/12500000</f>
        <v/>
      </c>
      <c r="W1102">
        <f>(T1102+U1102+V1102)/3</f>
        <v/>
      </c>
      <c r="X1102" s="6" t="n">
        <v>10000</v>
      </c>
      <c r="Y1102">
        <f>IFERROR(W1102-X1102,"")</f>
        <v/>
      </c>
      <c r="Z1102">
        <f>IFERROR(ABS(Y1102)/MAX(X1102,1),"")</f>
        <v/>
      </c>
      <c r="AA1102">
        <f>IFERROR((X1102-(((E1102/100000+F1102/100+S1102/200)*200*I1102*H1102)+((E1102*F1102/25000)*I1102*H1102))/3)/(((J1102/5)*200*I1102*H1102)+((J1102*S1102/2.5)*I1102*H1102)+((E1102*F1102*J1102*S1102*I1102*H1102)/12500000))/3*1000,"")</f>
        <v/>
      </c>
    </row>
    <row r="1103">
      <c r="B1103" s="7" t="inlineStr">
        <is>
          <t xml:space="preserve">  ↳ CabalBerserkerBlades</t>
        </is>
      </c>
      <c r="C1103" s="7" t="inlineStr">
        <is>
          <t>Armament@PRIMARY</t>
        </is>
      </c>
      <c r="L1103" s="6" t="n">
        <v>74000</v>
      </c>
      <c r="M1103" s="6" t="n">
        <v>30</v>
      </c>
      <c r="N1103" s="6" t="n">
        <v>3</v>
      </c>
      <c r="O1103" s="6" t="n">
        <v>5</v>
      </c>
      <c r="P1103" s="6" t="n">
        <v>2048</v>
      </c>
      <c r="Q1103" s="6" t="n">
        <v>1</v>
      </c>
      <c r="R1103">
        <f>M1103+IF(MAX(N1103-1,0)&gt;0,IF(ISBLANK(O1103),5*MAX(N1103-1,0),IF(ISNUMBER(O1103),O1103*MAX(N1103-1,0),SUM(IFERROR(VALUE(TEXTSPLIT(O1103,",")),0)))),0)</f>
        <v/>
      </c>
      <c r="S1103">
        <f>IFERROR(L1103*MAX(N1103,1)/R1103*IF(ISBLANK(K1102),1,K1102),0)</f>
        <v/>
      </c>
      <c r="AB1103" s="7" t="inlineStr">
        <is>
          <t>^Warhead_Melee_Medium</t>
        </is>
      </c>
    </row>
    <row r="1104">
      <c r="A1104" t="inlineStr">
        <is>
          <t>tiberiansun</t>
        </is>
      </c>
      <c r="B1104" t="inlineStr">
        <is>
          <t>ts_nod_shotguncommando</t>
        </is>
      </c>
      <c r="C1104" t="inlineStr">
        <is>
          <t>Shotgun Commando</t>
        </is>
      </c>
      <c r="D1104" s="6" t="inlineStr">
        <is>
          <t>HeroInfantry</t>
        </is>
      </c>
      <c r="E1104" s="6" t="n">
        <v>100000</v>
      </c>
      <c r="F1104" s="6" t="n">
        <v>80</v>
      </c>
      <c r="G1104" t="inlineStr">
        <is>
          <t>Heroic</t>
        </is>
      </c>
      <c r="H1104" s="6" t="n">
        <v>0.7269</v>
      </c>
      <c r="I1104" s="6" t="n">
        <v>1</v>
      </c>
      <c r="J1104" s="6" t="n">
        <v>1</v>
      </c>
      <c r="P1104">
        <f>MAX(P1105)</f>
        <v/>
      </c>
      <c r="S1104">
        <f>S1105</f>
        <v/>
      </c>
      <c r="T1104">
        <f>(E1104/100000+F1104/100+(P1104/1000)*J1104/5+S1104/200)*200*I1104*H1104</f>
        <v/>
      </c>
      <c r="U1104">
        <f>((E1104*F1104/25000)+((P1104/1000)*J1104*S1104/2.5))*I1104*H1104</f>
        <v/>
      </c>
      <c r="V1104">
        <f>(E1104*F1104*(P1104/1000)*J1104*S1104*I1104*H1104)/12500000</f>
        <v/>
      </c>
      <c r="W1104">
        <f>(T1104+U1104+V1104)/3</f>
        <v/>
      </c>
      <c r="X1104" s="6" t="n">
        <v>3000</v>
      </c>
      <c r="Y1104">
        <f>IFERROR(W1104-X1104,"")</f>
        <v/>
      </c>
      <c r="Z1104">
        <f>IFERROR(ABS(Y1104)/MAX(X1104,1),"")</f>
        <v/>
      </c>
      <c r="AA1104">
        <f>IFERROR((X1104-(((E1104/100000+F1104/100+S1104/200)*200*I1104*H1104)+((E1104*F1104/25000)*I1104*H1104))/3)/(((J1104/5)*200*I1104*H1104)+((J1104*S1104/2.5)*I1104*H1104)+((E1104*F1104*J1104*S1104*I1104*H1104)/12500000))/3*1000,"")</f>
        <v/>
      </c>
    </row>
    <row r="1105">
      <c r="B1105" s="7" t="inlineStr">
        <is>
          <t xml:space="preserve">  ↳ TSCommandoShotgun</t>
        </is>
      </c>
      <c r="C1105" s="7" t="inlineStr">
        <is>
          <t>Armament@PRIMARY</t>
        </is>
      </c>
      <c r="L1105" s="6" t="n">
        <v>48000</v>
      </c>
      <c r="M1105" s="6" t="n">
        <v>20</v>
      </c>
      <c r="N1105" s="6" t="n">
        <v>1</v>
      </c>
      <c r="O1105" s="6" t="n"/>
      <c r="P1105" s="6" t="n">
        <v>4146</v>
      </c>
      <c r="Q1105" s="6" t="n">
        <v>1</v>
      </c>
      <c r="R1105">
        <f>M1105+IF(MAX(N1105-1,0)&gt;0,IF(ISBLANK(O1105),5*MAX(N1105-1,0),IF(ISNUMBER(O1105),O1105*MAX(N1105-1,0),SUM(IFERROR(VALUE(TEXTSPLIT(O1105,",")),0)))),0)</f>
        <v/>
      </c>
      <c r="S1105">
        <f>IFERROR(L1105*MAX(N1105,1)/R1105*IF(ISBLANK(K1104),1,K1104),0)</f>
        <v/>
      </c>
      <c r="AB1105" s="7" t="inlineStr">
        <is>
          <t>^Warhead_CannonHE_Medium</t>
        </is>
      </c>
    </row>
    <row r="1106">
      <c r="B1106" s="7" t="inlineStr">
        <is>
          <t xml:space="preserve">  ↳ TSCommandoShotgun</t>
        </is>
      </c>
      <c r="C1106" s="7" t="inlineStr">
        <is>
          <t>Armament@GARRISONED</t>
        </is>
      </c>
      <c r="L1106" s="6" t="n">
        <v>48000</v>
      </c>
      <c r="M1106" s="6" t="n">
        <v>20</v>
      </c>
      <c r="N1106" s="6" t="n">
        <v>1</v>
      </c>
      <c r="O1106" s="6" t="n"/>
      <c r="P1106" s="6" t="n">
        <v>4146</v>
      </c>
      <c r="Q1106" s="6" t="n">
        <v>1</v>
      </c>
      <c r="R1106">
        <f>M1106+IF(MAX(N1106-1,0)&gt;0,IF(ISBLANK(O1106),5*MAX(N1106-1,0),IF(ISNUMBER(O1106),O1106*MAX(N1106-1,0),SUM(IFERROR(VALUE(TEXTSPLIT(O1106,",")),0)))),0)</f>
        <v/>
      </c>
      <c r="S1106">
        <f>IFERROR(L1106*MAX(N1106,1)/R1106*IF(ISBLANK(K1104),1,K1104),0)</f>
        <v/>
      </c>
      <c r="AB1106" s="7" t="inlineStr">
        <is>
          <t>^Warhead_CannonHE_Medium</t>
        </is>
      </c>
    </row>
    <row r="1107">
      <c r="A1107" t="inlineStr">
        <is>
          <t>tiberiansun</t>
        </is>
      </c>
      <c r="B1107" t="inlineStr">
        <is>
          <t>ts_gdi_railguncommando</t>
        </is>
      </c>
      <c r="C1107" t="inlineStr">
        <is>
          <t>Railgun Commando</t>
        </is>
      </c>
      <c r="D1107" s="6" t="inlineStr">
        <is>
          <t>HeroInfantry</t>
        </is>
      </c>
      <c r="E1107" s="6" t="n">
        <v>100000</v>
      </c>
      <c r="F1107" s="6" t="n">
        <v>60</v>
      </c>
      <c r="G1107" t="inlineStr">
        <is>
          <t>Heroic</t>
        </is>
      </c>
      <c r="H1107" s="6" t="n">
        <v>0.7333</v>
      </c>
      <c r="I1107" s="6" t="n">
        <v>1</v>
      </c>
      <c r="J1107" s="6" t="n">
        <v>1</v>
      </c>
      <c r="P1107">
        <f>MAX(P1108,P1109)</f>
        <v/>
      </c>
      <c r="S1107">
        <f>S1108+S1109</f>
        <v/>
      </c>
      <c r="T1107">
        <f>(E1107/100000+F1107/100+(P1107/1000)*J1107/5+S1107/200)*200*I1107*H1107</f>
        <v/>
      </c>
      <c r="U1107">
        <f>((E1107*F1107/25000)+((P1107/1000)*J1107*S1107/2.5))*I1107*H1107</f>
        <v/>
      </c>
      <c r="V1107">
        <f>(E1107*F1107*(P1107/1000)*J1107*S1107*I1107*H1107)/12500000</f>
        <v/>
      </c>
      <c r="W1107">
        <f>(T1107+U1107+V1107)/3</f>
        <v/>
      </c>
      <c r="X1107" s="6" t="n">
        <v>5000</v>
      </c>
      <c r="Y1107">
        <f>IFERROR(W1107-X1107,"")</f>
        <v/>
      </c>
      <c r="Z1107">
        <f>IFERROR(ABS(Y1107)/MAX(X1107,1),"")</f>
        <v/>
      </c>
      <c r="AA1107">
        <f>IFERROR((X1107-(((E1107/100000+F1107/100+S1107/200)*200*I1107*H1107)+((E1107*F1107/25000)*I1107*H1107))/3)/(((J1107/5)*200*I1107*H1107)+((J1107*S1107/2.5)*I1107*H1107)+((E1107*F1107*J1107*S1107*I1107*H1107)/12500000))/3*1000,"")</f>
        <v/>
      </c>
    </row>
    <row r="1108">
      <c r="B1108" s="7" t="inlineStr">
        <is>
          <t xml:space="preserve">  ↳ TSCommandoRailgun</t>
        </is>
      </c>
      <c r="C1108" s="7" t="inlineStr">
        <is>
          <t>Armament@PRIMARY</t>
        </is>
      </c>
      <c r="L1108" s="6" t="n">
        <v>40000</v>
      </c>
      <c r="M1108" s="6" t="n">
        <v>52</v>
      </c>
      <c r="N1108" s="6" t="n">
        <v>3</v>
      </c>
      <c r="O1108" s="6" t="n">
        <v>4</v>
      </c>
      <c r="P1108" s="6" t="n">
        <v>7563</v>
      </c>
      <c r="Q1108" s="6" t="n">
        <v>1.25</v>
      </c>
      <c r="R1108">
        <f>M1108+IF(MAX(N1108-1,0)&gt;0,IF(ISBLANK(O1108),5*MAX(N1108-1,0),IF(ISNUMBER(O1108),O1108*MAX(N1108-1,0),SUM(IFERROR(VALUE(TEXTSPLIT(O1108,",")),0)))),0)</f>
        <v/>
      </c>
      <c r="S1108">
        <f>IFERROR(L1108*MAX(N1108,1)/R1108*IF(ISBLANK(K1107),1,K1107),0)</f>
        <v/>
      </c>
      <c r="AB1108" s="7" t="inlineStr">
        <is>
          <t>^Warhead_Railgun_Heavy</t>
        </is>
      </c>
    </row>
    <row r="1109">
      <c r="B1109" s="7" t="inlineStr">
        <is>
          <t xml:space="preserve">  ↳ TSCommandoRailgunRail</t>
        </is>
      </c>
      <c r="C1109" s="7" t="inlineStr">
        <is>
          <t>Armament@Upgrade</t>
        </is>
      </c>
      <c r="L1109" s="6" t="n">
        <v>40000</v>
      </c>
      <c r="M1109" s="6" t="n">
        <v>52</v>
      </c>
      <c r="N1109" s="6" t="n">
        <v>5</v>
      </c>
      <c r="O1109" s="6" t="n">
        <v>4</v>
      </c>
      <c r="P1109" s="6" t="n">
        <v>7563</v>
      </c>
      <c r="Q1109" s="6" t="n">
        <v>1.25</v>
      </c>
      <c r="R1109">
        <f>M1109+IF(MAX(N1109-1,0)&gt;0,IF(ISBLANK(O1109),5*MAX(N1109-1,0),IF(ISNUMBER(O1109),O1109*MAX(N1109-1,0),SUM(IFERROR(VALUE(TEXTSPLIT(O1109,",")),0)))),0)</f>
        <v/>
      </c>
      <c r="S1109">
        <f>IFERROR(L1109*MAX(N1109,1)/R1109*IF(ISBLANK(K1107),1,K1107),0)</f>
        <v/>
      </c>
      <c r="AB1109" s="7" t="inlineStr">
        <is>
          <t>^Warhead_Railgun_Heavy</t>
        </is>
      </c>
    </row>
    <row r="1110">
      <c r="B1110" s="7" t="inlineStr">
        <is>
          <t xml:space="preserve">  ↳ TSCommandoRailgun</t>
        </is>
      </c>
      <c r="C1110" s="7" t="inlineStr">
        <is>
          <t>Armament@GARRISONED</t>
        </is>
      </c>
      <c r="L1110" s="6" t="n">
        <v>40000</v>
      </c>
      <c r="M1110" s="6" t="n">
        <v>52</v>
      </c>
      <c r="N1110" s="6" t="n">
        <v>3</v>
      </c>
      <c r="O1110" s="6" t="n">
        <v>4</v>
      </c>
      <c r="P1110" s="6" t="n">
        <v>7563</v>
      </c>
      <c r="Q1110" s="6" t="n">
        <v>1.25</v>
      </c>
      <c r="R1110">
        <f>M1110+IF(MAX(N1110-1,0)&gt;0,IF(ISBLANK(O1110),5*MAX(N1110-1,0),IF(ISNUMBER(O1110),O1110*MAX(N1110-1,0),SUM(IFERROR(VALUE(TEXTSPLIT(O1110,",")),0)))),0)</f>
        <v/>
      </c>
      <c r="S1110">
        <f>IFERROR(L1110*MAX(N1110,1)/R1110*IF(ISBLANK(K1107),1,K1107),0)</f>
        <v/>
      </c>
      <c r="AB1110" s="7" t="inlineStr">
        <is>
          <t>^Warhead_Railgun_Heavy</t>
        </is>
      </c>
    </row>
    <row r="1111">
      <c r="B1111" s="7" t="inlineStr">
        <is>
          <t xml:space="preserve">  ↳ TSCommandoRailgunRail</t>
        </is>
      </c>
      <c r="C1111" s="7" t="inlineStr">
        <is>
          <t>Armament@UpgradeGARRISONED</t>
        </is>
      </c>
      <c r="L1111" s="6" t="n">
        <v>40000</v>
      </c>
      <c r="M1111" s="6" t="n">
        <v>52</v>
      </c>
      <c r="N1111" s="6" t="n">
        <v>5</v>
      </c>
      <c r="O1111" s="6" t="n">
        <v>4</v>
      </c>
      <c r="P1111" s="6" t="n">
        <v>7563</v>
      </c>
      <c r="Q1111" s="6" t="n">
        <v>1.25</v>
      </c>
      <c r="R1111">
        <f>M1111+IF(MAX(N1111-1,0)&gt;0,IF(ISBLANK(O1111),5*MAX(N1111-1,0),IF(ISNUMBER(O1111),O1111*MAX(N1111-1,0),SUM(IFERROR(VALUE(TEXTSPLIT(O1111,",")),0)))),0)</f>
        <v/>
      </c>
      <c r="S1111">
        <f>IFERROR(L1111*MAX(N1111,1)/R1111*IF(ISBLANK(K1107),1,K1107),0)</f>
        <v/>
      </c>
      <c r="AB1111" s="7" t="inlineStr">
        <is>
          <t>^Warhead_Railgun_Heavy</t>
        </is>
      </c>
    </row>
    <row r="1112">
      <c r="A1112" t="inlineStr">
        <is>
          <t>tiberiansun</t>
        </is>
      </c>
      <c r="B1112" t="inlineStr">
        <is>
          <t>forgotten_ghoststalker</t>
        </is>
      </c>
      <c r="C1112" t="inlineStr">
        <is>
          <t>actor_forgotten_ghoststalker.name</t>
        </is>
      </c>
      <c r="D1112" s="6" t="inlineStr">
        <is>
          <t>HeroInfantry</t>
        </is>
      </c>
      <c r="E1112" s="6" t="n">
        <v>100000</v>
      </c>
      <c r="F1112" s="6" t="n">
        <v>62</v>
      </c>
      <c r="G1112" t="inlineStr">
        <is>
          <t>Heroic</t>
        </is>
      </c>
      <c r="H1112" s="6" t="n">
        <v>0.8376</v>
      </c>
      <c r="I1112" s="6" t="n">
        <v>1</v>
      </c>
      <c r="J1112" s="6" t="n">
        <v>1</v>
      </c>
      <c r="P1112">
        <f>MAX(P1113,P1114)</f>
        <v/>
      </c>
      <c r="S1112">
        <f>S1113+S1114</f>
        <v/>
      </c>
      <c r="T1112">
        <f>(E1112/100000+F1112/100+(P1112/1000)*J1112/5+S1112/200)*200*I1112*H1112</f>
        <v/>
      </c>
      <c r="U1112">
        <f>((E1112*F1112/25000)+((P1112/1000)*J1112*S1112/2.5))*I1112*H1112</f>
        <v/>
      </c>
      <c r="V1112">
        <f>(E1112*F1112*(P1112/1000)*J1112*S1112*I1112*H1112)/12500000</f>
        <v/>
      </c>
      <c r="W1112">
        <f>(T1112+U1112+V1112)/3</f>
        <v/>
      </c>
      <c r="X1112" s="6" t="n">
        <v>4000</v>
      </c>
      <c r="Y1112">
        <f>IFERROR(W1112-X1112,"")</f>
        <v/>
      </c>
      <c r="Z1112">
        <f>IFERROR(ABS(Y1112)/MAX(X1112,1),"")</f>
        <v/>
      </c>
      <c r="AA1112">
        <f>IFERROR((X1112-(((E1112/100000+F1112/100+S1112/200)*200*I1112*H1112)+((E1112*F1112/25000)*I1112*H1112))/3)/(((J1112/5)*200*I1112*H1112)+((J1112*S1112/2.5)*I1112*H1112)+((E1112*F1112*J1112*S1112*I1112*H1112)/12500000))/3*1000,"")</f>
        <v/>
      </c>
    </row>
    <row r="1113">
      <c r="B1113" s="7" t="inlineStr">
        <is>
          <t xml:space="preserve">  ↳ TSGhostGun</t>
        </is>
      </c>
      <c r="C1113" s="7" t="inlineStr">
        <is>
          <t>Armament@PRIMARY</t>
        </is>
      </c>
      <c r="L1113" s="6" t="n">
        <v>20000</v>
      </c>
      <c r="M1113" s="6" t="n">
        <v>25</v>
      </c>
      <c r="N1113" s="6" t="n">
        <v>1</v>
      </c>
      <c r="O1113" s="6" t="n"/>
      <c r="P1113" s="6" t="n">
        <v>9557</v>
      </c>
      <c r="Q1113" s="6" t="n">
        <v>0.75</v>
      </c>
      <c r="R1113">
        <f>M1113+IF(MAX(N1113-1,0)&gt;0,IF(ISBLANK(O1113),5*MAX(N1113-1,0),IF(ISNUMBER(O1113),O1113*MAX(N1113-1,0),SUM(IFERROR(VALUE(TEXTSPLIT(O1113,",")),0)))),0)</f>
        <v/>
      </c>
      <c r="S1113">
        <f>IFERROR(L1113*MAX(N1113,1)/R1113*IF(ISBLANK(K1112),1,K1112),0)</f>
        <v/>
      </c>
      <c r="AB1113" s="7" t="inlineStr">
        <is>
          <t>^Warhead_Chemical_Light</t>
        </is>
      </c>
    </row>
    <row r="1114">
      <c r="B1114" s="7" t="inlineStr">
        <is>
          <t xml:space="preserve">  ↳ TSChemGhostGun</t>
        </is>
      </c>
      <c r="C1114" s="7" t="inlineStr">
        <is>
          <t>Armament@UPGRADE</t>
        </is>
      </c>
      <c r="L1114" s="6" t="n">
        <v>20000</v>
      </c>
      <c r="M1114" s="6" t="n">
        <v>25</v>
      </c>
      <c r="N1114" s="6" t="n">
        <v>1</v>
      </c>
      <c r="O1114" s="6" t="n"/>
      <c r="P1114" s="6" t="n">
        <v>9557</v>
      </c>
      <c r="Q1114" s="6" t="n">
        <v>0.75</v>
      </c>
      <c r="R1114">
        <f>M1114+IF(MAX(N1114-1,0)&gt;0,IF(ISBLANK(O1114),5*MAX(N1114-1,0),IF(ISNUMBER(O1114),O1114*MAX(N1114-1,0),SUM(IFERROR(VALUE(TEXTSPLIT(O1114,",")),0)))),0)</f>
        <v/>
      </c>
      <c r="S1114">
        <f>IFERROR(L1114*MAX(N1114,1)/R1114*IF(ISBLANK(K1112),1,K1112),0)</f>
        <v/>
      </c>
      <c r="AB1114" s="7" t="inlineStr">
        <is>
          <t>^Warhead_Chemical_Light</t>
        </is>
      </c>
    </row>
    <row r="1115">
      <c r="B1115" s="7" t="inlineStr">
        <is>
          <t xml:space="preserve">  ↳ GenericC4</t>
        </is>
      </c>
      <c r="C1115" s="7" t="inlineStr">
        <is>
          <t>Armament@c4</t>
        </is>
      </c>
      <c r="M1115" s="6" t="n">
        <v>20</v>
      </c>
      <c r="N1115" s="6" t="n">
        <v>1</v>
      </c>
      <c r="O1115" s="6" t="n"/>
      <c r="P1115" s="6" t="n">
        <v>2000</v>
      </c>
      <c r="Q1115" s="6" t="n">
        <v>1</v>
      </c>
      <c r="R1115">
        <f>M1115+IF(MAX(N1115-1,0)&gt;0,IF(ISBLANK(O1115),5*MAX(N1115-1,0),IF(ISNUMBER(O1115),O1115*MAX(N1115-1,0),SUM(IFERROR(VALUE(TEXTSPLIT(O1115,",")),0)))),0)</f>
        <v/>
      </c>
      <c r="S1115">
        <f>IFERROR(L1115*MAX(N1115,1)/R1115*IF(ISBLANK(K1112),1,K1112),0)</f>
        <v/>
      </c>
      <c r="AB1115" s="7" t="inlineStr"/>
    </row>
    <row r="1116">
      <c r="B1116" s="7" t="inlineStr">
        <is>
          <t xml:space="preserve">  ↳ TSGhostGun</t>
        </is>
      </c>
      <c r="C1116" s="7" t="inlineStr">
        <is>
          <t>Armament@GARRISONED</t>
        </is>
      </c>
      <c r="L1116" s="6" t="n">
        <v>20000</v>
      </c>
      <c r="M1116" s="6" t="n">
        <v>25</v>
      </c>
      <c r="N1116" s="6" t="n">
        <v>1</v>
      </c>
      <c r="O1116" s="6" t="n"/>
      <c r="P1116" s="6" t="n">
        <v>9557</v>
      </c>
      <c r="Q1116" s="6" t="n">
        <v>0.75</v>
      </c>
      <c r="R1116">
        <f>M1116+IF(MAX(N1116-1,0)&gt;0,IF(ISBLANK(O1116),5*MAX(N1116-1,0),IF(ISNUMBER(O1116),O1116*MAX(N1116-1,0),SUM(IFERROR(VALUE(TEXTSPLIT(O1116,",")),0)))),0)</f>
        <v/>
      </c>
      <c r="S1116">
        <f>IFERROR(L1116*MAX(N1116,1)/R1116*IF(ISBLANK(K1112),1,K1112),0)</f>
        <v/>
      </c>
      <c r="AB1116" s="7" t="inlineStr">
        <is>
          <t>^Warhead_Chemical_Light</t>
        </is>
      </c>
    </row>
    <row r="1117">
      <c r="B1117" s="7" t="inlineStr">
        <is>
          <t xml:space="preserve">  ↳ TSChemGhostGun</t>
        </is>
      </c>
      <c r="C1117" s="7" t="inlineStr">
        <is>
          <t>Armament@UPGRADEGARRISONED</t>
        </is>
      </c>
      <c r="L1117" s="6" t="n">
        <v>20000</v>
      </c>
      <c r="M1117" s="6" t="n">
        <v>25</v>
      </c>
      <c r="N1117" s="6" t="n">
        <v>1</v>
      </c>
      <c r="O1117" s="6" t="n"/>
      <c r="P1117" s="6" t="n">
        <v>9557</v>
      </c>
      <c r="Q1117" s="6" t="n">
        <v>0.75</v>
      </c>
      <c r="R1117">
        <f>M1117+IF(MAX(N1117-1,0)&gt;0,IF(ISBLANK(O1117),5*MAX(N1117-1,0),IF(ISNUMBER(O1117),O1117*MAX(N1117-1,0),SUM(IFERROR(VALUE(TEXTSPLIT(O1117,",")),0)))),0)</f>
        <v/>
      </c>
      <c r="S1117">
        <f>IFERROR(L1117*MAX(N1117,1)/R1117*IF(ISBLANK(K1112),1,K1112),0)</f>
        <v/>
      </c>
      <c r="AB1117" s="7" t="inlineStr">
        <is>
          <t>^Warhead_Chemical_Light</t>
        </is>
      </c>
    </row>
    <row r="1118">
      <c r="A1118" t="inlineStr">
        <is>
          <t>tiberiansun</t>
        </is>
      </c>
      <c r="B1118" t="inlineStr">
        <is>
          <t>forgotten_ghoststalker_r4</t>
        </is>
      </c>
      <c r="C1118" t="inlineStr">
        <is>
          <t>actor_forgotten_ghoststalker.name</t>
        </is>
      </c>
      <c r="D1118" s="6" t="inlineStr">
        <is>
          <t>HeroInfantry</t>
        </is>
      </c>
      <c r="E1118" s="6" t="n">
        <v>100000</v>
      </c>
      <c r="F1118" s="6" t="n">
        <v>62</v>
      </c>
      <c r="G1118" t="inlineStr">
        <is>
          <t>Heroic</t>
        </is>
      </c>
      <c r="H1118" s="6" t="n">
        <v>1</v>
      </c>
      <c r="I1118" s="6" t="n">
        <v>1</v>
      </c>
      <c r="J1118" s="6" t="n">
        <v>1</v>
      </c>
      <c r="P1118">
        <f>MAX(P1119,P1120)</f>
        <v/>
      </c>
      <c r="S1118">
        <f>S1119+S1120</f>
        <v/>
      </c>
      <c r="T1118">
        <f>(E1118/100000+F1118/100+(P1118/1000)*J1118/5+S1118/200)*200*I1118*H1118</f>
        <v/>
      </c>
      <c r="U1118">
        <f>((E1118*F1118/25000)+((P1118/1000)*J1118*S1118/2.5))*I1118*H1118</f>
        <v/>
      </c>
      <c r="V1118">
        <f>(E1118*F1118*(P1118/1000)*J1118*S1118*I1118*H1118)/12500000</f>
        <v/>
      </c>
      <c r="W1118">
        <f>(T1118+U1118+V1118)/3</f>
        <v/>
      </c>
      <c r="X1118" s="6" t="n">
        <v>4000</v>
      </c>
      <c r="Y1118">
        <f>IFERROR(W1118-X1118,"")</f>
        <v/>
      </c>
      <c r="Z1118">
        <f>IFERROR(ABS(Y1118)/MAX(X1118,1),"")</f>
        <v/>
      </c>
      <c r="AA1118">
        <f>IFERROR((X1118-(((E1118/100000+F1118/100+S1118/200)*200*I1118*H1118)+((E1118*F1118/25000)*I1118*H1118))/3)/(((J1118/5)*200*I1118*H1118)+((J1118*S1118/2.5)*I1118*H1118)+((E1118*F1118*J1118*S1118*I1118*H1118)/12500000))/3*1000,"")</f>
        <v/>
      </c>
    </row>
    <row r="1119">
      <c r="B1119" s="7" t="inlineStr">
        <is>
          <t xml:space="preserve">  ↳ TSGhostGun</t>
        </is>
      </c>
      <c r="C1119" s="7" t="inlineStr">
        <is>
          <t>Armament@PRIMARY</t>
        </is>
      </c>
      <c r="L1119" s="6" t="n">
        <v>20000</v>
      </c>
      <c r="M1119" s="6" t="n">
        <v>25</v>
      </c>
      <c r="N1119" s="6" t="n">
        <v>1</v>
      </c>
      <c r="O1119" s="6" t="n"/>
      <c r="P1119" s="6" t="n">
        <v>9557</v>
      </c>
      <c r="Q1119" s="6" t="n">
        <v>0.75</v>
      </c>
      <c r="R1119">
        <f>M1119+IF(MAX(N1119-1,0)&gt;0,IF(ISBLANK(O1119),5*MAX(N1119-1,0),IF(ISNUMBER(O1119),O1119*MAX(N1119-1,0),SUM(IFERROR(VALUE(TEXTSPLIT(O1119,",")),0)))),0)</f>
        <v/>
      </c>
      <c r="S1119">
        <f>IFERROR(L1119*MAX(N1119,1)/R1119*IF(ISBLANK(K1118),1,K1118),0)</f>
        <v/>
      </c>
      <c r="AB1119" s="7" t="inlineStr">
        <is>
          <t>^Warhead_Chemical_Light</t>
        </is>
      </c>
    </row>
    <row r="1120">
      <c r="B1120" s="7" t="inlineStr">
        <is>
          <t xml:space="preserve">  ↳ TSChemGhostGun</t>
        </is>
      </c>
      <c r="C1120" s="7" t="inlineStr">
        <is>
          <t>Armament@UPGRADE</t>
        </is>
      </c>
      <c r="L1120" s="6" t="n">
        <v>20000</v>
      </c>
      <c r="M1120" s="6" t="n">
        <v>25</v>
      </c>
      <c r="N1120" s="6" t="n">
        <v>1</v>
      </c>
      <c r="O1120" s="6" t="n"/>
      <c r="P1120" s="6" t="n">
        <v>9557</v>
      </c>
      <c r="Q1120" s="6" t="n">
        <v>0.75</v>
      </c>
      <c r="R1120">
        <f>M1120+IF(MAX(N1120-1,0)&gt;0,IF(ISBLANK(O1120),5*MAX(N1120-1,0),IF(ISNUMBER(O1120),O1120*MAX(N1120-1,0),SUM(IFERROR(VALUE(TEXTSPLIT(O1120,",")),0)))),0)</f>
        <v/>
      </c>
      <c r="S1120">
        <f>IFERROR(L1120*MAX(N1120,1)/R1120*IF(ISBLANK(K1118),1,K1118),0)</f>
        <v/>
      </c>
      <c r="AB1120" s="7" t="inlineStr">
        <is>
          <t>^Warhead_Chemical_Light</t>
        </is>
      </c>
    </row>
    <row r="1121">
      <c r="B1121" s="7" t="inlineStr">
        <is>
          <t xml:space="preserve">  ↳ GenericC4</t>
        </is>
      </c>
      <c r="C1121" s="7" t="inlineStr">
        <is>
          <t>Armament@c4</t>
        </is>
      </c>
      <c r="M1121" s="6" t="n">
        <v>20</v>
      </c>
      <c r="N1121" s="6" t="n">
        <v>1</v>
      </c>
      <c r="O1121" s="6" t="n"/>
      <c r="P1121" s="6" t="n">
        <v>2000</v>
      </c>
      <c r="Q1121" s="6" t="n">
        <v>1</v>
      </c>
      <c r="R1121">
        <f>M1121+IF(MAX(N1121-1,0)&gt;0,IF(ISBLANK(O1121),5*MAX(N1121-1,0),IF(ISNUMBER(O1121),O1121*MAX(N1121-1,0),SUM(IFERROR(VALUE(TEXTSPLIT(O1121,",")),0)))),0)</f>
        <v/>
      </c>
      <c r="S1121">
        <f>IFERROR(L1121*MAX(N1121,1)/R1121*IF(ISBLANK(K1118),1,K1118),0)</f>
        <v/>
      </c>
      <c r="AB1121" s="7" t="inlineStr"/>
    </row>
    <row r="1122">
      <c r="B1122" s="7" t="inlineStr">
        <is>
          <t xml:space="preserve">  ↳ TSGhostGun</t>
        </is>
      </c>
      <c r="C1122" s="7" t="inlineStr">
        <is>
          <t>Armament@GARRISONED</t>
        </is>
      </c>
      <c r="L1122" s="6" t="n">
        <v>20000</v>
      </c>
      <c r="M1122" s="6" t="n">
        <v>25</v>
      </c>
      <c r="N1122" s="6" t="n">
        <v>1</v>
      </c>
      <c r="O1122" s="6" t="n"/>
      <c r="P1122" s="6" t="n">
        <v>9557</v>
      </c>
      <c r="Q1122" s="6" t="n">
        <v>0.75</v>
      </c>
      <c r="R1122">
        <f>M1122+IF(MAX(N1122-1,0)&gt;0,IF(ISBLANK(O1122),5*MAX(N1122-1,0),IF(ISNUMBER(O1122),O1122*MAX(N1122-1,0),SUM(IFERROR(VALUE(TEXTSPLIT(O1122,",")),0)))),0)</f>
        <v/>
      </c>
      <c r="S1122">
        <f>IFERROR(L1122*MAX(N1122,1)/R1122*IF(ISBLANK(K1118),1,K1118),0)</f>
        <v/>
      </c>
      <c r="AB1122" s="7" t="inlineStr">
        <is>
          <t>^Warhead_Chemical_Light</t>
        </is>
      </c>
    </row>
    <row r="1123">
      <c r="B1123" s="7" t="inlineStr">
        <is>
          <t xml:space="preserve">  ↳ TSChemGhostGun</t>
        </is>
      </c>
      <c r="C1123" s="7" t="inlineStr">
        <is>
          <t>Armament@UPGRADEGARRISONED</t>
        </is>
      </c>
      <c r="L1123" s="6" t="n">
        <v>20000</v>
      </c>
      <c r="M1123" s="6" t="n">
        <v>25</v>
      </c>
      <c r="N1123" s="6" t="n">
        <v>1</v>
      </c>
      <c r="O1123" s="6" t="n"/>
      <c r="P1123" s="6" t="n">
        <v>9557</v>
      </c>
      <c r="Q1123" s="6" t="n">
        <v>0.75</v>
      </c>
      <c r="R1123">
        <f>M1123+IF(MAX(N1123-1,0)&gt;0,IF(ISBLANK(O1123),5*MAX(N1123-1,0),IF(ISNUMBER(O1123),O1123*MAX(N1123-1,0),SUM(IFERROR(VALUE(TEXTSPLIT(O1123,",")),0)))),0)</f>
        <v/>
      </c>
      <c r="S1123">
        <f>IFERROR(L1123*MAX(N1123,1)/R1123*IF(ISBLANK(K1118),1,K1118),0)</f>
        <v/>
      </c>
      <c r="AB1123" s="7" t="inlineStr">
        <is>
          <t>^Warhead_Chemical_Light</t>
        </is>
      </c>
    </row>
    <row r="1124">
      <c r="A1124" t="inlineStr">
        <is>
          <t>tiberiansun</t>
        </is>
      </c>
      <c r="B1124" t="inlineStr">
        <is>
          <t>forgotten_ghoststalker_sp</t>
        </is>
      </c>
      <c r="C1124" t="inlineStr">
        <is>
          <t>actor_forgotten_ghoststalker.name</t>
        </is>
      </c>
      <c r="D1124" s="6" t="inlineStr">
        <is>
          <t>HeroInfantry</t>
        </is>
      </c>
      <c r="E1124" s="6" t="n">
        <v>100000</v>
      </c>
      <c r="F1124" s="6" t="n">
        <v>62</v>
      </c>
      <c r="G1124" t="inlineStr">
        <is>
          <t>Heroic</t>
        </is>
      </c>
      <c r="H1124" s="6" t="n">
        <v>1</v>
      </c>
      <c r="I1124" s="6" t="n">
        <v>1</v>
      </c>
      <c r="J1124" s="6" t="n">
        <v>1</v>
      </c>
      <c r="P1124">
        <f>MAX(P1125,P1126)</f>
        <v/>
      </c>
      <c r="S1124">
        <f>S1125+S1126</f>
        <v/>
      </c>
      <c r="T1124">
        <f>(E1124/100000+F1124/100+(P1124/1000)*J1124/5+S1124/200)*200*I1124*H1124</f>
        <v/>
      </c>
      <c r="U1124">
        <f>((E1124*F1124/25000)+((P1124/1000)*J1124*S1124/2.5))*I1124*H1124</f>
        <v/>
      </c>
      <c r="V1124">
        <f>(E1124*F1124*(P1124/1000)*J1124*S1124*I1124*H1124)/12500000</f>
        <v/>
      </c>
      <c r="W1124">
        <f>(T1124+U1124+V1124)/3</f>
        <v/>
      </c>
      <c r="X1124" s="6" t="n">
        <v>4000</v>
      </c>
      <c r="Y1124">
        <f>IFERROR(W1124-X1124,"")</f>
        <v/>
      </c>
      <c r="Z1124">
        <f>IFERROR(ABS(Y1124)/MAX(X1124,1),"")</f>
        <v/>
      </c>
      <c r="AA1124">
        <f>IFERROR((X1124-(((E1124/100000+F1124/100+S1124/200)*200*I1124*H1124)+((E1124*F1124/25000)*I1124*H1124))/3)/(((J1124/5)*200*I1124*H1124)+((J1124*S1124/2.5)*I1124*H1124)+((E1124*F1124*J1124*S1124*I1124*H1124)/12500000))/3*1000,"")</f>
        <v/>
      </c>
    </row>
    <row r="1125">
      <c r="B1125" s="7" t="inlineStr">
        <is>
          <t xml:space="preserve">  ↳ TSGhostGun</t>
        </is>
      </c>
      <c r="C1125" s="7" t="inlineStr">
        <is>
          <t>Armament@PRIMARY</t>
        </is>
      </c>
      <c r="L1125" s="6" t="n">
        <v>20000</v>
      </c>
      <c r="M1125" s="6" t="n">
        <v>25</v>
      </c>
      <c r="N1125" s="6" t="n">
        <v>1</v>
      </c>
      <c r="O1125" s="6" t="n"/>
      <c r="P1125" s="6" t="n">
        <v>9557</v>
      </c>
      <c r="Q1125" s="6" t="n">
        <v>0.75</v>
      </c>
      <c r="R1125">
        <f>M1125+IF(MAX(N1125-1,0)&gt;0,IF(ISBLANK(O1125),5*MAX(N1125-1,0),IF(ISNUMBER(O1125),O1125*MAX(N1125-1,0),SUM(IFERROR(VALUE(TEXTSPLIT(O1125,",")),0)))),0)</f>
        <v/>
      </c>
      <c r="S1125">
        <f>IFERROR(L1125*MAX(N1125,1)/R1125*IF(ISBLANK(K1124),1,K1124),0)</f>
        <v/>
      </c>
      <c r="AB1125" s="7" t="inlineStr">
        <is>
          <t>^Warhead_Chemical_Light</t>
        </is>
      </c>
    </row>
    <row r="1126">
      <c r="B1126" s="7" t="inlineStr">
        <is>
          <t xml:space="preserve">  ↳ TSChemGhostGun</t>
        </is>
      </c>
      <c r="C1126" s="7" t="inlineStr">
        <is>
          <t>Armament@UPGRADE</t>
        </is>
      </c>
      <c r="L1126" s="6" t="n">
        <v>20000</v>
      </c>
      <c r="M1126" s="6" t="n">
        <v>25</v>
      </c>
      <c r="N1126" s="6" t="n">
        <v>1</v>
      </c>
      <c r="O1126" s="6" t="n"/>
      <c r="P1126" s="6" t="n">
        <v>9557</v>
      </c>
      <c r="Q1126" s="6" t="n">
        <v>0.75</v>
      </c>
      <c r="R1126">
        <f>M1126+IF(MAX(N1126-1,0)&gt;0,IF(ISBLANK(O1126),5*MAX(N1126-1,0),IF(ISNUMBER(O1126),O1126*MAX(N1126-1,0),SUM(IFERROR(VALUE(TEXTSPLIT(O1126,",")),0)))),0)</f>
        <v/>
      </c>
      <c r="S1126">
        <f>IFERROR(L1126*MAX(N1126,1)/R1126*IF(ISBLANK(K1124),1,K1124),0)</f>
        <v/>
      </c>
      <c r="AB1126" s="7" t="inlineStr">
        <is>
          <t>^Warhead_Chemical_Light</t>
        </is>
      </c>
    </row>
    <row r="1127">
      <c r="B1127" s="7" t="inlineStr">
        <is>
          <t xml:space="preserve">  ↳ TSGhostGun</t>
        </is>
      </c>
      <c r="C1127" s="7" t="inlineStr">
        <is>
          <t>Armament@GARRISONED</t>
        </is>
      </c>
      <c r="L1127" s="6" t="n">
        <v>20000</v>
      </c>
      <c r="M1127" s="6" t="n">
        <v>25</v>
      </c>
      <c r="N1127" s="6" t="n">
        <v>1</v>
      </c>
      <c r="O1127" s="6" t="n"/>
      <c r="P1127" s="6" t="n">
        <v>9557</v>
      </c>
      <c r="Q1127" s="6" t="n">
        <v>0.75</v>
      </c>
      <c r="R1127">
        <f>M1127+IF(MAX(N1127-1,0)&gt;0,IF(ISBLANK(O1127),5*MAX(N1127-1,0),IF(ISNUMBER(O1127),O1127*MAX(N1127-1,0),SUM(IFERROR(VALUE(TEXTSPLIT(O1127,",")),0)))),0)</f>
        <v/>
      </c>
      <c r="S1127">
        <f>IFERROR(L1127*MAX(N1127,1)/R1127*IF(ISBLANK(K1124),1,K1124),0)</f>
        <v/>
      </c>
      <c r="AB1127" s="7" t="inlineStr">
        <is>
          <t>^Warhead_Chemical_Light</t>
        </is>
      </c>
    </row>
    <row r="1128">
      <c r="B1128" s="7" t="inlineStr">
        <is>
          <t xml:space="preserve">  ↳ TSChemGhostGun</t>
        </is>
      </c>
      <c r="C1128" s="7" t="inlineStr">
        <is>
          <t>Armament@UPGRADEGARRISONED</t>
        </is>
      </c>
      <c r="L1128" s="6" t="n">
        <v>20000</v>
      </c>
      <c r="M1128" s="6" t="n">
        <v>25</v>
      </c>
      <c r="N1128" s="6" t="n">
        <v>1</v>
      </c>
      <c r="O1128" s="6" t="n"/>
      <c r="P1128" s="6" t="n">
        <v>9557</v>
      </c>
      <c r="Q1128" s="6" t="n">
        <v>0.75</v>
      </c>
      <c r="R1128">
        <f>M1128+IF(MAX(N1128-1,0)&gt;0,IF(ISBLANK(O1128),5*MAX(N1128-1,0),IF(ISNUMBER(O1128),O1128*MAX(N1128-1,0),SUM(IFERROR(VALUE(TEXTSPLIT(O1128,",")),0)))),0)</f>
        <v/>
      </c>
      <c r="S1128">
        <f>IFERROR(L1128*MAX(N1128,1)/R1128*IF(ISBLANK(K1124),1,K1124),0)</f>
        <v/>
      </c>
      <c r="AB1128" s="7" t="inlineStr">
        <is>
          <t>^Warhead_Chemical_Light</t>
        </is>
      </c>
    </row>
    <row r="1129">
      <c r="A1129" t="inlineStr">
        <is>
          <t>tiberiansun</t>
        </is>
      </c>
      <c r="B1129" t="inlineStr">
        <is>
          <t>forgotten_mutanthijacker</t>
        </is>
      </c>
      <c r="C1129" t="inlineStr">
        <is>
          <t>actor_forgotten_mutanthijacker.name</t>
        </is>
      </c>
      <c r="D1129" s="6" t="inlineStr">
        <is>
          <t>HeroInfantry</t>
        </is>
      </c>
      <c r="E1129" s="6" t="n">
        <v>25000</v>
      </c>
      <c r="F1129" s="6" t="n">
        <v>100</v>
      </c>
      <c r="G1129" t="inlineStr">
        <is>
          <t>Heroic</t>
        </is>
      </c>
      <c r="H1129" s="6" t="n">
        <v>0.8376</v>
      </c>
      <c r="I1129" s="6" t="n">
        <v>1</v>
      </c>
      <c r="J1129" s="6" t="n">
        <v>1</v>
      </c>
      <c r="X1129" s="6" t="n">
        <v>750</v>
      </c>
    </row>
    <row r="1130">
      <c r="A1130" t="inlineStr">
        <is>
          <t>redalert2</t>
        </is>
      </c>
      <c r="B1130" t="inlineStr">
        <is>
          <t>ra2_allies_tanyaii</t>
        </is>
      </c>
      <c r="C1130" t="inlineStr">
        <is>
          <t>Tanya II</t>
        </is>
      </c>
      <c r="D1130" s="6" t="inlineStr">
        <is>
          <t>HeroInfantry</t>
        </is>
      </c>
      <c r="E1130" s="6" t="n">
        <v>50000</v>
      </c>
      <c r="F1130" s="6" t="n">
        <v>75</v>
      </c>
      <c r="G1130" t="inlineStr">
        <is>
          <t>Heroic</t>
        </is>
      </c>
      <c r="H1130" s="6" t="n">
        <v>0.5305</v>
      </c>
      <c r="I1130" s="6" t="n">
        <v>1</v>
      </c>
      <c r="J1130" s="6" t="n">
        <v>1</v>
      </c>
      <c r="P1130">
        <f>MAX(P1131,P1132)</f>
        <v/>
      </c>
      <c r="S1130">
        <f>S1131+S1132</f>
        <v/>
      </c>
      <c r="T1130">
        <f>(E1130/100000+F1130/100+(P1130/1000)*J1130/5+S1130/200)*200*I1130*H1130</f>
        <v/>
      </c>
      <c r="U1130">
        <f>((E1130*F1130/25000)+((P1130/1000)*J1130*S1130/2.5))*I1130*H1130</f>
        <v/>
      </c>
      <c r="V1130">
        <f>(E1130*F1130*(P1130/1000)*J1130*S1130*I1130*H1130)/12500000</f>
        <v/>
      </c>
      <c r="W1130">
        <f>(T1130+U1130+V1130)/3</f>
        <v/>
      </c>
      <c r="X1130" s="6" t="n">
        <v>3000</v>
      </c>
      <c r="Y1130">
        <f>IFERROR(W1130-X1130,"")</f>
        <v/>
      </c>
      <c r="Z1130">
        <f>IFERROR(ABS(Y1130)/MAX(X1130,1),"")</f>
        <v/>
      </c>
      <c r="AA1130">
        <f>IFERROR((X1130-(((E1130/100000+F1130/100+S1130/200)*200*I1130*H1130)+((E1130*F1130/25000)*I1130*H1130))/3)/(((J1130/5)*200*I1130*H1130)+((J1130*S1130/2.5)*I1130*H1130)+((E1130*F1130*J1130*S1130*I1130*H1130)/12500000))/3*1000,"")</f>
        <v/>
      </c>
    </row>
    <row r="1131">
      <c r="B1131" s="7" t="inlineStr">
        <is>
          <t xml:space="preserve">  ↳ RA2DoublePistols</t>
        </is>
      </c>
      <c r="C1131" s="7" t="inlineStr">
        <is>
          <t>Armament@PRIMARY</t>
        </is>
      </c>
      <c r="L1131" s="6" t="n">
        <v>14000</v>
      </c>
      <c r="M1131" s="6" t="n">
        <v>12</v>
      </c>
      <c r="N1131" s="6" t="n">
        <v>2</v>
      </c>
      <c r="O1131" s="6" t="n">
        <v>3</v>
      </c>
      <c r="P1131" s="6" t="n">
        <v>8000</v>
      </c>
      <c r="Q1131" s="6" t="n">
        <v>0.75</v>
      </c>
      <c r="R1131">
        <f>M1131+IF(MAX(N1131-1,0)&gt;0,IF(ISBLANK(O1131),5*MAX(N1131-1,0),IF(ISNUMBER(O1131),O1131*MAX(N1131-1,0),SUM(IFERROR(VALUE(TEXTSPLIT(O1131,",")),0)))),0)</f>
        <v/>
      </c>
      <c r="S1131">
        <f>IFERROR(L1131*MAX(N1131,1)/R1131*IF(ISBLANK(K1130),1,K1130),0)</f>
        <v/>
      </c>
      <c r="AB1131" s="7" t="inlineStr">
        <is>
          <t>^Warhead_Sniper_Light</t>
        </is>
      </c>
    </row>
    <row r="1132">
      <c r="B1132" s="7" t="inlineStr">
        <is>
          <t xml:space="preserve">  ↳ RA2DoublePistols_elite</t>
        </is>
      </c>
      <c r="C1132" s="7" t="inlineStr">
        <is>
          <t>Armament@ELITE</t>
        </is>
      </c>
      <c r="L1132" s="6" t="n">
        <v>14000</v>
      </c>
      <c r="M1132" s="6" t="n">
        <v>12</v>
      </c>
      <c r="N1132" s="6" t="n">
        <v>4</v>
      </c>
      <c r="O1132" s="6" t="n">
        <v>3</v>
      </c>
      <c r="P1132" s="6" t="n">
        <v>9000</v>
      </c>
      <c r="Q1132" s="6" t="n">
        <v>0.75</v>
      </c>
      <c r="R1132">
        <f>M1132+IF(MAX(N1132-1,0)&gt;0,IF(ISBLANK(O1132),5*MAX(N1132-1,0),IF(ISNUMBER(O1132),O1132*MAX(N1132-1,0),SUM(IFERROR(VALUE(TEXTSPLIT(O1132,",")),0)))),0)</f>
        <v/>
      </c>
      <c r="S1132">
        <f>IFERROR(L1132*MAX(N1132,1)/R1132*IF(ISBLANK(K1130),1,K1130),0)</f>
        <v/>
      </c>
      <c r="AB1132" s="7" t="inlineStr">
        <is>
          <t>^Warhead_Sniper_Light</t>
        </is>
      </c>
    </row>
    <row r="1133">
      <c r="B1133" s="7" t="inlineStr">
        <is>
          <t xml:space="preserve">  ↳ TanyaAttach</t>
        </is>
      </c>
      <c r="C1133" s="7" t="inlineStr">
        <is>
          <t>Armament@c4</t>
        </is>
      </c>
      <c r="M1133" s="6" t="n">
        <v>20</v>
      </c>
      <c r="N1133" s="6" t="n">
        <v>1</v>
      </c>
      <c r="O1133" s="6" t="n"/>
      <c r="P1133" s="6" t="n">
        <v>2000</v>
      </c>
      <c r="Q1133" s="6" t="n">
        <v>1</v>
      </c>
      <c r="R1133">
        <f>M1133+IF(MAX(N1133-1,0)&gt;0,IF(ISBLANK(O1133),5*MAX(N1133-1,0),IF(ISNUMBER(O1133),O1133*MAX(N1133-1,0),SUM(IFERROR(VALUE(TEXTSPLIT(O1133,",")),0)))),0)</f>
        <v/>
      </c>
      <c r="S1133">
        <f>IFERROR(L1133*MAX(N1133,1)/R1133*IF(ISBLANK(K1130),1,K1130),0)</f>
        <v/>
      </c>
      <c r="AB1133" s="7" t="inlineStr">
        <is>
          <t>IvanAttach</t>
        </is>
      </c>
    </row>
    <row r="1134">
      <c r="B1134" s="7" t="inlineStr">
        <is>
          <t xml:space="preserve">  ↳ GenericC4</t>
        </is>
      </c>
      <c r="C1134" s="7" t="inlineStr">
        <is>
          <t>Armament@c4building</t>
        </is>
      </c>
      <c r="M1134" s="6" t="n">
        <v>20</v>
      </c>
      <c r="N1134" s="6" t="n">
        <v>1</v>
      </c>
      <c r="O1134" s="6" t="n"/>
      <c r="P1134" s="6" t="n">
        <v>2000</v>
      </c>
      <c r="Q1134" s="6" t="n">
        <v>1</v>
      </c>
      <c r="R1134">
        <f>M1134+IF(MAX(N1134-1,0)&gt;0,IF(ISBLANK(O1134),5*MAX(N1134-1,0),IF(ISNUMBER(O1134),O1134*MAX(N1134-1,0),SUM(IFERROR(VALUE(TEXTSPLIT(O1134,",")),0)))),0)</f>
        <v/>
      </c>
      <c r="S1134">
        <f>IFERROR(L1134*MAX(N1134,1)/R1134*IF(ISBLANK(K1130),1,K1130),0)</f>
        <v/>
      </c>
      <c r="AB1134" s="7" t="inlineStr"/>
    </row>
    <row r="1135">
      <c r="B1135" s="7" t="inlineStr">
        <is>
          <t xml:space="preserve">  ↳ RA2DoublePistols</t>
        </is>
      </c>
      <c r="C1135" s="7" t="inlineStr">
        <is>
          <t>Armament@GARRISONED</t>
        </is>
      </c>
      <c r="L1135" s="6" t="n">
        <v>14000</v>
      </c>
      <c r="M1135" s="6" t="n">
        <v>12</v>
      </c>
      <c r="N1135" s="6" t="n">
        <v>2</v>
      </c>
      <c r="O1135" s="6" t="n">
        <v>3</v>
      </c>
      <c r="P1135" s="6" t="n">
        <v>8000</v>
      </c>
      <c r="Q1135" s="6" t="n">
        <v>0.75</v>
      </c>
      <c r="R1135">
        <f>M1135+IF(MAX(N1135-1,0)&gt;0,IF(ISBLANK(O1135),5*MAX(N1135-1,0),IF(ISNUMBER(O1135),O1135*MAX(N1135-1,0),SUM(IFERROR(VALUE(TEXTSPLIT(O1135,",")),0)))),0)</f>
        <v/>
      </c>
      <c r="S1135">
        <f>IFERROR(L1135*MAX(N1135,1)/R1135*IF(ISBLANK(K1130),1,K1130),0)</f>
        <v/>
      </c>
      <c r="AB1135" s="7" t="inlineStr">
        <is>
          <t>^Warhead_Sniper_Light</t>
        </is>
      </c>
    </row>
    <row r="1136">
      <c r="B1136" s="7" t="inlineStr">
        <is>
          <t xml:space="preserve">  ↳ RA2DoublePistols_elite</t>
        </is>
      </c>
      <c r="C1136" s="7" t="inlineStr">
        <is>
          <t>Armament@GARRISONEDELITE</t>
        </is>
      </c>
      <c r="L1136" s="6" t="n">
        <v>14000</v>
      </c>
      <c r="M1136" s="6" t="n">
        <v>12</v>
      </c>
      <c r="N1136" s="6" t="n">
        <v>4</v>
      </c>
      <c r="O1136" s="6" t="n">
        <v>3</v>
      </c>
      <c r="P1136" s="6" t="n">
        <v>9000</v>
      </c>
      <c r="Q1136" s="6" t="n">
        <v>0.75</v>
      </c>
      <c r="R1136">
        <f>M1136+IF(MAX(N1136-1,0)&gt;0,IF(ISBLANK(O1136),5*MAX(N1136-1,0),IF(ISNUMBER(O1136),O1136*MAX(N1136-1,0),SUM(IFERROR(VALUE(TEXTSPLIT(O1136,",")),0)))),0)</f>
        <v/>
      </c>
      <c r="S1136">
        <f>IFERROR(L1136*MAX(N1136,1)/R1136*IF(ISBLANK(K1130),1,K1130),0)</f>
        <v/>
      </c>
      <c r="AB1136" s="7" t="inlineStr">
        <is>
          <t>^Warhead_Sniper_Light</t>
        </is>
      </c>
    </row>
    <row r="1137">
      <c r="A1137" t="inlineStr">
        <is>
          <t>redalert2</t>
        </is>
      </c>
      <c r="B1137" t="inlineStr">
        <is>
          <t>ra2_soviets_boris</t>
        </is>
      </c>
      <c r="C1137" t="inlineStr">
        <is>
          <t>Boris</t>
        </is>
      </c>
      <c r="D1137" s="6" t="inlineStr">
        <is>
          <t>HeroInfantry</t>
        </is>
      </c>
      <c r="E1137" s="6" t="n">
        <v>90000</v>
      </c>
      <c r="F1137" s="6" t="n">
        <v>60</v>
      </c>
      <c r="G1137" t="inlineStr">
        <is>
          <t>Heroic</t>
        </is>
      </c>
      <c r="H1137" s="6" t="n">
        <v>0.75</v>
      </c>
      <c r="I1137" s="6" t="n">
        <v>1</v>
      </c>
      <c r="J1137" s="6" t="n">
        <v>1.25</v>
      </c>
      <c r="P1137">
        <f>MAX(P1138,P1139,P1140)</f>
        <v/>
      </c>
      <c r="S1137">
        <f>S1138+S1139+S1140</f>
        <v/>
      </c>
      <c r="T1137">
        <f>(E1137/100000+F1137/100+(P1137/1000)*J1137/5+S1137/200)*200*I1137*H1137</f>
        <v/>
      </c>
      <c r="U1137">
        <f>((E1137*F1137/25000)+((P1137/1000)*J1137*S1137/2.5))*I1137*H1137</f>
        <v/>
      </c>
      <c r="V1137">
        <f>(E1137*F1137*(P1137/1000)*J1137*S1137*I1137*H1137)/12500000</f>
        <v/>
      </c>
      <c r="W1137">
        <f>(T1137+U1137+V1137)/3</f>
        <v/>
      </c>
      <c r="X1137" s="6" t="n">
        <v>3000</v>
      </c>
      <c r="Y1137">
        <f>IFERROR(W1137-X1137,"")</f>
        <v/>
      </c>
      <c r="Z1137">
        <f>IFERROR(ABS(Y1137)/MAX(X1137,1),"")</f>
        <v/>
      </c>
      <c r="AA1137">
        <f>IFERROR((X1137-(((E1137/100000+F1137/100+S1137/200)*200*I1137*H1137)+((E1137*F1137/25000)*I1137*H1137))/3)/(((J1137/5)*200*I1137*H1137)+((J1137*S1137/2.5)*I1137*H1137)+((E1137*F1137*J1137*S1137*I1137*H1137)/12500000))/3*1000,"")</f>
        <v/>
      </c>
    </row>
    <row r="1138">
      <c r="B1138" s="7" t="inlineStr">
        <is>
          <t xml:space="preserve">  ↳ BorisAKM</t>
        </is>
      </c>
      <c r="C1138" s="7" t="inlineStr">
        <is>
          <t>Armament@PRIMARY</t>
        </is>
      </c>
      <c r="L1138" s="6" t="n">
        <v>8000</v>
      </c>
      <c r="M1138" s="6" t="n">
        <v>18</v>
      </c>
      <c r="N1138" s="6" t="n">
        <v>4</v>
      </c>
      <c r="O1138" s="6" t="n">
        <v>2</v>
      </c>
      <c r="P1138" s="6" t="n">
        <v>8167</v>
      </c>
      <c r="Q1138" s="6" t="n">
        <v>0.875</v>
      </c>
      <c r="R1138">
        <f>M1138+IF(MAX(N1138-1,0)&gt;0,IF(ISBLANK(O1138),5*MAX(N1138-1,0),IF(ISNUMBER(O1138),O1138*MAX(N1138-1,0),SUM(IFERROR(VALUE(TEXTSPLIT(O1138,",")),0)))),0)</f>
        <v/>
      </c>
      <c r="S1138">
        <f>IFERROR(L1138*MAX(N1138,1)/R1138*IF(ISBLANK(K1137),1,K1137),0)</f>
        <v/>
      </c>
      <c r="AB1138" s="7" t="inlineStr">
        <is>
          <t>^Warhead_Bullet_Light, ^Warhead_Bullet_Medium</t>
        </is>
      </c>
    </row>
    <row r="1139">
      <c r="B1139" s="7" t="inlineStr">
        <is>
          <t xml:space="preserve">  ↳ BorisAKM_elite</t>
        </is>
      </c>
      <c r="C1139" s="7" t="inlineStr">
        <is>
          <t>Armament@ELITE</t>
        </is>
      </c>
      <c r="L1139" s="6" t="n">
        <v>8000</v>
      </c>
      <c r="M1139" s="6" t="n">
        <v>18</v>
      </c>
      <c r="N1139" s="6" t="n">
        <v>8</v>
      </c>
      <c r="O1139" s="6" t="n">
        <v>2</v>
      </c>
      <c r="P1139" s="6" t="n">
        <v>9167</v>
      </c>
      <c r="Q1139" s="6" t="n">
        <v>0.875</v>
      </c>
      <c r="R1139">
        <f>M1139+IF(MAX(N1139-1,0)&gt;0,IF(ISBLANK(O1139),5*MAX(N1139-1,0),IF(ISNUMBER(O1139),O1139*MAX(N1139-1,0),SUM(IFERROR(VALUE(TEXTSPLIT(O1139,",")),0)))),0)</f>
        <v/>
      </c>
      <c r="S1139">
        <f>IFERROR(L1139*MAX(N1139,1)/R1139*IF(ISBLANK(K1137),1,K1137),0)</f>
        <v/>
      </c>
      <c r="AB1139" s="7" t="inlineStr">
        <is>
          <t>^Warhead_Bullet_Light, ^Warhead_Bullet_Medium</t>
        </is>
      </c>
    </row>
    <row r="1140">
      <c r="B1140" s="7" t="inlineStr">
        <is>
          <t xml:space="preserve">  ↳ BorisAKM2</t>
        </is>
      </c>
      <c r="C1140" s="7" t="inlineStr">
        <is>
          <t>Armament@AntiBuilding</t>
        </is>
      </c>
      <c r="L1140" s="6" t="n">
        <v>8000</v>
      </c>
      <c r="M1140" s="6" t="n">
        <v>18</v>
      </c>
      <c r="N1140" s="6" t="n">
        <v>4</v>
      </c>
      <c r="O1140" s="6" t="n">
        <v>2</v>
      </c>
      <c r="P1140" s="6" t="n">
        <v>9167</v>
      </c>
      <c r="Q1140" s="6" t="n">
        <v>0.875</v>
      </c>
      <c r="R1140">
        <f>M1140+IF(MAX(N1140-1,0)&gt;0,IF(ISBLANK(O1140),5*MAX(N1140-1,0),IF(ISNUMBER(O1140),O1140*MAX(N1140-1,0),SUM(IFERROR(VALUE(TEXTSPLIT(O1140,",")),0)))),0)</f>
        <v/>
      </c>
      <c r="S1140">
        <f>IFERROR(L1140*MAX(N1140,1)/R1140*IF(ISBLANK(K1137),1,K1137),0)</f>
        <v/>
      </c>
      <c r="AB1140" s="7" t="inlineStr">
        <is>
          <t>^Warhead_Bullet_Light, ^Warhead_Bullet_Medium</t>
        </is>
      </c>
    </row>
    <row r="1141">
      <c r="B1141" s="7" t="inlineStr">
        <is>
          <t xml:space="preserve">  ↳ MigTarget</t>
        </is>
      </c>
      <c r="C1141" s="7" t="inlineStr">
        <is>
          <t>Armament@SECONDARY</t>
        </is>
      </c>
      <c r="M1141" s="6" t="n">
        <v>60</v>
      </c>
      <c r="N1141" s="6" t="n">
        <v>3</v>
      </c>
      <c r="O1141" s="6" t="n">
        <v>15</v>
      </c>
      <c r="P1141" s="6" t="n">
        <v>9167</v>
      </c>
      <c r="Q1141" s="6" t="n">
        <v>1</v>
      </c>
      <c r="R1141">
        <f>M1141+IF(MAX(N1141-1,0)&gt;0,IF(ISBLANK(O1141),5*MAX(N1141-1,0),IF(ISNUMBER(O1141),O1141*MAX(N1141-1,0),SUM(IFERROR(VALUE(TEXTSPLIT(O1141,",")),0)))),0)</f>
        <v/>
      </c>
      <c r="S1141">
        <f>IFERROR(L1141*MAX(N1141,1)/R1141*IF(ISBLANK(K1137),1,K1137),0)</f>
        <v/>
      </c>
      <c r="AB1141" s="7" t="inlineStr"/>
    </row>
    <row r="1142">
      <c r="B1142" s="7" t="inlineStr">
        <is>
          <t xml:space="preserve">  ↳ BorisAKM</t>
        </is>
      </c>
      <c r="C1142" s="7" t="inlineStr">
        <is>
          <t>Armament@GARRISONED</t>
        </is>
      </c>
      <c r="L1142" s="6" t="n">
        <v>8000</v>
      </c>
      <c r="M1142" s="6" t="n">
        <v>18</v>
      </c>
      <c r="N1142" s="6" t="n">
        <v>4</v>
      </c>
      <c r="O1142" s="6" t="n">
        <v>2</v>
      </c>
      <c r="P1142" s="6" t="n">
        <v>8167</v>
      </c>
      <c r="Q1142" s="6" t="n">
        <v>0.875</v>
      </c>
      <c r="R1142">
        <f>M1142+IF(MAX(N1142-1,0)&gt;0,IF(ISBLANK(O1142),5*MAX(N1142-1,0),IF(ISNUMBER(O1142),O1142*MAX(N1142-1,0),SUM(IFERROR(VALUE(TEXTSPLIT(O1142,",")),0)))),0)</f>
        <v/>
      </c>
      <c r="S1142">
        <f>IFERROR(L1142*MAX(N1142,1)/R1142*IF(ISBLANK(K1137),1,K1137),0)</f>
        <v/>
      </c>
      <c r="AB1142" s="7" t="inlineStr">
        <is>
          <t>^Warhead_Bullet_Light, ^Warhead_Bullet_Medium</t>
        </is>
      </c>
    </row>
    <row r="1143">
      <c r="B1143" s="7" t="inlineStr">
        <is>
          <t xml:space="preserve">  ↳ BorisAKM_elite</t>
        </is>
      </c>
      <c r="C1143" s="7" t="inlineStr">
        <is>
          <t>Armament@GARRISONEDELITE</t>
        </is>
      </c>
      <c r="L1143" s="6" t="n">
        <v>8000</v>
      </c>
      <c r="M1143" s="6" t="n">
        <v>18</v>
      </c>
      <c r="N1143" s="6" t="n">
        <v>8</v>
      </c>
      <c r="O1143" s="6" t="n">
        <v>2</v>
      </c>
      <c r="P1143" s="6" t="n">
        <v>9167</v>
      </c>
      <c r="Q1143" s="6" t="n">
        <v>0.875</v>
      </c>
      <c r="R1143">
        <f>M1143+IF(MAX(N1143-1,0)&gt;0,IF(ISBLANK(O1143),5*MAX(N1143-1,0),IF(ISNUMBER(O1143),O1143*MAX(N1143-1,0),SUM(IFERROR(VALUE(TEXTSPLIT(O1143,",")),0)))),0)</f>
        <v/>
      </c>
      <c r="S1143">
        <f>IFERROR(L1143*MAX(N1143,1)/R1143*IF(ISBLANK(K1137),1,K1137),0)</f>
        <v/>
      </c>
      <c r="AB1143" s="7" t="inlineStr">
        <is>
          <t>^Warhead_Bullet_Light, ^Warhead_Bullet_Medium</t>
        </is>
      </c>
    </row>
    <row r="1144">
      <c r="A1144" t="inlineStr">
        <is>
          <t>redalert2</t>
        </is>
      </c>
      <c r="B1144" t="inlineStr">
        <is>
          <t>yuri_yurix</t>
        </is>
      </c>
      <c r="C1144" t="inlineStr">
        <is>
          <t>actor_yurix.name</t>
        </is>
      </c>
      <c r="D1144" s="6" t="inlineStr">
        <is>
          <t>HeroInfantry</t>
        </is>
      </c>
      <c r="E1144" s="6" t="n">
        <v>20000</v>
      </c>
      <c r="F1144" s="6" t="n">
        <v>100</v>
      </c>
      <c r="G1144" t="inlineStr">
        <is>
          <t>Heroic</t>
        </is>
      </c>
      <c r="H1144" s="6" t="n">
        <v>0.4054</v>
      </c>
      <c r="I1144" s="6" t="n">
        <v>1</v>
      </c>
      <c r="J1144" s="6" t="n">
        <v>1</v>
      </c>
      <c r="P1144">
        <f>MAX(P1145,P1146,P1147)</f>
        <v/>
      </c>
      <c r="S1144">
        <f>S1145+S1146+S1147</f>
        <v/>
      </c>
      <c r="T1144">
        <f>(E1144/100000+F1144/100+(P1144/1000)*J1144/5+S1144/200)*200*I1144*H1144</f>
        <v/>
      </c>
      <c r="U1144">
        <f>((E1144*F1144/25000)+((P1144/1000)*J1144*S1144/2.5))*I1144*H1144</f>
        <v/>
      </c>
      <c r="V1144">
        <f>(E1144*F1144*(P1144/1000)*J1144*S1144*I1144*H1144)/12500000</f>
        <v/>
      </c>
      <c r="W1144">
        <f>(T1144+U1144+V1144)/3</f>
        <v/>
      </c>
      <c r="X1144" s="6" t="n">
        <v>4000</v>
      </c>
      <c r="Y1144">
        <f>IFERROR(W1144-X1144,"")</f>
        <v/>
      </c>
      <c r="Z1144">
        <f>IFERROR(ABS(Y1144)/MAX(X1144,1),"")</f>
        <v/>
      </c>
      <c r="AA1144">
        <f>IFERROR((X1144-(((E1144/100000+F1144/100+S1144/200)*200*I1144*H1144)+((E1144*F1144/25000)*I1144*H1144))/3)/(((J1144/5)*200*I1144*H1144)+((J1144*S1144/2.5)*I1144*H1144)+((E1144*F1144*J1144*S1144*I1144*H1144)/12500000))/3*1000,"")</f>
        <v/>
      </c>
    </row>
    <row r="1145">
      <c r="B1145" s="7" t="inlineStr">
        <is>
          <t xml:space="preserve">  ↳ RA2XMindControl</t>
        </is>
      </c>
      <c r="C1145" s="7" t="inlineStr">
        <is>
          <t>Armament@PRIMARY</t>
        </is>
      </c>
      <c r="L1145" t="n">
        <v>0</v>
      </c>
      <c r="M1145" s="6" t="n">
        <v>125</v>
      </c>
      <c r="N1145" s="6" t="n">
        <v>1</v>
      </c>
      <c r="O1145" s="6" t="n"/>
      <c r="P1145" s="6" t="n">
        <v>9000</v>
      </c>
      <c r="Q1145" s="6" t="n">
        <v>1</v>
      </c>
      <c r="R1145">
        <f>M1145+IF(MAX(N1145-1,0)&gt;0,IF(ISBLANK(O1145),5*MAX(N1145-1,0),IF(ISNUMBER(O1145),O1145*MAX(N1145-1,0),SUM(IFERROR(VALUE(TEXTSPLIT(O1145,",")),0)))),0)</f>
        <v/>
      </c>
      <c r="S1145">
        <f>IFERROR(L1145*MAX(N1145,1)/R1145*IF(ISBLANK(K1144),1,K1144),0)</f>
        <v/>
      </c>
      <c r="AB1145" s="7" t="inlineStr">
        <is>
          <t>RA2MindControl</t>
        </is>
      </c>
    </row>
    <row r="1146">
      <c r="B1146" s="7" t="inlineStr">
        <is>
          <t xml:space="preserve">  ↳ RA2XMindControlSplash</t>
        </is>
      </c>
      <c r="C1146" s="7" t="inlineStr">
        <is>
          <t>Armament@Splash</t>
        </is>
      </c>
      <c r="L1146" t="n">
        <v>0</v>
      </c>
      <c r="M1146" s="6" t="n">
        <v>125</v>
      </c>
      <c r="N1146" s="6" t="n">
        <v>1</v>
      </c>
      <c r="O1146" s="6" t="n"/>
      <c r="P1146" s="6" t="n">
        <v>9000</v>
      </c>
      <c r="Q1146" s="6" t="n">
        <v>1</v>
      </c>
      <c r="R1146">
        <f>M1146+IF(MAX(N1146-1,0)&gt;0,IF(ISBLANK(O1146),5*MAX(N1146-1,0),IF(ISNUMBER(O1146),O1146*MAX(N1146-1,0),SUM(IFERROR(VALUE(TEXTSPLIT(O1146,",")),0)))),0)</f>
        <v/>
      </c>
      <c r="S1146">
        <f>IFERROR(L1146*MAX(N1146,1)/R1146*IF(ISBLANK(K1144),1,K1144),0)</f>
        <v/>
      </c>
      <c r="AB1146" s="7" t="inlineStr">
        <is>
          <t>RA2MindControl</t>
        </is>
      </c>
    </row>
    <row r="1147">
      <c r="B1147" s="7" t="inlineStr">
        <is>
          <t xml:space="preserve">  ↳ RA2XMindControlSplash2</t>
        </is>
      </c>
      <c r="C1147" s="7" t="inlineStr">
        <is>
          <t>Armament@Splash2</t>
        </is>
      </c>
      <c r="L1147" t="n">
        <v>0</v>
      </c>
      <c r="M1147" s="6" t="n">
        <v>125</v>
      </c>
      <c r="N1147" s="6" t="n">
        <v>1</v>
      </c>
      <c r="O1147" s="6" t="n"/>
      <c r="P1147" s="6" t="n">
        <v>9000</v>
      </c>
      <c r="Q1147" s="6" t="n">
        <v>1</v>
      </c>
      <c r="R1147">
        <f>M1147+IF(MAX(N1147-1,0)&gt;0,IF(ISBLANK(O1147),5*MAX(N1147-1,0),IF(ISNUMBER(O1147),O1147*MAX(N1147-1,0),SUM(IFERROR(VALUE(TEXTSPLIT(O1147,",")),0)))),0)</f>
        <v/>
      </c>
      <c r="S1147">
        <f>IFERROR(L1147*MAX(N1147,1)/R1147*IF(ISBLANK(K1144),1,K1144),0)</f>
        <v/>
      </c>
      <c r="AB1147" s="7" t="inlineStr">
        <is>
          <t>RA2XMindControlSplash</t>
        </is>
      </c>
    </row>
    <row r="1148">
      <c r="A1148" t="inlineStr">
        <is>
          <t>redalert2mod</t>
        </is>
      </c>
      <c r="B1148" t="inlineStr">
        <is>
          <t>asianalliance_asiancommando</t>
        </is>
      </c>
      <c r="C1148" t="inlineStr">
        <is>
          <t>Asian Commando</t>
        </is>
      </c>
      <c r="D1148" s="6" t="inlineStr">
        <is>
          <t>HeroInfantry</t>
        </is>
      </c>
      <c r="E1148" s="6" t="n">
        <v>50000</v>
      </c>
      <c r="F1148" s="6" t="n">
        <v>75</v>
      </c>
      <c r="G1148" t="inlineStr">
        <is>
          <t>Heroic</t>
        </is>
      </c>
      <c r="H1148" s="6" t="n">
        <v>0.3929</v>
      </c>
      <c r="I1148" s="6" t="n">
        <v>1</v>
      </c>
      <c r="J1148" s="6" t="n">
        <v>1</v>
      </c>
      <c r="P1148">
        <f>MAX(P1149,P1150,P1151)</f>
        <v/>
      </c>
      <c r="S1148">
        <f>S1149+S1150+S1151</f>
        <v/>
      </c>
      <c r="T1148">
        <f>(E1148/100000+F1148/100+(P1148/1000)*J1148/5+S1148/200)*200*I1148*H1148</f>
        <v/>
      </c>
      <c r="U1148">
        <f>((E1148*F1148/25000)+((P1148/1000)*J1148*S1148/2.5))*I1148*H1148</f>
        <v/>
      </c>
      <c r="V1148">
        <f>(E1148*F1148*(P1148/1000)*J1148*S1148*I1148*H1148)/12500000</f>
        <v/>
      </c>
      <c r="W1148">
        <f>(T1148+U1148+V1148)/3</f>
        <v/>
      </c>
      <c r="X1148" s="6" t="n">
        <v>3000</v>
      </c>
      <c r="Y1148">
        <f>IFERROR(W1148-X1148,"")</f>
        <v/>
      </c>
      <c r="Z1148">
        <f>IFERROR(ABS(Y1148)/MAX(X1148,1),"")</f>
        <v/>
      </c>
      <c r="AA1148">
        <f>IFERROR((X1148-(((E1148/100000+F1148/100+S1148/200)*200*I1148*H1148)+((E1148*F1148/25000)*I1148*H1148))/3)/(((J1148/5)*200*I1148*H1148)+((J1148*S1148/2.5)*I1148*H1148)+((E1148*F1148*J1148*S1148*I1148*H1148)/12500000))/3*1000,"")</f>
        <v/>
      </c>
    </row>
    <row r="1149">
      <c r="B1149" s="7" t="inlineStr">
        <is>
          <t xml:space="preserve">  ↳ AsianSniperLockdown</t>
        </is>
      </c>
      <c r="C1149" s="7" t="inlineStr">
        <is>
          <t>Armament@lockdown</t>
        </is>
      </c>
      <c r="L1149" s="6" t="n">
        <v>204000</v>
      </c>
      <c r="M1149" s="6" t="n">
        <v>100</v>
      </c>
      <c r="N1149" s="6" t="n">
        <v>1</v>
      </c>
      <c r="O1149" s="6" t="n"/>
      <c r="P1149" s="6" t="n">
        <v>9455</v>
      </c>
      <c r="Q1149" s="6" t="n">
        <v>1.25</v>
      </c>
      <c r="R1149">
        <f>M1149+IF(MAX(N1149-1,0)&gt;0,IF(ISBLANK(O1149),5*MAX(N1149-1,0),IF(ISNUMBER(O1149),O1149*MAX(N1149-1,0),SUM(IFERROR(VALUE(TEXTSPLIT(O1149,",")),0)))),0)</f>
        <v/>
      </c>
      <c r="S1149">
        <f>IFERROR(L1149*MAX(N1149,1)/R1149*IF(ISBLANK(K1148),1,K1148),0)</f>
        <v/>
      </c>
      <c r="AB1149" s="7" t="inlineStr">
        <is>
          <t>^Warhead_Tesla_Super, ^Warhead_CannonHE_Heavy</t>
        </is>
      </c>
    </row>
    <row r="1150">
      <c r="B1150" s="7" t="inlineStr">
        <is>
          <t xml:space="preserve">  ↳ AsianSniper</t>
        </is>
      </c>
      <c r="C1150" s="7" t="inlineStr">
        <is>
          <t>Armament@PRIMARY</t>
        </is>
      </c>
      <c r="L1150" s="6" t="n">
        <v>30000</v>
      </c>
      <c r="M1150" s="6" t="n">
        <v>25</v>
      </c>
      <c r="N1150" s="6" t="n">
        <v>1</v>
      </c>
      <c r="O1150" s="6" t="n"/>
      <c r="P1150" s="6" t="n">
        <v>9455</v>
      </c>
      <c r="Q1150" s="6" t="n">
        <v>1.25</v>
      </c>
      <c r="R1150">
        <f>M1150+IF(MAX(N1150-1,0)&gt;0,IF(ISBLANK(O1150),5*MAX(N1150-1,0),IF(ISNUMBER(O1150),O1150*MAX(N1150-1,0),SUM(IFERROR(VALUE(TEXTSPLIT(O1150,",")),0)))),0)</f>
        <v/>
      </c>
      <c r="S1150">
        <f>IFERROR(L1150*MAX(N1150,1)/R1150*IF(ISBLANK(K1148),1,K1148),0)</f>
        <v/>
      </c>
      <c r="AB1150" s="7" t="inlineStr">
        <is>
          <t>^Warhead_CannonHE_Heavy</t>
        </is>
      </c>
    </row>
    <row r="1151">
      <c r="B1151" s="7" t="inlineStr">
        <is>
          <t xml:space="preserve">  ↳ AsianSniperAP</t>
        </is>
      </c>
      <c r="C1151" s="7" t="inlineStr">
        <is>
          <t>Armament@PRIMARYUPGRADE</t>
        </is>
      </c>
      <c r="L1151" s="6" t="n">
        <v>92000</v>
      </c>
      <c r="M1151" s="6" t="n">
        <v>50</v>
      </c>
      <c r="N1151" s="6" t="n">
        <v>1</v>
      </c>
      <c r="O1151" s="6" t="n"/>
      <c r="P1151" s="6" t="n">
        <v>9455</v>
      </c>
      <c r="Q1151" s="6" t="n">
        <v>1.25</v>
      </c>
      <c r="R1151">
        <f>M1151+IF(MAX(N1151-1,0)&gt;0,IF(ISBLANK(O1151),5*MAX(N1151-1,0),IF(ISNUMBER(O1151),O1151*MAX(N1151-1,0),SUM(IFERROR(VALUE(TEXTSPLIT(O1151,",")),0)))),0)</f>
        <v/>
      </c>
      <c r="S1151">
        <f>IFERROR(L1151*MAX(N1151,1)/R1151*IF(ISBLANK(K1148),1,K1148),0)</f>
        <v/>
      </c>
      <c r="AB1151" s="7" t="inlineStr">
        <is>
          <t>^Warhead_CannonHE_Heavy</t>
        </is>
      </c>
    </row>
    <row r="1152">
      <c r="B1152" s="7" t="inlineStr">
        <is>
          <t xml:space="preserve">  ↳ AsianSniper</t>
        </is>
      </c>
      <c r="C1152" s="7" t="inlineStr">
        <is>
          <t>Armament@GARRISONED</t>
        </is>
      </c>
      <c r="L1152" s="6" t="n">
        <v>30000</v>
      </c>
      <c r="M1152" s="6" t="n">
        <v>25</v>
      </c>
      <c r="N1152" s="6" t="n">
        <v>1</v>
      </c>
      <c r="O1152" s="6" t="n"/>
      <c r="P1152" s="6" t="n">
        <v>9455</v>
      </c>
      <c r="Q1152" s="6" t="n">
        <v>1.25</v>
      </c>
      <c r="R1152">
        <f>M1152+IF(MAX(N1152-1,0)&gt;0,IF(ISBLANK(O1152),5*MAX(N1152-1,0),IF(ISNUMBER(O1152),O1152*MAX(N1152-1,0),SUM(IFERROR(VALUE(TEXTSPLIT(O1152,",")),0)))),0)</f>
        <v/>
      </c>
      <c r="S1152">
        <f>IFERROR(L1152*MAX(N1152,1)/R1152*IF(ISBLANK(K1148),1,K1148),0)</f>
        <v/>
      </c>
      <c r="AB1152" s="7" t="inlineStr">
        <is>
          <t>^Warhead_CannonHE_Heavy</t>
        </is>
      </c>
    </row>
    <row r="1153">
      <c r="B1153" s="7" t="inlineStr">
        <is>
          <t xml:space="preserve">  ↳ AsianSniperAP</t>
        </is>
      </c>
      <c r="C1153" s="7" t="inlineStr">
        <is>
          <t>Armament@GARRISONEDUPGRADE</t>
        </is>
      </c>
      <c r="L1153" s="6" t="n">
        <v>92000</v>
      </c>
      <c r="M1153" s="6" t="n">
        <v>50</v>
      </c>
      <c r="N1153" s="6" t="n">
        <v>1</v>
      </c>
      <c r="O1153" s="6" t="n"/>
      <c r="P1153" s="6" t="n">
        <v>9455</v>
      </c>
      <c r="Q1153" s="6" t="n">
        <v>1.25</v>
      </c>
      <c r="R1153">
        <f>M1153+IF(MAX(N1153-1,0)&gt;0,IF(ISBLANK(O1153),5*MAX(N1153-1,0),IF(ISNUMBER(O1153),O1153*MAX(N1153-1,0),SUM(IFERROR(VALUE(TEXTSPLIT(O1153,",")),0)))),0)</f>
        <v/>
      </c>
      <c r="S1153">
        <f>IFERROR(L1153*MAX(N1153,1)/R1153*IF(ISBLANK(K1148),1,K1148),0)</f>
        <v/>
      </c>
      <c r="AB1153" s="7" t="inlineStr">
        <is>
          <t>^Warhead_CannonHE_Heavy</t>
        </is>
      </c>
    </row>
    <row r="1154">
      <c r="A1154" t="inlineStr">
        <is>
          <t>redalert2mod</t>
        </is>
      </c>
      <c r="B1154" t="inlineStr">
        <is>
          <t>steelconsortium_stalker</t>
        </is>
      </c>
      <c r="C1154" t="inlineStr">
        <is>
          <t>Stalker</t>
        </is>
      </c>
      <c r="D1154" s="6" t="inlineStr">
        <is>
          <t>HeroInfantry</t>
        </is>
      </c>
      <c r="E1154" s="6" t="n">
        <v>140000</v>
      </c>
      <c r="F1154" s="6" t="n">
        <v>80</v>
      </c>
      <c r="G1154" t="inlineStr">
        <is>
          <t>Heroic</t>
        </is>
      </c>
      <c r="H1154" s="6" t="n">
        <v>0.4783</v>
      </c>
      <c r="I1154" s="6" t="n">
        <v>1</v>
      </c>
      <c r="J1154" s="6" t="n">
        <v>1</v>
      </c>
      <c r="P1154">
        <f>MAX(P1155,P1156,P1157)</f>
        <v/>
      </c>
      <c r="S1154">
        <f>S1155+S1156+S1157</f>
        <v/>
      </c>
      <c r="T1154">
        <f>(E1154/100000+F1154/100+(P1154/1000)*J1154/5+S1154/200)*200*I1154*H1154</f>
        <v/>
      </c>
      <c r="U1154">
        <f>((E1154*F1154/25000)+((P1154/1000)*J1154*S1154/2.5))*I1154*H1154</f>
        <v/>
      </c>
      <c r="V1154">
        <f>(E1154*F1154*(P1154/1000)*J1154*S1154*I1154*H1154)/12500000</f>
        <v/>
      </c>
      <c r="W1154">
        <f>(T1154+U1154+V1154)/3</f>
        <v/>
      </c>
      <c r="X1154" s="6" t="n">
        <v>4000</v>
      </c>
      <c r="Y1154">
        <f>IFERROR(W1154-X1154,"")</f>
        <v/>
      </c>
      <c r="Z1154">
        <f>IFERROR(ABS(Y1154)/MAX(X1154,1),"")</f>
        <v/>
      </c>
      <c r="AA1154">
        <f>IFERROR((X1154-(((E1154/100000+F1154/100+S1154/200)*200*I1154*H1154)+((E1154*F1154/25000)*I1154*H1154))/3)/(((J1154/5)*200*I1154*H1154)+((J1154*S1154/2.5)*I1154*H1154)+((E1154*F1154*J1154*S1154*I1154*H1154)/12500000))/3*1000,"")</f>
        <v/>
      </c>
    </row>
    <row r="1155">
      <c r="B1155" s="7" t="inlineStr">
        <is>
          <t xml:space="preserve">  ↳ SteelStalkerRailgun</t>
        </is>
      </c>
      <c r="C1155" s="7" t="inlineStr">
        <is>
          <t>Armament</t>
        </is>
      </c>
      <c r="L1155" s="6" t="n">
        <v>120000</v>
      </c>
      <c r="M1155" s="6" t="n">
        <v>103</v>
      </c>
      <c r="N1155" s="6" t="n">
        <v>1</v>
      </c>
      <c r="O1155" s="6" t="n"/>
      <c r="P1155" s="6" t="n">
        <v>9000</v>
      </c>
      <c r="Q1155" s="6" t="n">
        <v>1</v>
      </c>
      <c r="R1155">
        <f>M1155+IF(MAX(N1155-1,0)&gt;0,IF(ISBLANK(O1155),5*MAX(N1155-1,0),IF(ISNUMBER(O1155),O1155*MAX(N1155-1,0),SUM(IFERROR(VALUE(TEXTSPLIT(O1155,",")),0)))),0)</f>
        <v/>
      </c>
      <c r="S1155">
        <f>IFERROR(L1155*MAX(N1155,1)/R1155*IF(ISBLANK(K1154),1,K1154),0)</f>
        <v/>
      </c>
      <c r="AB1155" s="7" t="inlineStr">
        <is>
          <t>^LaserWeapon, ^RailgunWeapon</t>
        </is>
      </c>
    </row>
    <row r="1156">
      <c r="B1156" s="7" t="inlineStr">
        <is>
          <t xml:space="preserve">  ↳ SteelStalkerRailgun_EMP</t>
        </is>
      </c>
      <c r="C1156" s="7" t="inlineStr">
        <is>
          <t>Armament@Upgrade</t>
        </is>
      </c>
      <c r="L1156" s="6" t="n">
        <v>120000</v>
      </c>
      <c r="M1156" s="6" t="n">
        <v>103</v>
      </c>
      <c r="N1156" s="6" t="n">
        <v>1</v>
      </c>
      <c r="O1156" s="6" t="n"/>
      <c r="P1156" s="6" t="n">
        <v>9000</v>
      </c>
      <c r="Q1156" s="6" t="n">
        <v>1.25</v>
      </c>
      <c r="R1156">
        <f>M1156+IF(MAX(N1156-1,0)&gt;0,IF(ISBLANK(O1156),5*MAX(N1156-1,0),IF(ISNUMBER(O1156),O1156*MAX(N1156-1,0),SUM(IFERROR(VALUE(TEXTSPLIT(O1156,",")),0)))),0)</f>
        <v/>
      </c>
      <c r="S1156">
        <f>IFERROR(L1156*MAX(N1156,1)/R1156*IF(ISBLANK(K1154),1,K1154),0)</f>
        <v/>
      </c>
      <c r="AB1156" s="7" t="inlineStr">
        <is>
          <t>^Warhead_Tesla_Heavy</t>
        </is>
      </c>
    </row>
    <row r="1157">
      <c r="B1157" s="7" t="inlineStr">
        <is>
          <t xml:space="preserve">  ↳ SteelStalkerRailgun_elite</t>
        </is>
      </c>
      <c r="C1157" s="7" t="inlineStr">
        <is>
          <t>Armament@elite</t>
        </is>
      </c>
      <c r="L1157" s="6" t="n">
        <v>180000</v>
      </c>
      <c r="M1157" s="6" t="n">
        <v>103</v>
      </c>
      <c r="N1157" s="6" t="n">
        <v>1</v>
      </c>
      <c r="O1157" s="6" t="n"/>
      <c r="P1157" s="6" t="n">
        <v>10000</v>
      </c>
      <c r="Q1157" s="6" t="n">
        <v>1.25</v>
      </c>
      <c r="R1157">
        <f>M1157+IF(MAX(N1157-1,0)&gt;0,IF(ISBLANK(O1157),5*MAX(N1157-1,0),IF(ISNUMBER(O1157),O1157*MAX(N1157-1,0),SUM(IFERROR(VALUE(TEXTSPLIT(O1157,",")),0)))),0)</f>
        <v/>
      </c>
      <c r="S1157">
        <f>IFERROR(L1157*MAX(N1157,1)/R1157*IF(ISBLANK(K1154),1,K1154),0)</f>
        <v/>
      </c>
      <c r="AB1157" s="7" t="inlineStr">
        <is>
          <t>^Warhead_Tesla_Heavy</t>
        </is>
      </c>
    </row>
    <row r="1158">
      <c r="A1158" t="inlineStr">
        <is>
          <t>redalert2mod</t>
        </is>
      </c>
      <c r="B1158" t="inlineStr">
        <is>
          <t>steelconsortium_steelrunner</t>
        </is>
      </c>
      <c r="C1158" t="inlineStr">
        <is>
          <t>Steel Runner</t>
        </is>
      </c>
      <c r="D1158" s="6" t="inlineStr">
        <is>
          <t>HeroInfantry</t>
        </is>
      </c>
      <c r="E1158" s="6" t="n">
        <v>60000</v>
      </c>
      <c r="F1158" s="6" t="n">
        <v>90</v>
      </c>
      <c r="G1158" t="inlineStr">
        <is>
          <t>Heroic</t>
        </is>
      </c>
      <c r="H1158" s="6" t="n">
        <v>0.75</v>
      </c>
      <c r="I1158" s="6" t="n">
        <v>1</v>
      </c>
      <c r="J1158" s="6" t="n">
        <v>1.25</v>
      </c>
      <c r="P1158">
        <f>MAX(P1159,P1160,P1163,P1164)</f>
        <v/>
      </c>
      <c r="S1158">
        <f>S1159+S1160+S1163+S1164</f>
        <v/>
      </c>
      <c r="T1158">
        <f>(E1158/100000+F1158/100+(P1158/1000)*J1158/5+S1158/200)*200*I1158*H1158</f>
        <v/>
      </c>
      <c r="U1158">
        <f>((E1158*F1158/25000)+((P1158/1000)*J1158*S1158/2.5))*I1158*H1158</f>
        <v/>
      </c>
      <c r="V1158">
        <f>(E1158*F1158*(P1158/1000)*J1158*S1158*I1158*H1158)/12500000</f>
        <v/>
      </c>
      <c r="W1158">
        <f>(T1158+U1158+V1158)/3</f>
        <v/>
      </c>
      <c r="X1158" s="6" t="n">
        <v>3000</v>
      </c>
      <c r="Y1158">
        <f>IFERROR(W1158-X1158,"")</f>
        <v/>
      </c>
      <c r="Z1158">
        <f>IFERROR(ABS(Y1158)/MAX(X1158,1),"")</f>
        <v/>
      </c>
      <c r="AA1158">
        <f>IFERROR((X1158-(((E1158/100000+F1158/100+S1158/200)*200*I1158*H1158)+((E1158*F1158/25000)*I1158*H1158))/3)/(((J1158/5)*200*I1158*H1158)+((J1158*S1158/2.5)*I1158*H1158)+((E1158*F1158*J1158*S1158*I1158*H1158)/12500000))/3*1000,"")</f>
        <v/>
      </c>
    </row>
    <row r="1159">
      <c r="B1159" s="7" t="inlineStr">
        <is>
          <t xml:space="preserve">  ↳ SteelRunnerPistols</t>
        </is>
      </c>
      <c r="C1159" s="7" t="inlineStr">
        <is>
          <t>Armament@PRIMARY</t>
        </is>
      </c>
      <c r="L1159" s="6" t="n">
        <v>12000</v>
      </c>
      <c r="M1159" s="6" t="n">
        <v>8</v>
      </c>
      <c r="N1159" s="6" t="n">
        <v>2</v>
      </c>
      <c r="O1159" s="6" t="n">
        <v>4</v>
      </c>
      <c r="P1159" s="6" t="n">
        <v>6200</v>
      </c>
      <c r="Q1159" s="6" t="n">
        <v>1</v>
      </c>
      <c r="R1159">
        <f>M1159+IF(MAX(N1159-1,0)&gt;0,IF(ISBLANK(O1159),5*MAX(N1159-1,0),IF(ISNUMBER(O1159),O1159*MAX(N1159-1,0),SUM(IFERROR(VALUE(TEXTSPLIT(O1159,",")),0)))),0)</f>
        <v/>
      </c>
      <c r="S1159">
        <f>IFERROR(L1159*MAX(N1159,1)/R1159*IF(ISBLANK(K1158),1,K1158),0)</f>
        <v/>
      </c>
      <c r="AB1159" s="7" t="inlineStr">
        <is>
          <t>^TeslaWeapon, ^LaserWeapon, ^RailgunWeapon</t>
        </is>
      </c>
    </row>
    <row r="1160">
      <c r="B1160" s="7" t="inlineStr">
        <is>
          <t xml:space="preserve">  ↳ SteelRunnerPistols_elite</t>
        </is>
      </c>
      <c r="C1160" s="7" t="inlineStr">
        <is>
          <t>Armament@ELITE</t>
        </is>
      </c>
      <c r="L1160" s="6" t="n">
        <v>12000</v>
      </c>
      <c r="M1160" s="6" t="n">
        <v>8</v>
      </c>
      <c r="N1160" s="6" t="n">
        <v>4</v>
      </c>
      <c r="O1160" s="6" t="n">
        <v>4</v>
      </c>
      <c r="P1160" s="6" t="n">
        <v>7200</v>
      </c>
      <c r="Q1160" s="6" t="n">
        <v>1</v>
      </c>
      <c r="R1160">
        <f>M1160+IF(MAX(N1160-1,0)&gt;0,IF(ISBLANK(O1160),5*MAX(N1160-1,0),IF(ISNUMBER(O1160),O1160*MAX(N1160-1,0),SUM(IFERROR(VALUE(TEXTSPLIT(O1160,",")),0)))),0)</f>
        <v/>
      </c>
      <c r="S1160">
        <f>IFERROR(L1160*MAX(N1160,1)/R1160*IF(ISBLANK(K1158),1,K1158),0)</f>
        <v/>
      </c>
      <c r="AB1160" s="7" t="inlineStr">
        <is>
          <t>SteelRunnerPistols</t>
        </is>
      </c>
    </row>
    <row r="1161">
      <c r="B1161" s="7" t="inlineStr">
        <is>
          <t xml:space="preserve">  ↳ SteelRunnerPistols</t>
        </is>
      </c>
      <c r="C1161" s="7" t="inlineStr">
        <is>
          <t>Armament@GARRISONED</t>
        </is>
      </c>
      <c r="L1161" s="6" t="n">
        <v>12000</v>
      </c>
      <c r="M1161" s="6" t="n">
        <v>8</v>
      </c>
      <c r="N1161" s="6" t="n">
        <v>2</v>
      </c>
      <c r="O1161" s="6" t="n">
        <v>4</v>
      </c>
      <c r="P1161" s="6" t="n">
        <v>6200</v>
      </c>
      <c r="Q1161" s="6" t="n">
        <v>1</v>
      </c>
      <c r="R1161">
        <f>M1161+IF(MAX(N1161-1,0)&gt;0,IF(ISBLANK(O1161),5*MAX(N1161-1,0),IF(ISNUMBER(O1161),O1161*MAX(N1161-1,0),SUM(IFERROR(VALUE(TEXTSPLIT(O1161,",")),0)))),0)</f>
        <v/>
      </c>
      <c r="S1161">
        <f>IFERROR(L1161*MAX(N1161,1)/R1161*IF(ISBLANK(K1158),1,K1158),0)</f>
        <v/>
      </c>
      <c r="AB1161" s="7" t="inlineStr">
        <is>
          <t>^TeslaWeapon, ^LaserWeapon, ^RailgunWeapon</t>
        </is>
      </c>
    </row>
    <row r="1162">
      <c r="B1162" s="7" t="inlineStr">
        <is>
          <t xml:space="preserve">  ↳ SteelRunnerPistols_elite</t>
        </is>
      </c>
      <c r="C1162" s="7" t="inlineStr">
        <is>
          <t>Armament@GARRISONEDELITE</t>
        </is>
      </c>
      <c r="L1162" s="6" t="n">
        <v>12000</v>
      </c>
      <c r="M1162" s="6" t="n">
        <v>8</v>
      </c>
      <c r="N1162" s="6" t="n">
        <v>4</v>
      </c>
      <c r="O1162" s="6" t="n">
        <v>4</v>
      </c>
      <c r="P1162" s="6" t="n">
        <v>7200</v>
      </c>
      <c r="Q1162" s="6" t="n">
        <v>1</v>
      </c>
      <c r="R1162">
        <f>M1162+IF(MAX(N1162-1,0)&gt;0,IF(ISBLANK(O1162),5*MAX(N1162-1,0),IF(ISNUMBER(O1162),O1162*MAX(N1162-1,0),SUM(IFERROR(VALUE(TEXTSPLIT(O1162,",")),0)))),0)</f>
        <v/>
      </c>
      <c r="S1162">
        <f>IFERROR(L1162*MAX(N1162,1)/R1162*IF(ISBLANK(K1158),1,K1158),0)</f>
        <v/>
      </c>
      <c r="AB1162" s="7" t="inlineStr">
        <is>
          <t>SteelRunnerPistols</t>
        </is>
      </c>
    </row>
    <row r="1163">
      <c r="B1163" s="7" t="inlineStr">
        <is>
          <t xml:space="preserve">  ↳ SteelRunnerPistolsResonance</t>
        </is>
      </c>
      <c r="C1163" s="7" t="inlineStr">
        <is>
          <t>Armament@UpgradePRIMARY</t>
        </is>
      </c>
      <c r="L1163" s="6" t="n">
        <v>12000</v>
      </c>
      <c r="M1163" s="6" t="n">
        <v>8</v>
      </c>
      <c r="N1163" s="6" t="n">
        <v>2</v>
      </c>
      <c r="O1163" s="6" t="n">
        <v>4</v>
      </c>
      <c r="P1163" s="6" t="n">
        <v>6200</v>
      </c>
      <c r="Q1163" s="6" t="n">
        <v>1</v>
      </c>
      <c r="R1163">
        <f>M1163+IF(MAX(N1163-1,0)&gt;0,IF(ISBLANK(O1163),5*MAX(N1163-1,0),IF(ISNUMBER(O1163),O1163*MAX(N1163-1,0),SUM(IFERROR(VALUE(TEXTSPLIT(O1163,",")),0)))),0)</f>
        <v/>
      </c>
      <c r="S1163">
        <f>IFERROR(L1163*MAX(N1163,1)/R1163*IF(ISBLANK(K1158),1,K1158),0)</f>
        <v/>
      </c>
      <c r="AB1163" s="7" t="inlineStr">
        <is>
          <t>SteelRunnerPistols</t>
        </is>
      </c>
    </row>
    <row r="1164">
      <c r="B1164" s="7" t="inlineStr">
        <is>
          <t xml:space="preserve">  ↳ SteelRunnerPistolsResonance_elite</t>
        </is>
      </c>
      <c r="C1164" s="7" t="inlineStr">
        <is>
          <t>Armament@UpgradeELITE</t>
        </is>
      </c>
      <c r="L1164" s="6" t="n">
        <v>12000</v>
      </c>
      <c r="M1164" s="6" t="n">
        <v>8</v>
      </c>
      <c r="N1164" s="6" t="n">
        <v>4</v>
      </c>
      <c r="O1164" s="6" t="n">
        <v>4</v>
      </c>
      <c r="P1164" s="6" t="n">
        <v>7200</v>
      </c>
      <c r="Q1164" s="6" t="n">
        <v>1</v>
      </c>
      <c r="R1164">
        <f>M1164+IF(MAX(N1164-1,0)&gt;0,IF(ISBLANK(O1164),5*MAX(N1164-1,0),IF(ISNUMBER(O1164),O1164*MAX(N1164-1,0),SUM(IFERROR(VALUE(TEXTSPLIT(O1164,",")),0)))),0)</f>
        <v/>
      </c>
      <c r="S1164">
        <f>IFERROR(L1164*MAX(N1164,1)/R1164*IF(ISBLANK(K1158),1,K1158),0)</f>
        <v/>
      </c>
      <c r="AB1164" s="7" t="inlineStr">
        <is>
          <t>SteelRunnerPistols_elite</t>
        </is>
      </c>
    </row>
    <row r="1165">
      <c r="B1165" s="7" t="inlineStr">
        <is>
          <t xml:space="preserve">  ↳ SteelRunnerPistolsResonance</t>
        </is>
      </c>
      <c r="C1165" s="7" t="inlineStr">
        <is>
          <t>Armament@UpgradeGARRISONED</t>
        </is>
      </c>
      <c r="L1165" s="6" t="n">
        <v>12000</v>
      </c>
      <c r="M1165" s="6" t="n">
        <v>8</v>
      </c>
      <c r="N1165" s="6" t="n">
        <v>2</v>
      </c>
      <c r="O1165" s="6" t="n">
        <v>4</v>
      </c>
      <c r="P1165" s="6" t="n">
        <v>6200</v>
      </c>
      <c r="Q1165" s="6" t="n">
        <v>1</v>
      </c>
      <c r="R1165">
        <f>M1165+IF(MAX(N1165-1,0)&gt;0,IF(ISBLANK(O1165),5*MAX(N1165-1,0),IF(ISNUMBER(O1165),O1165*MAX(N1165-1,0),SUM(IFERROR(VALUE(TEXTSPLIT(O1165,",")),0)))),0)</f>
        <v/>
      </c>
      <c r="S1165">
        <f>IFERROR(L1165*MAX(N1165,1)/R1165*IF(ISBLANK(K1158),1,K1158),0)</f>
        <v/>
      </c>
      <c r="AB1165" s="7" t="inlineStr">
        <is>
          <t>SteelRunnerPistols</t>
        </is>
      </c>
    </row>
    <row r="1166">
      <c r="B1166" s="7" t="inlineStr">
        <is>
          <t xml:space="preserve">  ↳ SteelRunnerPistolsResonance_elite</t>
        </is>
      </c>
      <c r="C1166" s="7" t="inlineStr">
        <is>
          <t>Armament@UpgradeGARRISONEDELITE</t>
        </is>
      </c>
      <c r="L1166" s="6" t="n">
        <v>12000</v>
      </c>
      <c r="M1166" s="6" t="n">
        <v>8</v>
      </c>
      <c r="N1166" s="6" t="n">
        <v>4</v>
      </c>
      <c r="O1166" s="6" t="n">
        <v>4</v>
      </c>
      <c r="P1166" s="6" t="n">
        <v>7200</v>
      </c>
      <c r="Q1166" s="6" t="n">
        <v>1</v>
      </c>
      <c r="R1166">
        <f>M1166+IF(MAX(N1166-1,0)&gt;0,IF(ISBLANK(O1166),5*MAX(N1166-1,0),IF(ISNUMBER(O1166),O1166*MAX(N1166-1,0),SUM(IFERROR(VALUE(TEXTSPLIT(O1166,",")),0)))),0)</f>
        <v/>
      </c>
      <c r="S1166">
        <f>IFERROR(L1166*MAX(N1166,1)/R1166*IF(ISBLANK(K1158),1,K1158),0)</f>
        <v/>
      </c>
      <c r="AB1166" s="7" t="inlineStr">
        <is>
          <t>SteelRunnerPistols_elite</t>
        </is>
      </c>
    </row>
    <row r="1167">
      <c r="A1167" t="inlineStr">
        <is>
          <t>redalert2mod</t>
        </is>
      </c>
      <c r="B1167" t="inlineStr">
        <is>
          <t>steelconsortium_whiterabbit</t>
        </is>
      </c>
      <c r="C1167" t="inlineStr">
        <is>
          <t>White Rabbit</t>
        </is>
      </c>
      <c r="D1167" s="6" t="inlineStr">
        <is>
          <t>HeroInfantry</t>
        </is>
      </c>
      <c r="E1167" s="6" t="n">
        <v>150000</v>
      </c>
      <c r="F1167" s="6" t="n">
        <v>50</v>
      </c>
      <c r="G1167" t="inlineStr">
        <is>
          <t>Heroic</t>
        </is>
      </c>
      <c r="H1167" s="6" t="n">
        <v>0.75</v>
      </c>
      <c r="I1167" s="6" t="n">
        <v>1</v>
      </c>
      <c r="J1167" s="6" t="n">
        <v>1.25</v>
      </c>
      <c r="P1167">
        <f>MAX(P1168)</f>
        <v/>
      </c>
      <c r="S1167">
        <f>S1168</f>
        <v/>
      </c>
      <c r="T1167">
        <f>(E1167/100000+F1167/100+(P1167/1000)*J1167/5+S1167/200)*200*I1167*H1167</f>
        <v/>
      </c>
      <c r="U1167">
        <f>((E1167*F1167/25000)+((P1167/1000)*J1167*S1167/2.5))*I1167*H1167</f>
        <v/>
      </c>
      <c r="V1167">
        <f>(E1167*F1167*(P1167/1000)*J1167*S1167*I1167*H1167)/12500000</f>
        <v/>
      </c>
      <c r="W1167">
        <f>(T1167+U1167+V1167)/3</f>
        <v/>
      </c>
      <c r="X1167" s="6" t="n">
        <v>4500</v>
      </c>
      <c r="Y1167">
        <f>IFERROR(W1167-X1167,"")</f>
        <v/>
      </c>
      <c r="Z1167">
        <f>IFERROR(ABS(Y1167)/MAX(X1167,1),"")</f>
        <v/>
      </c>
      <c r="AA1167">
        <f>IFERROR((X1167-(((E1167/100000+F1167/100+S1167/200)*200*I1167*H1167)+((E1167*F1167/25000)*I1167*H1167))/3)/(((J1167/5)*200*I1167*H1167)+((J1167*S1167/2.5)*I1167*H1167)+((E1167*F1167*J1167*S1167*I1167*H1167)/12500000))/3*1000,"")</f>
        <v/>
      </c>
    </row>
    <row r="1168">
      <c r="B1168" s="7" t="inlineStr">
        <is>
          <t xml:space="preserve">  ↳ WhiteRabbitGatling</t>
        </is>
      </c>
      <c r="C1168" s="7" t="inlineStr">
        <is>
          <t>Armament@1</t>
        </is>
      </c>
      <c r="L1168" s="6" t="n">
        <v>20000</v>
      </c>
      <c r="M1168" s="6" t="n">
        <v>10</v>
      </c>
      <c r="N1168" s="6" t="n">
        <v>1</v>
      </c>
      <c r="O1168" s="6" t="n"/>
      <c r="P1168" s="6" t="n">
        <v>6000</v>
      </c>
      <c r="Q1168" s="6" t="n">
        <v>1</v>
      </c>
      <c r="R1168">
        <f>M1168+IF(MAX(N1168-1,0)&gt;0,IF(ISBLANK(O1168),5*MAX(N1168-1,0),IF(ISNUMBER(O1168),O1168*MAX(N1168-1,0),SUM(IFERROR(VALUE(TEXTSPLIT(O1168,",")),0)))),0)</f>
        <v/>
      </c>
      <c r="S1168">
        <f>IFERROR(L1168*MAX(N1168,1)/R1168*IF(ISBLANK(K1167),1,K1167),0)</f>
        <v/>
      </c>
      <c r="AB1168" s="7" t="inlineStr">
        <is>
          <t>^Warhead_Bullet_Medium</t>
        </is>
      </c>
    </row>
    <row r="1169">
      <c r="A1169" t="inlineStr">
        <is>
          <t>redalert2mod</t>
        </is>
      </c>
      <c r="B1169" t="inlineStr">
        <is>
          <t>latinsyndicate_freedomfighter</t>
        </is>
      </c>
      <c r="C1169" t="inlineStr">
        <is>
          <t>Freedom Fighter</t>
        </is>
      </c>
      <c r="D1169" s="6" t="inlineStr">
        <is>
          <t>HeroInfantry</t>
        </is>
      </c>
      <c r="E1169" s="6" t="n">
        <v>77000</v>
      </c>
      <c r="F1169" s="6" t="n">
        <v>55</v>
      </c>
      <c r="G1169" t="inlineStr">
        <is>
          <t>Heroic</t>
        </is>
      </c>
      <c r="H1169" s="6" t="n">
        <v>0.75</v>
      </c>
      <c r="I1169" s="6" t="n">
        <v>1</v>
      </c>
      <c r="J1169" s="6" t="n">
        <v>1</v>
      </c>
      <c r="K1169" t="n">
        <v>0.005</v>
      </c>
      <c r="P1169">
        <f>MAX(P1170,P1171,P1172,P1173)</f>
        <v/>
      </c>
      <c r="S1169">
        <f>S1170+S1171+S1172+S1173</f>
        <v/>
      </c>
      <c r="T1169">
        <f>(E1169/100000+F1169/100+(P1169/1000)*J1169/5+S1169/200)*200*I1169*H1169</f>
        <v/>
      </c>
      <c r="U1169">
        <f>((E1169*F1169/25000)+((P1169/1000)*J1169*S1169/2.5))*I1169*H1169</f>
        <v/>
      </c>
      <c r="V1169">
        <f>(E1169*F1169*(P1169/1000)*J1169*S1169*I1169*H1169)/12500000</f>
        <v/>
      </c>
      <c r="W1169">
        <f>(T1169+U1169+V1169)/3</f>
        <v/>
      </c>
      <c r="X1169" s="6" t="n">
        <v>3000</v>
      </c>
      <c r="Y1169">
        <f>IFERROR(W1169-X1169,"")</f>
        <v/>
      </c>
      <c r="Z1169">
        <f>IFERROR(ABS(Y1169)/MAX(X1169,1),"")</f>
        <v/>
      </c>
      <c r="AA1169">
        <f>IFERROR((X1169-(((E1169/100000+F1169/100+S1169/200)*200*I1169*H1169)+((E1169*F1169/25000)*I1169*H1169))/3)/(((J1169/5)*200*I1169*H1169)+((J1169*S1169/2.5)*I1169*H1169)+((E1169*F1169*J1169*S1169*I1169*H1169)/12500000))/3*1000,"")</f>
        <v/>
      </c>
    </row>
    <row r="1170">
      <c r="B1170" s="7" t="inlineStr">
        <is>
          <t xml:space="preserve">  ↳ RA2FreedomAK47</t>
        </is>
      </c>
      <c r="C1170" s="7" t="inlineStr">
        <is>
          <t>Armament@PRIMARY</t>
        </is>
      </c>
      <c r="L1170" s="6" t="n">
        <v>18000</v>
      </c>
      <c r="M1170" s="6" t="n">
        <v>42</v>
      </c>
      <c r="N1170" s="6" t="n">
        <v>5</v>
      </c>
      <c r="O1170" s="6" t="n">
        <v>2</v>
      </c>
      <c r="P1170" s="6" t="n">
        <v>7130</v>
      </c>
      <c r="Q1170" s="6" t="n">
        <v>1.25</v>
      </c>
      <c r="R1170">
        <f>M1170+IF(MAX(N1170-1,0)&gt;0,IF(ISBLANK(O1170),5*MAX(N1170-1,0),IF(ISNUMBER(O1170),O1170*MAX(N1170-1,0),SUM(IFERROR(VALUE(TEXTSPLIT(O1170,",")),0)))),0)</f>
        <v/>
      </c>
      <c r="S1170">
        <f>IFERROR(L1170*MAX(N1170,1)/R1170*IF(ISBLANK(K1169),1,K1169),0)</f>
        <v/>
      </c>
      <c r="AB1170" s="7" t="inlineStr">
        <is>
          <t>^Warhead_CannonHE_Heavy</t>
        </is>
      </c>
    </row>
    <row r="1171">
      <c r="B1171" s="7" t="inlineStr">
        <is>
          <t xml:space="preserve">  ↳ RA2FreedomAK47_elite</t>
        </is>
      </c>
      <c r="C1171" s="7" t="inlineStr">
        <is>
          <t>Armament@ELITE</t>
        </is>
      </c>
      <c r="L1171" s="6" t="n">
        <v>18000</v>
      </c>
      <c r="M1171" s="6" t="n">
        <v>42</v>
      </c>
      <c r="N1171" s="6" t="n">
        <v>10</v>
      </c>
      <c r="O1171" s="6" t="n">
        <v>1</v>
      </c>
      <c r="P1171" s="6" t="n">
        <v>8130</v>
      </c>
      <c r="Q1171" s="6" t="n">
        <v>1.25</v>
      </c>
      <c r="R1171">
        <f>M1171+IF(MAX(N1171-1,0)&gt;0,IF(ISBLANK(O1171),5*MAX(N1171-1,0),IF(ISNUMBER(O1171),O1171*MAX(N1171-1,0),SUM(IFERROR(VALUE(TEXTSPLIT(O1171,",")),0)))),0)</f>
        <v/>
      </c>
      <c r="S1171">
        <f>IFERROR(L1171*MAX(N1171,1)/R1171*IF(ISBLANK(K1169),1,K1169),0)</f>
        <v/>
      </c>
      <c r="AB1171" s="7" t="inlineStr">
        <is>
          <t>^Warhead_CannonHE_Heavy</t>
        </is>
      </c>
    </row>
    <row r="1172">
      <c r="B1172" s="7" t="inlineStr">
        <is>
          <t xml:space="preserve">  ↳ RA2FreedomRocket</t>
        </is>
      </c>
      <c r="C1172" s="7" t="inlineStr">
        <is>
          <t>Armament@ROCKET</t>
        </is>
      </c>
      <c r="L1172" s="6" t="n">
        <v>180000</v>
      </c>
      <c r="M1172" s="6" t="n">
        <v>100</v>
      </c>
      <c r="N1172" s="6" t="n">
        <v>1</v>
      </c>
      <c r="O1172" s="6" t="n"/>
      <c r="P1172" s="6" t="n">
        <v>7130</v>
      </c>
      <c r="Q1172" s="6" t="n">
        <v>1</v>
      </c>
      <c r="R1172">
        <f>M1172+IF(MAX(N1172-1,0)&gt;0,IF(ISBLANK(O1172),5*MAX(N1172-1,0),IF(ISNUMBER(O1172),O1172*MAX(N1172-1,0),SUM(IFERROR(VALUE(TEXTSPLIT(O1172,",")),0)))),0)</f>
        <v/>
      </c>
      <c r="S1172">
        <f>IFERROR(L1172*MAX(N1172,1)/R1172*IF(ISBLANK(K1169),1,K1169),0)</f>
        <v/>
      </c>
      <c r="AB1172" s="7" t="inlineStr">
        <is>
          <t>^Warhead_MissileAP_Medium</t>
        </is>
      </c>
    </row>
    <row r="1173">
      <c r="B1173" s="7" t="inlineStr">
        <is>
          <t xml:space="preserve">  ↳ RA2FreedomRocket_elite</t>
        </is>
      </c>
      <c r="C1173" s="7" t="inlineStr">
        <is>
          <t>Armament@ROCKETELITE</t>
        </is>
      </c>
      <c r="L1173" s="6" t="n">
        <v>360000</v>
      </c>
      <c r="M1173" s="6" t="n">
        <v>100</v>
      </c>
      <c r="N1173" s="6" t="n">
        <v>1</v>
      </c>
      <c r="O1173" s="6" t="n"/>
      <c r="P1173" s="6" t="n">
        <v>8130</v>
      </c>
      <c r="Q1173" s="6" t="n">
        <v>1</v>
      </c>
      <c r="R1173">
        <f>M1173+IF(MAX(N1173-1,0)&gt;0,IF(ISBLANK(O1173),5*MAX(N1173-1,0),IF(ISNUMBER(O1173),O1173*MAX(N1173-1,0),SUM(IFERROR(VALUE(TEXTSPLIT(O1173,",")),0)))),0)</f>
        <v/>
      </c>
      <c r="S1173">
        <f>IFERROR(L1173*MAX(N1173,1)/R1173*IF(ISBLANK(K1169),1,K1169),0)</f>
        <v/>
      </c>
      <c r="AB1173" s="7" t="inlineStr">
        <is>
          <t>^Warhead_MissileAP_Medium</t>
        </is>
      </c>
    </row>
    <row r="1174">
      <c r="B1174" s="7" t="inlineStr">
        <is>
          <t xml:space="preserve">  ↳ RA2FreedomAK47</t>
        </is>
      </c>
      <c r="C1174" s="7" t="inlineStr">
        <is>
          <t>Armament@GARRISONED</t>
        </is>
      </c>
      <c r="L1174" s="6" t="n">
        <v>18000</v>
      </c>
      <c r="M1174" s="6" t="n">
        <v>42</v>
      </c>
      <c r="N1174" s="6" t="n">
        <v>5</v>
      </c>
      <c r="O1174" s="6" t="n">
        <v>2</v>
      </c>
      <c r="P1174" s="6" t="n">
        <v>7130</v>
      </c>
      <c r="Q1174" s="6" t="n">
        <v>1.25</v>
      </c>
      <c r="R1174">
        <f>M1174+IF(MAX(N1174-1,0)&gt;0,IF(ISBLANK(O1174),5*MAX(N1174-1,0),IF(ISNUMBER(O1174),O1174*MAX(N1174-1,0),SUM(IFERROR(VALUE(TEXTSPLIT(O1174,",")),0)))),0)</f>
        <v/>
      </c>
      <c r="S1174">
        <f>IFERROR(L1174*MAX(N1174,1)/R1174*IF(ISBLANK(K1169),1,K1169),0)</f>
        <v/>
      </c>
      <c r="AB1174" s="7" t="inlineStr">
        <is>
          <t>^Warhead_CannonHE_Heavy</t>
        </is>
      </c>
    </row>
    <row r="1175">
      <c r="B1175" s="7" t="inlineStr">
        <is>
          <t xml:space="preserve">  ↳ RA2FreedomAK47_elite</t>
        </is>
      </c>
      <c r="C1175" s="7" t="inlineStr">
        <is>
          <t>Armament@GARRISONEDELITE</t>
        </is>
      </c>
      <c r="L1175" s="6" t="n">
        <v>18000</v>
      </c>
      <c r="M1175" s="6" t="n">
        <v>42</v>
      </c>
      <c r="N1175" s="6" t="n">
        <v>10</v>
      </c>
      <c r="O1175" s="6" t="n">
        <v>1</v>
      </c>
      <c r="P1175" s="6" t="n">
        <v>8130</v>
      </c>
      <c r="Q1175" s="6" t="n">
        <v>1.25</v>
      </c>
      <c r="R1175">
        <f>M1175+IF(MAX(N1175-1,0)&gt;0,IF(ISBLANK(O1175),5*MAX(N1175-1,0),IF(ISNUMBER(O1175),O1175*MAX(N1175-1,0),SUM(IFERROR(VALUE(TEXTSPLIT(O1175,",")),0)))),0)</f>
        <v/>
      </c>
      <c r="S1175">
        <f>IFERROR(L1175*MAX(N1175,1)/R1175*IF(ISBLANK(K1169),1,K1169),0)</f>
        <v/>
      </c>
      <c r="AB1175" s="7" t="inlineStr">
        <is>
          <t>^Warhead_CannonHE_Heavy</t>
        </is>
      </c>
    </row>
    <row r="1176">
      <c r="B1176" s="7" t="inlineStr">
        <is>
          <t xml:space="preserve">  ↳ RA2FreedomRocket</t>
        </is>
      </c>
      <c r="C1176" s="7" t="inlineStr">
        <is>
          <t>Armament@RocketGARRISONED</t>
        </is>
      </c>
      <c r="L1176" s="6" t="n">
        <v>180000</v>
      </c>
      <c r="M1176" s="6" t="n">
        <v>100</v>
      </c>
      <c r="N1176" s="6" t="n">
        <v>1</v>
      </c>
      <c r="O1176" s="6" t="n"/>
      <c r="P1176" s="6" t="n">
        <v>7130</v>
      </c>
      <c r="Q1176" s="6" t="n">
        <v>1</v>
      </c>
      <c r="R1176">
        <f>M1176+IF(MAX(N1176-1,0)&gt;0,IF(ISBLANK(O1176),5*MAX(N1176-1,0),IF(ISNUMBER(O1176),O1176*MAX(N1176-1,0),SUM(IFERROR(VALUE(TEXTSPLIT(O1176,",")),0)))),0)</f>
        <v/>
      </c>
      <c r="S1176">
        <f>IFERROR(L1176*MAX(N1176,1)/R1176*IF(ISBLANK(K1169),1,K1169),0)</f>
        <v/>
      </c>
      <c r="AB1176" s="7" t="inlineStr">
        <is>
          <t>^Warhead_MissileAP_Medium</t>
        </is>
      </c>
    </row>
    <row r="1177">
      <c r="B1177" s="7" t="inlineStr">
        <is>
          <t xml:space="preserve">  ↳ RA2FreedomRocket_elite</t>
        </is>
      </c>
      <c r="C1177" s="7" t="inlineStr">
        <is>
          <t>Armament@RocketGARRISONEDELITE</t>
        </is>
      </c>
      <c r="L1177" s="6" t="n">
        <v>360000</v>
      </c>
      <c r="M1177" s="6" t="n">
        <v>100</v>
      </c>
      <c r="N1177" s="6" t="n">
        <v>1</v>
      </c>
      <c r="O1177" s="6" t="n"/>
      <c r="P1177" s="6" t="n">
        <v>8130</v>
      </c>
      <c r="Q1177" s="6" t="n">
        <v>1</v>
      </c>
      <c r="R1177">
        <f>M1177+IF(MAX(N1177-1,0)&gt;0,IF(ISBLANK(O1177),5*MAX(N1177-1,0),IF(ISNUMBER(O1177),O1177*MAX(N1177-1,0),SUM(IFERROR(VALUE(TEXTSPLIT(O1177,",")),0)))),0)</f>
        <v/>
      </c>
      <c r="S1177">
        <f>IFERROR(L1177*MAX(N1177,1)/R1177*IF(ISBLANK(K1169),1,K1169),0)</f>
        <v/>
      </c>
      <c r="AB1177" s="7" t="inlineStr">
        <is>
          <t>^Warhead_MissileAP_Medium</t>
        </is>
      </c>
    </row>
    <row r="1178">
      <c r="A1178" t="inlineStr">
        <is>
          <t>redalert2mod</t>
        </is>
      </c>
      <c r="B1178" t="inlineStr">
        <is>
          <t>schwarzermond_parzival</t>
        </is>
      </c>
      <c r="C1178" t="inlineStr">
        <is>
          <t>Parzival</t>
        </is>
      </c>
      <c r="D1178" s="6" t="inlineStr">
        <is>
          <t>HeroInfantry</t>
        </is>
      </c>
      <c r="E1178" s="6" t="n">
        <v>120000</v>
      </c>
      <c r="F1178" s="6" t="n">
        <v>60</v>
      </c>
      <c r="G1178" t="inlineStr">
        <is>
          <t>Heroic</t>
        </is>
      </c>
      <c r="H1178" s="6" t="n">
        <v>0.75</v>
      </c>
      <c r="I1178" s="6" t="n">
        <v>1</v>
      </c>
      <c r="J1178" s="6" t="n">
        <v>1.25</v>
      </c>
      <c r="P1178">
        <f>MAX(P1179,P1180)</f>
        <v/>
      </c>
      <c r="S1178">
        <f>S1179+S1180</f>
        <v/>
      </c>
      <c r="T1178">
        <f>(E1178/100000+F1178/100+(P1178/1000)*J1178/5+S1178/200)*200*I1178*H1178</f>
        <v/>
      </c>
      <c r="U1178">
        <f>((E1178*F1178/25000)+((P1178/1000)*J1178*S1178/2.5))*I1178*H1178</f>
        <v/>
      </c>
      <c r="V1178">
        <f>(E1178*F1178*(P1178/1000)*J1178*S1178*I1178*H1178)/12500000</f>
        <v/>
      </c>
      <c r="W1178">
        <f>(T1178+U1178+V1178)/3</f>
        <v/>
      </c>
      <c r="X1178" s="6" t="n">
        <v>3000</v>
      </c>
      <c r="Y1178">
        <f>IFERROR(W1178-X1178,"")</f>
        <v/>
      </c>
      <c r="Z1178">
        <f>IFERROR(ABS(Y1178)/MAX(X1178,1),"")</f>
        <v/>
      </c>
      <c r="AA1178">
        <f>IFERROR((X1178-(((E1178/100000+F1178/100+S1178/200)*200*I1178*H1178)+((E1178*F1178/25000)*I1178*H1178))/3)/(((J1178/5)*200*I1178*H1178)+((J1178*S1178/2.5)*I1178*H1178)+((E1178*F1178*J1178*S1178*I1178*H1178)/12500000))/3*1000,"")</f>
        <v/>
      </c>
    </row>
    <row r="1179">
      <c r="B1179" s="7" t="inlineStr">
        <is>
          <t xml:space="preserve">  ↳ BlackHoleMaker</t>
        </is>
      </c>
      <c r="C1179" s="7" t="inlineStr">
        <is>
          <t>Armament@PRIMARY</t>
        </is>
      </c>
      <c r="L1179" s="6" t="n">
        <v>60000</v>
      </c>
      <c r="M1179" s="6" t="n">
        <v>60</v>
      </c>
      <c r="N1179" s="6" t="n">
        <v>1</v>
      </c>
      <c r="O1179" s="6" t="n"/>
      <c r="P1179" s="6" t="n">
        <v>6414</v>
      </c>
      <c r="Q1179" s="6" t="n">
        <v>1.25</v>
      </c>
      <c r="R1179">
        <f>M1179+IF(MAX(N1179-1,0)&gt;0,IF(ISBLANK(O1179),5*MAX(N1179-1,0),IF(ISNUMBER(O1179),O1179*MAX(N1179-1,0),SUM(IFERROR(VALUE(TEXTSPLIT(O1179,",")),0)))),0)</f>
        <v/>
      </c>
      <c r="S1179">
        <f>IFERROR(L1179*MAX(N1179,1)/R1179*IF(ISBLANK(K1178),1,K1178),0)</f>
        <v/>
      </c>
      <c r="AB1179" s="7" t="inlineStr">
        <is>
          <t>^Warhead_Laser_Heavy</t>
        </is>
      </c>
    </row>
    <row r="1180">
      <c r="B1180" s="7" t="inlineStr">
        <is>
          <t xml:space="preserve">  ↳ BlackHoleMaker_elite</t>
        </is>
      </c>
      <c r="C1180" s="7" t="inlineStr">
        <is>
          <t>Armament@ELITE</t>
        </is>
      </c>
      <c r="L1180" s="6" t="n">
        <v>60000</v>
      </c>
      <c r="M1180" s="6" t="n">
        <v>60</v>
      </c>
      <c r="N1180" s="6" t="n">
        <v>2</v>
      </c>
      <c r="O1180" s="6" t="n">
        <v>3</v>
      </c>
      <c r="P1180" s="6" t="n">
        <v>7414</v>
      </c>
      <c r="Q1180" s="6" t="n">
        <v>1.25</v>
      </c>
      <c r="R1180">
        <f>M1180+IF(MAX(N1180-1,0)&gt;0,IF(ISBLANK(O1180),5*MAX(N1180-1,0),IF(ISNUMBER(O1180),O1180*MAX(N1180-1,0),SUM(IFERROR(VALUE(TEXTSPLIT(O1180,",")),0)))),0)</f>
        <v/>
      </c>
      <c r="S1180">
        <f>IFERROR(L1180*MAX(N1180,1)/R1180*IF(ISBLANK(K1178),1,K1178),0)</f>
        <v/>
      </c>
      <c r="AB1180" s="7" t="inlineStr">
        <is>
          <t>^Warhead_Laser_Heavy</t>
        </is>
      </c>
    </row>
    <row r="1181">
      <c r="B1181" s="7" t="inlineStr">
        <is>
          <t xml:space="preserve">  ↳ BlackHoleMaker</t>
        </is>
      </c>
      <c r="C1181" s="7" t="inlineStr">
        <is>
          <t>Armament@GARRISONED</t>
        </is>
      </c>
      <c r="L1181" s="6" t="n">
        <v>60000</v>
      </c>
      <c r="M1181" s="6" t="n">
        <v>60</v>
      </c>
      <c r="N1181" s="6" t="n">
        <v>1</v>
      </c>
      <c r="O1181" s="6" t="n"/>
      <c r="P1181" s="6" t="n">
        <v>6414</v>
      </c>
      <c r="Q1181" s="6" t="n">
        <v>1.25</v>
      </c>
      <c r="R1181">
        <f>M1181+IF(MAX(N1181-1,0)&gt;0,IF(ISBLANK(O1181),5*MAX(N1181-1,0),IF(ISNUMBER(O1181),O1181*MAX(N1181-1,0),SUM(IFERROR(VALUE(TEXTSPLIT(O1181,",")),0)))),0)</f>
        <v/>
      </c>
      <c r="S1181">
        <f>IFERROR(L1181*MAX(N1181,1)/R1181*IF(ISBLANK(K1178),1,K1178),0)</f>
        <v/>
      </c>
      <c r="AB1181" s="7" t="inlineStr">
        <is>
          <t>^Warhead_Laser_Heavy</t>
        </is>
      </c>
    </row>
    <row r="1182">
      <c r="B1182" s="7" t="inlineStr">
        <is>
          <t xml:space="preserve">  ↳ BlackHoleMaker_elite</t>
        </is>
      </c>
      <c r="C1182" s="7" t="inlineStr">
        <is>
          <t>Armament@GARRISONEDELITE</t>
        </is>
      </c>
      <c r="L1182" s="6" t="n">
        <v>60000</v>
      </c>
      <c r="M1182" s="6" t="n">
        <v>60</v>
      </c>
      <c r="N1182" s="6" t="n">
        <v>2</v>
      </c>
      <c r="O1182" s="6" t="n">
        <v>3</v>
      </c>
      <c r="P1182" s="6" t="n">
        <v>7414</v>
      </c>
      <c r="Q1182" s="6" t="n">
        <v>1.25</v>
      </c>
      <c r="R1182">
        <f>M1182+IF(MAX(N1182-1,0)&gt;0,IF(ISBLANK(O1182),5*MAX(N1182-1,0),IF(ISNUMBER(O1182),O1182*MAX(N1182-1,0),SUM(IFERROR(VALUE(TEXTSPLIT(O1182,",")),0)))),0)</f>
        <v/>
      </c>
      <c r="S1182">
        <f>IFERROR(L1182*MAX(N1182,1)/R1182*IF(ISBLANK(K1178),1,K1178),0)</f>
        <v/>
      </c>
      <c r="AB1182" s="7" t="inlineStr">
        <is>
          <t>^Warhead_Laser_Heavy</t>
        </is>
      </c>
    </row>
    <row r="1183">
      <c r="A1183" t="inlineStr">
        <is>
          <t>redalert2mod</t>
        </is>
      </c>
      <c r="B1183" t="inlineStr">
        <is>
          <t>futuretech_cryolegionnaire</t>
        </is>
      </c>
      <c r="C1183" t="inlineStr">
        <is>
          <t>Cryo Legionnaire</t>
        </is>
      </c>
      <c r="D1183" s="6" t="inlineStr">
        <is>
          <t>HeroInfantry</t>
        </is>
      </c>
      <c r="E1183" s="6" t="n">
        <v>360000</v>
      </c>
      <c r="F1183" s="6" t="n">
        <v>75</v>
      </c>
      <c r="G1183" t="inlineStr">
        <is>
          <t>Heroic</t>
        </is>
      </c>
      <c r="H1183" s="6" t="n">
        <v>0.2941</v>
      </c>
      <c r="I1183" s="6" t="n">
        <v>1</v>
      </c>
      <c r="J1183" s="6" t="n">
        <v>1</v>
      </c>
      <c r="K1183" t="n">
        <v>0.005</v>
      </c>
      <c r="P1183">
        <f>MAX(P1184)</f>
        <v/>
      </c>
      <c r="S1183">
        <f>S1184</f>
        <v/>
      </c>
      <c r="T1183">
        <f>(E1183/100000+F1183/100+(P1183/1000)*J1183/5+S1183/200)*200*I1183*H1183</f>
        <v/>
      </c>
      <c r="U1183">
        <f>((E1183*F1183/25000)+((P1183/1000)*J1183*S1183/2.5))*I1183*H1183</f>
        <v/>
      </c>
      <c r="V1183">
        <f>(E1183*F1183*(P1183/1000)*J1183*S1183*I1183*H1183)/12500000</f>
        <v/>
      </c>
      <c r="W1183">
        <f>(T1183+U1183+V1183)/3</f>
        <v/>
      </c>
      <c r="X1183" s="6" t="n">
        <v>3500</v>
      </c>
      <c r="Y1183">
        <f>IFERROR(W1183-X1183,"")</f>
        <v/>
      </c>
      <c r="Z1183">
        <f>IFERROR(ABS(Y1183)/MAX(X1183,1),"")</f>
        <v/>
      </c>
      <c r="AA1183">
        <f>IFERROR((X1183-(((E1183/100000+F1183/100+S1183/200)*200*I1183*H1183)+((E1183*F1183/25000)*I1183*H1183))/3)/(((J1183/5)*200*I1183*H1183)+((J1183*S1183/2.5)*I1183*H1183)+((E1183*F1183*J1183*S1183*I1183*H1183)/12500000))/3*1000,"")</f>
        <v/>
      </c>
    </row>
    <row r="1184">
      <c r="B1184" s="7" t="inlineStr">
        <is>
          <t xml:space="preserve">  ↳ CryoLegionnaireAttack</t>
        </is>
      </c>
      <c r="C1184" s="7" t="inlineStr">
        <is>
          <t>Armament@PRIMARY</t>
        </is>
      </c>
      <c r="L1184" s="6" t="n">
        <v>12000</v>
      </c>
      <c r="M1184" s="6" t="n">
        <v>30</v>
      </c>
      <c r="N1184" s="6" t="n">
        <v>1</v>
      </c>
      <c r="O1184" s="6" t="n"/>
      <c r="P1184" s="6" t="n">
        <v>7000</v>
      </c>
      <c r="Q1184" s="6" t="n">
        <v>1</v>
      </c>
      <c r="R1184">
        <f>M1184+IF(MAX(N1184-1,0)&gt;0,IF(ISBLANK(O1184),5*MAX(N1184-1,0),IF(ISNUMBER(O1184),O1184*MAX(N1184-1,0),SUM(IFERROR(VALUE(TEXTSPLIT(O1184,",")),0)))),0)</f>
        <v/>
      </c>
      <c r="S1184">
        <f>IFERROR(L1184*MAX(N1184,1)/R1184*IF(ISBLANK(K1183),1,K1183),0)</f>
        <v/>
      </c>
      <c r="AB1184" s="7" t="inlineStr">
        <is>
          <t>^LightMissile, ^SmallArms, ^Chaingun, ^FlakWeapon, ^TeslaWeapon, ^LaserWeapon</t>
        </is>
      </c>
    </row>
    <row r="1185">
      <c r="B1185" s="7" t="inlineStr">
        <is>
          <t xml:space="preserve">  ↳ CryoLegionnaireAttack</t>
        </is>
      </c>
      <c r="C1185" s="7" t="inlineStr">
        <is>
          <t>Armament@GARRISONED</t>
        </is>
      </c>
      <c r="L1185" s="6" t="n">
        <v>12000</v>
      </c>
      <c r="M1185" s="6" t="n">
        <v>30</v>
      </c>
      <c r="N1185" s="6" t="n">
        <v>1</v>
      </c>
      <c r="O1185" s="6" t="n"/>
      <c r="P1185" s="6" t="n">
        <v>7000</v>
      </c>
      <c r="Q1185" s="6" t="n">
        <v>1</v>
      </c>
      <c r="R1185">
        <f>M1185+IF(MAX(N1185-1,0)&gt;0,IF(ISBLANK(O1185),5*MAX(N1185-1,0),IF(ISNUMBER(O1185),O1185*MAX(N1185-1,0),SUM(IFERROR(VALUE(TEXTSPLIT(O1185,",")),0)))),0)</f>
        <v/>
      </c>
      <c r="S1185">
        <f>IFERROR(L1185*MAX(N1185,1)/R1185*IF(ISBLANK(K1183),1,K1183),0)</f>
        <v/>
      </c>
      <c r="AB1185" s="7" t="inlineStr">
        <is>
          <t>^LightMissile, ^SmallArms, ^Chaingun, ^FlakWeapon, ^TeslaWeapon, ^LaserWeapon</t>
        </is>
      </c>
    </row>
    <row r="1186">
      <c r="A1186" t="inlineStr">
        <is>
          <t>redalert2mod</t>
        </is>
      </c>
      <c r="B1186" t="inlineStr">
        <is>
          <t>tkm_von</t>
        </is>
      </c>
      <c r="C1186" t="inlineStr">
        <is>
          <t>Von</t>
        </is>
      </c>
      <c r="D1186" s="6" t="inlineStr">
        <is>
          <t>HeroInfantry</t>
        </is>
      </c>
      <c r="E1186" s="6" t="n">
        <v>50000</v>
      </c>
      <c r="F1186" s="6" t="n">
        <v>75</v>
      </c>
      <c r="G1186" t="inlineStr">
        <is>
          <t>Heroic</t>
        </is>
      </c>
      <c r="H1186" s="6" t="n">
        <v>0.75</v>
      </c>
      <c r="I1186" s="6" t="n">
        <v>1</v>
      </c>
      <c r="J1186" s="6" t="n">
        <v>1.25</v>
      </c>
      <c r="P1186">
        <f>MAX(P1187,P1188,P1189)</f>
        <v/>
      </c>
      <c r="S1186">
        <f>S1187+S1188+S1189</f>
        <v/>
      </c>
      <c r="T1186">
        <f>(E1186/100000+F1186/100+(P1186/1000)*J1186/5+S1186/200)*200*I1186*H1186</f>
        <v/>
      </c>
      <c r="U1186">
        <f>((E1186*F1186/25000)+((P1186/1000)*J1186*S1186/2.5))*I1186*H1186</f>
        <v/>
      </c>
      <c r="V1186">
        <f>(E1186*F1186*(P1186/1000)*J1186*S1186*I1186*H1186)/12500000</f>
        <v/>
      </c>
      <c r="W1186">
        <f>(T1186+U1186+V1186)/3</f>
        <v/>
      </c>
      <c r="X1186" s="6" t="n">
        <v>3000</v>
      </c>
      <c r="Y1186">
        <f>IFERROR(W1186-X1186,"")</f>
        <v/>
      </c>
      <c r="Z1186">
        <f>IFERROR(ABS(Y1186)/MAX(X1186,1),"")</f>
        <v/>
      </c>
      <c r="AA1186">
        <f>IFERROR((X1186-(((E1186/100000+F1186/100+S1186/200)*200*I1186*H1186)+((E1186*F1186/25000)*I1186*H1186))/3)/(((J1186/5)*200*I1186*H1186)+((J1186*S1186/2.5)*I1186*H1186)+((E1186*F1186*J1186*S1186*I1186*H1186)/12500000))/3*1000,"")</f>
        <v/>
      </c>
    </row>
    <row r="1187">
      <c r="B1187" s="7" t="inlineStr">
        <is>
          <t xml:space="preserve">  ↳ VonSniperLockdown</t>
        </is>
      </c>
      <c r="C1187" s="7" t="inlineStr">
        <is>
          <t>Armament@lockdown</t>
        </is>
      </c>
      <c r="L1187" s="6" t="n">
        <v>204000</v>
      </c>
      <c r="M1187" s="6" t="n">
        <v>100</v>
      </c>
      <c r="N1187" s="6" t="n">
        <v>1</v>
      </c>
      <c r="O1187" s="6" t="n"/>
      <c r="P1187" s="6" t="n">
        <v>7879</v>
      </c>
      <c r="Q1187" s="6" t="n">
        <v>1.25</v>
      </c>
      <c r="R1187">
        <f>M1187+IF(MAX(N1187-1,0)&gt;0,IF(ISBLANK(O1187),5*MAX(N1187-1,0),IF(ISNUMBER(O1187),O1187*MAX(N1187-1,0),SUM(IFERROR(VALUE(TEXTSPLIT(O1187,",")),0)))),0)</f>
        <v/>
      </c>
      <c r="S1187">
        <f>IFERROR(L1187*MAX(N1187,1)/R1187*IF(ISBLANK(K1186),1,K1186),0)</f>
        <v/>
      </c>
      <c r="AB1187" s="7" t="inlineStr">
        <is>
          <t>^Warhead_Tesla_Super, ^Warhead_CannonHE_Heavy</t>
        </is>
      </c>
    </row>
    <row r="1188">
      <c r="B1188" s="7" t="inlineStr">
        <is>
          <t xml:space="preserve">  ↳ VonSniper</t>
        </is>
      </c>
      <c r="C1188" s="7" t="inlineStr">
        <is>
          <t>Armament@PRIMARY</t>
        </is>
      </c>
      <c r="L1188" s="6" t="n">
        <v>30000</v>
      </c>
      <c r="M1188" s="6" t="n">
        <v>25</v>
      </c>
      <c r="N1188" s="6" t="n">
        <v>1</v>
      </c>
      <c r="O1188" s="6" t="n"/>
      <c r="P1188" s="6" t="n">
        <v>7879</v>
      </c>
      <c r="Q1188" s="6" t="n">
        <v>1.25</v>
      </c>
      <c r="R1188">
        <f>M1188+IF(MAX(N1188-1,0)&gt;0,IF(ISBLANK(O1188),5*MAX(N1188-1,0),IF(ISNUMBER(O1188),O1188*MAX(N1188-1,0),SUM(IFERROR(VALUE(TEXTSPLIT(O1188,",")),0)))),0)</f>
        <v/>
      </c>
      <c r="S1188">
        <f>IFERROR(L1188*MAX(N1188,1)/R1188*IF(ISBLANK(K1186),1,K1186),0)</f>
        <v/>
      </c>
      <c r="AB1188" s="7" t="inlineStr">
        <is>
          <t>^Warhead_CannonHE_Heavy</t>
        </is>
      </c>
    </row>
    <row r="1189">
      <c r="B1189" s="7" t="inlineStr">
        <is>
          <t xml:space="preserve">  ↳ VonSniperAP</t>
        </is>
      </c>
      <c r="C1189" s="7" t="inlineStr">
        <is>
          <t>Armament@PRIMARYUPGRADE</t>
        </is>
      </c>
      <c r="L1189" s="6" t="n">
        <v>92000</v>
      </c>
      <c r="M1189" s="6" t="n">
        <v>50</v>
      </c>
      <c r="N1189" s="6" t="n">
        <v>1</v>
      </c>
      <c r="O1189" s="6" t="n"/>
      <c r="P1189" s="6" t="n">
        <v>7879</v>
      </c>
      <c r="Q1189" s="6" t="n">
        <v>1.25</v>
      </c>
      <c r="R1189">
        <f>M1189+IF(MAX(N1189-1,0)&gt;0,IF(ISBLANK(O1189),5*MAX(N1189-1,0),IF(ISNUMBER(O1189),O1189*MAX(N1189-1,0),SUM(IFERROR(VALUE(TEXTSPLIT(O1189,",")),0)))),0)</f>
        <v/>
      </c>
      <c r="S1189">
        <f>IFERROR(L1189*MAX(N1189,1)/R1189*IF(ISBLANK(K1186),1,K1186),0)</f>
        <v/>
      </c>
      <c r="AB1189" s="7" t="inlineStr">
        <is>
          <t>^Warhead_CannonHE_Heavy</t>
        </is>
      </c>
    </row>
    <row r="1190">
      <c r="B1190" s="7" t="inlineStr">
        <is>
          <t xml:space="preserve">  ↳ VonSniper</t>
        </is>
      </c>
      <c r="C1190" s="7" t="inlineStr">
        <is>
          <t>Armament@GARRISONED</t>
        </is>
      </c>
      <c r="L1190" s="6" t="n">
        <v>30000</v>
      </c>
      <c r="M1190" s="6" t="n">
        <v>25</v>
      </c>
      <c r="N1190" s="6" t="n">
        <v>1</v>
      </c>
      <c r="O1190" s="6" t="n"/>
      <c r="P1190" s="6" t="n">
        <v>7879</v>
      </c>
      <c r="Q1190" s="6" t="n">
        <v>1.25</v>
      </c>
      <c r="R1190">
        <f>M1190+IF(MAX(N1190-1,0)&gt;0,IF(ISBLANK(O1190),5*MAX(N1190-1,0),IF(ISNUMBER(O1190),O1190*MAX(N1190-1,0),SUM(IFERROR(VALUE(TEXTSPLIT(O1190,",")),0)))),0)</f>
        <v/>
      </c>
      <c r="S1190">
        <f>IFERROR(L1190*MAX(N1190,1)/R1190*IF(ISBLANK(K1186),1,K1186),0)</f>
        <v/>
      </c>
      <c r="AB1190" s="7" t="inlineStr">
        <is>
          <t>^Warhead_CannonHE_Heavy</t>
        </is>
      </c>
    </row>
    <row r="1191">
      <c r="B1191" s="7" t="inlineStr">
        <is>
          <t xml:space="preserve">  ↳ VonSniperAP</t>
        </is>
      </c>
      <c r="C1191" s="7" t="inlineStr">
        <is>
          <t>Armament@GARRISONEDUPGRADE</t>
        </is>
      </c>
      <c r="L1191" s="6" t="n">
        <v>92000</v>
      </c>
      <c r="M1191" s="6" t="n">
        <v>50</v>
      </c>
      <c r="N1191" s="6" t="n">
        <v>1</v>
      </c>
      <c r="O1191" s="6" t="n"/>
      <c r="P1191" s="6" t="n">
        <v>7879</v>
      </c>
      <c r="Q1191" s="6" t="n">
        <v>1.25</v>
      </c>
      <c r="R1191">
        <f>M1191+IF(MAX(N1191-1,0)&gt;0,IF(ISBLANK(O1191),5*MAX(N1191-1,0),IF(ISNUMBER(O1191),O1191*MAX(N1191-1,0),SUM(IFERROR(VALUE(TEXTSPLIT(O1191,",")),0)))),0)</f>
        <v/>
      </c>
      <c r="S1191">
        <f>IFERROR(L1191*MAX(N1191,1)/R1191*IF(ISBLANK(K1186),1,K1186),0)</f>
        <v/>
      </c>
      <c r="AB1191" s="7" t="inlineStr">
        <is>
          <t>^Warhead_CannonHE_Heavy</t>
        </is>
      </c>
    </row>
    <row r="1192">
      <c r="A1192" t="inlineStr">
        <is>
          <t>redalert2mod</t>
        </is>
      </c>
      <c r="B1192" t="inlineStr">
        <is>
          <t>tkmvan</t>
        </is>
      </c>
      <c r="C1192" t="inlineStr">
        <is>
          <t>Van</t>
        </is>
      </c>
      <c r="D1192" s="6" t="inlineStr">
        <is>
          <t>HeroInfantry</t>
        </is>
      </c>
      <c r="E1192" s="6" t="n">
        <v>40000</v>
      </c>
      <c r="F1192" s="6" t="n">
        <v>75</v>
      </c>
      <c r="G1192" t="inlineStr">
        <is>
          <t>Heroic</t>
        </is>
      </c>
      <c r="H1192" s="6" t="n">
        <v>1</v>
      </c>
      <c r="I1192" s="6" t="n">
        <v>1</v>
      </c>
      <c r="J1192" s="6" t="n">
        <v>1</v>
      </c>
      <c r="P1192">
        <f>MAX(P1193)</f>
        <v/>
      </c>
      <c r="S1192">
        <f>S1193</f>
        <v/>
      </c>
      <c r="T1192">
        <f>(E1192/100000+F1192/100+(P1192/1000)*J1192/5+S1192/200)*200*I1192*H1192</f>
        <v/>
      </c>
      <c r="U1192">
        <f>((E1192*F1192/25000)+((P1192/1000)*J1192*S1192/2.5))*I1192*H1192</f>
        <v/>
      </c>
      <c r="V1192">
        <f>(E1192*F1192*(P1192/1000)*J1192*S1192*I1192*H1192)/12500000</f>
        <v/>
      </c>
      <c r="W1192">
        <f>(T1192+U1192+V1192)/3</f>
        <v/>
      </c>
      <c r="X1192" s="6" t="n">
        <v>3500</v>
      </c>
      <c r="Y1192">
        <f>IFERROR(W1192-X1192,"")</f>
        <v/>
      </c>
      <c r="Z1192">
        <f>IFERROR(ABS(Y1192)/MAX(X1192,1),"")</f>
        <v/>
      </c>
      <c r="AA1192">
        <f>IFERROR((X1192-(((E1192/100000+F1192/100+S1192/200)*200*I1192*H1192)+((E1192*F1192/25000)*I1192*H1192))/3)/(((J1192/5)*200*I1192*H1192)+((J1192*S1192/2.5)*I1192*H1192)+((E1192*F1192*J1192*S1192*I1192*H1192)/12500000))/3*1000,"")</f>
        <v/>
      </c>
    </row>
    <row r="1193">
      <c r="B1193" s="7" t="inlineStr">
        <is>
          <t xml:space="preserve">  ↳ VanSniper</t>
        </is>
      </c>
      <c r="C1193" s="7" t="inlineStr">
        <is>
          <t>Armament@PRIMARY</t>
        </is>
      </c>
      <c r="L1193" s="6" t="n">
        <v>80000</v>
      </c>
      <c r="M1193" s="6" t="n">
        <v>30</v>
      </c>
      <c r="N1193" s="6" t="n">
        <v>1</v>
      </c>
      <c r="O1193" s="6" t="n"/>
      <c r="P1193" s="6" t="n">
        <v>12402</v>
      </c>
      <c r="Q1193" s="6" t="n">
        <v>0.75</v>
      </c>
      <c r="R1193">
        <f>M1193+IF(MAX(N1193-1,0)&gt;0,IF(ISBLANK(O1193),5*MAX(N1193-1,0),IF(ISNUMBER(O1193),O1193*MAX(N1193-1,0),SUM(IFERROR(VALUE(TEXTSPLIT(O1193,",")),0)))),0)</f>
        <v/>
      </c>
      <c r="S1193">
        <f>IFERROR(L1193*MAX(N1193,1)/R1193*IF(ISBLANK(K1192),1,K1192),0)</f>
        <v/>
      </c>
      <c r="AB1193" s="7" t="inlineStr">
        <is>
          <t>^Warhead_Sniper_Light</t>
        </is>
      </c>
    </row>
    <row r="1194">
      <c r="B1194" s="7" t="inlineStr">
        <is>
          <t xml:space="preserve">  ↳ VanSniper</t>
        </is>
      </c>
      <c r="C1194" s="7" t="inlineStr">
        <is>
          <t>Armament@GARRISONED</t>
        </is>
      </c>
      <c r="L1194" s="6" t="n">
        <v>80000</v>
      </c>
      <c r="M1194" s="6" t="n">
        <v>30</v>
      </c>
      <c r="N1194" s="6" t="n">
        <v>1</v>
      </c>
      <c r="O1194" s="6" t="n"/>
      <c r="P1194" s="6" t="n">
        <v>12402</v>
      </c>
      <c r="Q1194" s="6" t="n">
        <v>0.75</v>
      </c>
      <c r="R1194">
        <f>M1194+IF(MAX(N1194-1,0)&gt;0,IF(ISBLANK(O1194),5*MAX(N1194-1,0),IF(ISNUMBER(O1194),O1194*MAX(N1194-1,0),SUM(IFERROR(VALUE(TEXTSPLIT(O1194,",")),0)))),0)</f>
        <v/>
      </c>
      <c r="S1194">
        <f>IFERROR(L1194*MAX(N1194,1)/R1194*IF(ISBLANK(K1192),1,K1192),0)</f>
        <v/>
      </c>
      <c r="AB1194" s="7" t="inlineStr">
        <is>
          <t>^Warhead_Sniper_Light</t>
        </is>
      </c>
    </row>
    <row r="1195">
      <c r="A1195" t="inlineStr">
        <is>
          <t>d2k</t>
        </is>
      </c>
      <c r="B1195" t="inlineStr">
        <is>
          <t>ordos_facedancer</t>
        </is>
      </c>
      <c r="C1195" t="inlineStr">
        <is>
          <t>Face Dancer</t>
        </is>
      </c>
      <c r="D1195" s="6" t="inlineStr">
        <is>
          <t>HeroInfantry</t>
        </is>
      </c>
      <c r="E1195" s="6" t="n">
        <v>90000</v>
      </c>
      <c r="F1195" s="6" t="n">
        <v>75</v>
      </c>
      <c r="G1195" t="inlineStr">
        <is>
          <t>Heroic</t>
        </is>
      </c>
      <c r="H1195" s="6" t="n">
        <v>0.75</v>
      </c>
      <c r="I1195" s="6" t="n">
        <v>1</v>
      </c>
      <c r="J1195" s="6" t="n">
        <v>1.25</v>
      </c>
      <c r="P1195">
        <f>MAX(P1196)</f>
        <v/>
      </c>
      <c r="S1195">
        <f>S1196</f>
        <v/>
      </c>
      <c r="T1195">
        <f>(E1195/100000+F1195/100+(P1195/1000)*J1195/5+S1195/200)*200*I1195*H1195</f>
        <v/>
      </c>
      <c r="U1195">
        <f>((E1195*F1195/25000)+((P1195/1000)*J1195*S1195/2.5))*I1195*H1195</f>
        <v/>
      </c>
      <c r="V1195">
        <f>(E1195*F1195*(P1195/1000)*J1195*S1195*I1195*H1195)/12500000</f>
        <v/>
      </c>
      <c r="W1195">
        <f>(T1195+U1195+V1195)/3</f>
        <v/>
      </c>
      <c r="X1195" s="6" t="n">
        <v>5000</v>
      </c>
      <c r="Y1195">
        <f>IFERROR(W1195-X1195,"")</f>
        <v/>
      </c>
      <c r="Z1195">
        <f>IFERROR(ABS(Y1195)/MAX(X1195,1),"")</f>
        <v/>
      </c>
      <c r="AA1195">
        <f>IFERROR((X1195-(((E1195/100000+F1195/100+S1195/200)*200*I1195*H1195)+((E1195*F1195/25000)*I1195*H1195))/3)/(((J1195/5)*200*I1195*H1195)+((J1195*S1195/2.5)*I1195*H1195)+((E1195*F1195*J1195*S1195*I1195*H1195)/12500000))/3*1000,"")</f>
        <v/>
      </c>
    </row>
    <row r="1196">
      <c r="B1196" s="7" t="inlineStr">
        <is>
          <t xml:space="preserve">  ↳ facedancer_grenade</t>
        </is>
      </c>
      <c r="C1196" s="7" t="inlineStr">
        <is>
          <t>Armament</t>
        </is>
      </c>
      <c r="L1196" s="6" t="n">
        <v>180000</v>
      </c>
      <c r="M1196" s="6" t="n">
        <v>90</v>
      </c>
      <c r="N1196" s="6" t="n">
        <v>1</v>
      </c>
      <c r="O1196" s="6" t="n"/>
      <c r="P1196" s="6" t="n">
        <v>7250</v>
      </c>
      <c r="Q1196" s="6" t="n">
        <v>1.25</v>
      </c>
      <c r="R1196">
        <f>M1196+IF(MAX(N1196-1,0)&gt;0,IF(ISBLANK(O1196),5*MAX(N1196-1,0),IF(ISNUMBER(O1196),O1196*MAX(N1196-1,0),SUM(IFERROR(VALUE(TEXTSPLIT(O1196,",")),0)))),0)</f>
        <v/>
      </c>
      <c r="S1196">
        <f>IFERROR(L1196*MAX(N1196,1)/R1196*IF(ISBLANK(K1195),1,K1195),0)</f>
        <v/>
      </c>
      <c r="AB1196" s="7" t="inlineStr">
        <is>
          <t>^Warhead_CannonHE_Heavy, ^Warhead_MissileAP_Heavy</t>
        </is>
      </c>
    </row>
    <row r="1197">
      <c r="B1197" s="7" t="inlineStr">
        <is>
          <t xml:space="preserve">  ↳ facedancer_grenade</t>
        </is>
      </c>
      <c r="C1197" s="7" t="inlineStr">
        <is>
          <t>Armament@GARRISONED</t>
        </is>
      </c>
      <c r="L1197" s="6" t="n">
        <v>180000</v>
      </c>
      <c r="M1197" s="6" t="n">
        <v>90</v>
      </c>
      <c r="N1197" s="6" t="n">
        <v>1</v>
      </c>
      <c r="O1197" s="6" t="n"/>
      <c r="P1197" s="6" t="n">
        <v>7250</v>
      </c>
      <c r="Q1197" s="6" t="n">
        <v>1.25</v>
      </c>
      <c r="R1197">
        <f>M1197+IF(MAX(N1197-1,0)&gt;0,IF(ISBLANK(O1197),5*MAX(N1197-1,0),IF(ISNUMBER(O1197),O1197*MAX(N1197-1,0),SUM(IFERROR(VALUE(TEXTSPLIT(O1197,",")),0)))),0)</f>
        <v/>
      </c>
      <c r="S1197">
        <f>IFERROR(L1197*MAX(N1197,1)/R1197*IF(ISBLANK(K1195),1,K1195),0)</f>
        <v/>
      </c>
      <c r="AB1197" s="7" t="inlineStr">
        <is>
          <t>^Warhead_CannonHE_Heavy, ^Warhead_MissileAP_Heavy</t>
        </is>
      </c>
    </row>
    <row r="1198">
      <c r="A1198" t="inlineStr">
        <is>
          <t>starcraft</t>
        </is>
      </c>
      <c r="B1198" t="inlineStr">
        <is>
          <t>protoss_patriarch</t>
        </is>
      </c>
      <c r="C1198" t="inlineStr">
        <is>
          <t>Patriarch</t>
        </is>
      </c>
      <c r="D1198" s="6" t="inlineStr">
        <is>
          <t>HeroInfantry</t>
        </is>
      </c>
      <c r="E1198" s="6" t="n">
        <v>75000</v>
      </c>
      <c r="F1198" s="6" t="n">
        <v>75</v>
      </c>
      <c r="G1198" t="inlineStr">
        <is>
          <t>Heroic</t>
        </is>
      </c>
      <c r="H1198" s="6" t="n">
        <v>0.7674</v>
      </c>
      <c r="I1198" s="6" t="n">
        <v>1</v>
      </c>
      <c r="J1198" s="6" t="n">
        <v>1</v>
      </c>
      <c r="P1198">
        <f>MAX(P1199)</f>
        <v/>
      </c>
      <c r="S1198">
        <f>S1199</f>
        <v/>
      </c>
      <c r="T1198">
        <f>(E1198/100000+F1198/100+(P1198/1000)*J1198/5+S1198/200)*200*I1198*H1198</f>
        <v/>
      </c>
      <c r="U1198">
        <f>((E1198*F1198/25000)+((P1198/1000)*J1198*S1198/2.5))*I1198*H1198</f>
        <v/>
      </c>
      <c r="V1198">
        <f>(E1198*F1198*(P1198/1000)*J1198*S1198*I1198*H1198)/12500000</f>
        <v/>
      </c>
      <c r="W1198">
        <f>(T1198+U1198+V1198)/3</f>
        <v/>
      </c>
      <c r="X1198" s="6" t="n">
        <v>4000</v>
      </c>
      <c r="Y1198">
        <f>IFERROR(W1198-X1198,"")</f>
        <v/>
      </c>
      <c r="Z1198">
        <f>IFERROR(ABS(Y1198)/MAX(X1198,1),"")</f>
        <v/>
      </c>
      <c r="AA1198">
        <f>IFERROR((X1198-(((E1198/100000+F1198/100+S1198/200)*200*I1198*H1198)+((E1198*F1198/25000)*I1198*H1198))/3)/(((J1198/5)*200*I1198*H1198)+((J1198*S1198/2.5)*I1198*H1198)+((E1198*F1198*J1198*S1198*I1198*H1198)/12500000))/3*1000,"")</f>
        <v/>
      </c>
    </row>
    <row r="1199">
      <c r="B1199" s="7" t="inlineStr">
        <is>
          <t xml:space="preserve">  ↳ PatriarchShoot</t>
        </is>
      </c>
      <c r="C1199" s="7" t="inlineStr">
        <is>
          <t>Armament</t>
        </is>
      </c>
      <c r="L1199" s="6" t="n">
        <v>12000</v>
      </c>
      <c r="M1199" s="6" t="n">
        <v>75</v>
      </c>
      <c r="N1199" s="6" t="n">
        <v>2</v>
      </c>
      <c r="O1199" s="6" t="n">
        <v>0</v>
      </c>
      <c r="P1199" s="6" t="n">
        <v>5000</v>
      </c>
      <c r="Q1199" s="6" t="n">
        <v>1</v>
      </c>
      <c r="R1199">
        <f>M1199+IF(MAX(N1199-1,0)&gt;0,IF(ISBLANK(O1199),5*MAX(N1199-1,0),IF(ISNUMBER(O1199),O1199*MAX(N1199-1,0),SUM(IFERROR(VALUE(TEXTSPLIT(O1199,",")),0)))),0)</f>
        <v/>
      </c>
      <c r="S1199">
        <f>IFERROR(L1199*MAX(N1199,1)/R1199*IF(ISBLANK(K1198),1,K1198),0)</f>
        <v/>
      </c>
      <c r="AB1199" s="7" t="inlineStr">
        <is>
          <t>^Grenade, ^ShrapnelWeapon, ^HeavyBomb, ^MediumMissile, ^Chaingun, ^FlakWeapon</t>
        </is>
      </c>
    </row>
    <row r="1200">
      <c r="B1200" s="7" t="inlineStr">
        <is>
          <t xml:space="preserve">  ↳ PatriarchShoot</t>
        </is>
      </c>
      <c r="C1200" s="7" t="inlineStr">
        <is>
          <t>Armament@garrisoned</t>
        </is>
      </c>
      <c r="L1200" s="6" t="n">
        <v>12000</v>
      </c>
      <c r="M1200" s="6" t="n">
        <v>75</v>
      </c>
      <c r="N1200" s="6" t="n">
        <v>2</v>
      </c>
      <c r="O1200" s="6" t="n">
        <v>0</v>
      </c>
      <c r="P1200" s="6" t="n">
        <v>5000</v>
      </c>
      <c r="Q1200" s="6" t="n">
        <v>1</v>
      </c>
      <c r="R1200">
        <f>M1200+IF(MAX(N1200-1,0)&gt;0,IF(ISBLANK(O1200),5*MAX(N1200-1,0),IF(ISNUMBER(O1200),O1200*MAX(N1200-1,0),SUM(IFERROR(VALUE(TEXTSPLIT(O1200,",")),0)))),0)</f>
        <v/>
      </c>
      <c r="S1200">
        <f>IFERROR(L1200*MAX(N1200,1)/R1200*IF(ISBLANK(K1198),1,K1198),0)</f>
        <v/>
      </c>
      <c r="AB1200" s="7" t="inlineStr">
        <is>
          <t>^Grenade, ^ShrapnelWeapon, ^HeavyBomb, ^MediumMissile, ^Chaingun, ^FlakWeapon</t>
        </is>
      </c>
    </row>
    <row r="1201">
      <c r="A1201" t="inlineStr">
        <is>
          <t>starcraft</t>
        </is>
      </c>
      <c r="B1201" t="inlineStr">
        <is>
          <t>protoss_zeratul</t>
        </is>
      </c>
      <c r="C1201" t="inlineStr">
        <is>
          <t>Zeratul</t>
        </is>
      </c>
      <c r="D1201" s="6" t="inlineStr">
        <is>
          <t>HeroInfantry</t>
        </is>
      </c>
      <c r="E1201" s="6" t="n">
        <v>250000</v>
      </c>
      <c r="F1201" s="6" t="n">
        <v>100</v>
      </c>
      <c r="G1201" t="inlineStr">
        <is>
          <t>Heroic</t>
        </is>
      </c>
      <c r="H1201" s="6" t="n">
        <v>0.75</v>
      </c>
      <c r="I1201" s="6" t="n">
        <v>1</v>
      </c>
      <c r="J1201" s="6" t="n">
        <v>1.25</v>
      </c>
      <c r="P1201">
        <f>MAX(P1202)</f>
        <v/>
      </c>
      <c r="S1201">
        <f>S1202</f>
        <v/>
      </c>
      <c r="T1201">
        <f>(E1201/100000+F1201/100+(P1201/1000)*J1201/5+S1201/200)*200*I1201*H1201</f>
        <v/>
      </c>
      <c r="U1201">
        <f>((E1201*F1201/25000)+((P1201/1000)*J1201*S1201/2.5))*I1201*H1201</f>
        <v/>
      </c>
      <c r="V1201">
        <f>(E1201*F1201*(P1201/1000)*J1201*S1201*I1201*H1201)/12500000</f>
        <v/>
      </c>
      <c r="W1201">
        <f>(T1201+U1201+V1201)/3</f>
        <v/>
      </c>
      <c r="X1201" s="6" t="n">
        <v>4000</v>
      </c>
      <c r="Y1201">
        <f>IFERROR(W1201-X1201,"")</f>
        <v/>
      </c>
      <c r="Z1201">
        <f>IFERROR(ABS(Y1201)/MAX(X1201,1),"")</f>
        <v/>
      </c>
      <c r="AA1201">
        <f>IFERROR((X1201-(((E1201/100000+F1201/100+S1201/200)*200*I1201*H1201)+((E1201*F1201/25000)*I1201*H1201))/3)/(((J1201/5)*200*I1201*H1201)+((J1201*S1201/2.5)*I1201*H1201)+((E1201*F1201*J1201*S1201*I1201*H1201)/12500000))/3*1000,"")</f>
        <v/>
      </c>
    </row>
    <row r="1202">
      <c r="B1202" s="7" t="inlineStr">
        <is>
          <t xml:space="preserve">  ↳ ZeratulSlice</t>
        </is>
      </c>
      <c r="C1202" s="7" t="inlineStr">
        <is>
          <t>Armament</t>
        </is>
      </c>
      <c r="L1202" s="6" t="n">
        <v>64000</v>
      </c>
      <c r="M1202" s="6" t="n">
        <v>24</v>
      </c>
      <c r="N1202" s="6" t="n">
        <v>1</v>
      </c>
      <c r="O1202" s="6" t="n"/>
      <c r="P1202" s="6" t="n">
        <v>1445</v>
      </c>
      <c r="Q1202" s="6" t="n">
        <v>1</v>
      </c>
      <c r="R1202">
        <f>M1202+IF(MAX(N1202-1,0)&gt;0,IF(ISBLANK(O1202),5*MAX(N1202-1,0),IF(ISNUMBER(O1202),O1202*MAX(N1202-1,0),SUM(IFERROR(VALUE(TEXTSPLIT(O1202,",")),0)))),0)</f>
        <v/>
      </c>
      <c r="S1202">
        <f>IFERROR(L1202*MAX(N1202,1)/R1202*IF(ISBLANK(K1201),1,K1201),0)</f>
        <v/>
      </c>
      <c r="AB1202" s="7" t="inlineStr">
        <is>
          <t>^Warhead_Melee_Medium</t>
        </is>
      </c>
    </row>
    <row r="1203">
      <c r="A1203" t="inlineStr">
        <is>
          <t>starcraft</t>
        </is>
      </c>
      <c r="B1203" t="inlineStr">
        <is>
          <t>zerg_kerrigan</t>
        </is>
      </c>
      <c r="C1203" t="inlineStr">
        <is>
          <t>Kerrigan</t>
        </is>
      </c>
      <c r="D1203" s="6" t="inlineStr">
        <is>
          <t>HeroInfantry</t>
        </is>
      </c>
      <c r="E1203" s="6" t="n">
        <v>300000</v>
      </c>
      <c r="F1203" s="6" t="n">
        <v>75</v>
      </c>
      <c r="G1203" t="inlineStr">
        <is>
          <t>Heroic</t>
        </is>
      </c>
      <c r="H1203" s="6" t="n">
        <v>0.75</v>
      </c>
      <c r="I1203" s="6" t="n">
        <v>1</v>
      </c>
      <c r="J1203" s="6" t="n">
        <v>1.25</v>
      </c>
      <c r="P1203">
        <f>MAX(P1204)</f>
        <v/>
      </c>
      <c r="S1203">
        <f>S1204</f>
        <v/>
      </c>
      <c r="T1203">
        <f>(E1203/100000+F1203/100+(P1203/1000)*J1203/5+S1203/200)*200*I1203*H1203</f>
        <v/>
      </c>
      <c r="U1203">
        <f>((E1203*F1203/25000)+((P1203/1000)*J1203*S1203/2.5))*I1203*H1203</f>
        <v/>
      </c>
      <c r="V1203">
        <f>(E1203*F1203*(P1203/1000)*J1203*S1203*I1203*H1203)/12500000</f>
        <v/>
      </c>
      <c r="W1203">
        <f>(T1203+U1203+V1203)/3</f>
        <v/>
      </c>
      <c r="X1203" s="6" t="n">
        <v>4000</v>
      </c>
      <c r="Y1203">
        <f>IFERROR(W1203-X1203,"")</f>
        <v/>
      </c>
      <c r="Z1203">
        <f>IFERROR(ABS(Y1203)/MAX(X1203,1),"")</f>
        <v/>
      </c>
      <c r="AA1203">
        <f>IFERROR((X1203-(((E1203/100000+F1203/100+S1203/200)*200*I1203*H1203)+((E1203*F1203/25000)*I1203*H1203))/3)/(((J1203/5)*200*I1203*H1203)+((J1203*S1203/2.5)*I1203*H1203)+((E1203*F1203*J1203*S1203*I1203*H1203)/12500000))/3*1000,"")</f>
        <v/>
      </c>
    </row>
    <row r="1204">
      <c r="B1204" s="7" t="inlineStr">
        <is>
          <t xml:space="preserve">  ↳ zerg_kerrigan</t>
        </is>
      </c>
      <c r="C1204" s="7" t="inlineStr">
        <is>
          <t>Armament</t>
        </is>
      </c>
      <c r="L1204" s="6" t="n">
        <v>40000</v>
      </c>
      <c r="M1204" s="6" t="n">
        <v>20</v>
      </c>
      <c r="N1204" s="6" t="n">
        <v>1</v>
      </c>
      <c r="O1204" s="6" t="n"/>
      <c r="P1204" s="6" t="n">
        <v>2225</v>
      </c>
      <c r="Q1204" s="6" t="n">
        <v>1</v>
      </c>
      <c r="R1204">
        <f>M1204+IF(MAX(N1204-1,0)&gt;0,IF(ISBLANK(O1204),5*MAX(N1204-1,0),IF(ISNUMBER(O1204),O1204*MAX(N1204-1,0),SUM(IFERROR(VALUE(TEXTSPLIT(O1204,",")),0)))),0)</f>
        <v/>
      </c>
      <c r="S1204">
        <f>IFERROR(L1204*MAX(N1204,1)/R1204*IF(ISBLANK(K1203),1,K1203),0)</f>
        <v/>
      </c>
      <c r="AB1204" s="7" t="inlineStr">
        <is>
          <t>^Warhead_Melee_Medium</t>
        </is>
      </c>
    </row>
    <row r="1205">
      <c r="A1205" t="inlineStr">
        <is>
          <t>starcraft</t>
        </is>
      </c>
      <c r="B1205" t="inlineStr">
        <is>
          <t>terran_jimraynor</t>
        </is>
      </c>
      <c r="C1205" t="inlineStr">
        <is>
          <t>Jim Raynor</t>
        </is>
      </c>
      <c r="D1205" s="6" t="inlineStr">
        <is>
          <t>HeroInfantry</t>
        </is>
      </c>
      <c r="E1205" s="6" t="n">
        <v>200000</v>
      </c>
      <c r="F1205" s="6" t="n">
        <v>65</v>
      </c>
      <c r="G1205" t="inlineStr">
        <is>
          <t>Heroic</t>
        </is>
      </c>
      <c r="H1205" s="6" t="n">
        <v>0.75</v>
      </c>
      <c r="I1205" s="6" t="n">
        <v>1</v>
      </c>
      <c r="J1205" s="6" t="n">
        <v>1</v>
      </c>
      <c r="P1205">
        <f>MAX(P1206)</f>
        <v/>
      </c>
      <c r="S1205">
        <f>S1206</f>
        <v/>
      </c>
      <c r="T1205">
        <f>(E1205/100000+F1205/100+(P1205/1000)*J1205/5+S1205/200)*200*I1205*H1205</f>
        <v/>
      </c>
      <c r="U1205">
        <f>((E1205*F1205/25000)+((P1205/1000)*J1205*S1205/2.5))*I1205*H1205</f>
        <v/>
      </c>
      <c r="V1205">
        <f>(E1205*F1205*(P1205/1000)*J1205*S1205*I1205*H1205)/12500000</f>
        <v/>
      </c>
      <c r="W1205">
        <f>(T1205+U1205+V1205)/3</f>
        <v/>
      </c>
      <c r="X1205" s="6" t="n">
        <v>4000</v>
      </c>
      <c r="Y1205">
        <f>IFERROR(W1205-X1205,"")</f>
        <v/>
      </c>
      <c r="Z1205">
        <f>IFERROR(ABS(Y1205)/MAX(X1205,1),"")</f>
        <v/>
      </c>
      <c r="AA1205">
        <f>IFERROR((X1205-(((E1205/100000+F1205/100+S1205/200)*200*I1205*H1205)+((E1205*F1205/25000)*I1205*H1205))/3)/(((J1205/5)*200*I1205*H1205)+((J1205*S1205/2.5)*I1205*H1205)+((E1205*F1205*J1205*S1205*I1205*H1205)/12500000))/3*1000,"")</f>
        <v/>
      </c>
    </row>
    <row r="1206">
      <c r="B1206" s="7" t="inlineStr">
        <is>
          <t xml:space="preserve">  ↳ JimRaynorMachineGun</t>
        </is>
      </c>
      <c r="C1206" s="7" t="inlineStr">
        <is>
          <t>Armament@PRIMARY</t>
        </is>
      </c>
      <c r="L1206" s="6" t="n">
        <v>4000</v>
      </c>
      <c r="M1206" s="6" t="n">
        <v>12</v>
      </c>
      <c r="N1206" s="6" t="n">
        <v>5</v>
      </c>
      <c r="O1206" s="6" t="n">
        <v>2</v>
      </c>
      <c r="P1206" s="6" t="n">
        <v>7446</v>
      </c>
      <c r="Q1206" s="6" t="n">
        <v>1.25</v>
      </c>
      <c r="R1206">
        <f>M1206+IF(MAX(N1206-1,0)&gt;0,IF(ISBLANK(O1206),5*MAX(N1206-1,0),IF(ISNUMBER(O1206),O1206*MAX(N1206-1,0),SUM(IFERROR(VALUE(TEXTSPLIT(O1206,",")),0)))),0)</f>
        <v/>
      </c>
      <c r="S1206">
        <f>IFERROR(L1206*MAX(N1206,1)/R1206*IF(ISBLANK(K1205),1,K1205),0)</f>
        <v/>
      </c>
      <c r="AB1206" s="7" t="inlineStr">
        <is>
          <t>^Warhead_MissileHE_Heavy, ^Warhead_CannonHE_Heavy</t>
        </is>
      </c>
    </row>
    <row r="1207">
      <c r="B1207" s="7" t="inlineStr">
        <is>
          <t xml:space="preserve">  ↳ JimRaynorMachineGun</t>
        </is>
      </c>
      <c r="C1207" s="7" t="inlineStr">
        <is>
          <t>Armament@GARRISONED</t>
        </is>
      </c>
      <c r="L1207" s="6" t="n">
        <v>4000</v>
      </c>
      <c r="M1207" s="6" t="n">
        <v>12</v>
      </c>
      <c r="N1207" s="6" t="n">
        <v>5</v>
      </c>
      <c r="O1207" s="6" t="n">
        <v>2</v>
      </c>
      <c r="P1207" s="6" t="n">
        <v>7446</v>
      </c>
      <c r="Q1207" s="6" t="n">
        <v>1.25</v>
      </c>
      <c r="R1207">
        <f>M1207+IF(MAX(N1207-1,0)&gt;0,IF(ISBLANK(O1207),5*MAX(N1207-1,0),IF(ISNUMBER(O1207),O1207*MAX(N1207-1,0),SUM(IFERROR(VALUE(TEXTSPLIT(O1207,",")),0)))),0)</f>
        <v/>
      </c>
      <c r="S1207">
        <f>IFERROR(L1207*MAX(N1207,1)/R1207*IF(ISBLANK(K1205),1,K1205),0)</f>
        <v/>
      </c>
      <c r="AB1207" s="7" t="inlineStr">
        <is>
          <t>^Warhead_MissileHE_Heavy, ^Warhead_CannonHE_Heavy</t>
        </is>
      </c>
    </row>
    <row r="1208">
      <c r="A1208" s="4" t="inlineStr">
        <is>
          <t>FlyingInfantry</t>
        </is>
      </c>
      <c r="B1208" s="5" t="n"/>
      <c r="C1208" s="5" t="n"/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  <c r="O1208" s="5" t="n"/>
      <c r="P1208" s="5" t="n"/>
      <c r="Q1208" s="5" t="n"/>
      <c r="R1208" s="5" t="n"/>
      <c r="S1208" s="5" t="n"/>
      <c r="T1208" s="5" t="n"/>
      <c r="U1208" s="5" t="n"/>
      <c r="V1208" s="5" t="n"/>
      <c r="W1208" s="5" t="n"/>
      <c r="X1208" s="5" t="n"/>
      <c r="Y1208" s="5" t="n"/>
      <c r="Z1208" s="5" t="n"/>
      <c r="AA1208" s="5" t="n"/>
      <c r="AB1208" s="5" t="n"/>
    </row>
    <row r="1209">
      <c r="A1209" t="inlineStr">
        <is>
          <t>redalert</t>
        </is>
      </c>
      <c r="B1209" t="inlineStr">
        <is>
          <t>japan_rocketangel</t>
        </is>
      </c>
      <c r="C1209" t="inlineStr">
        <is>
          <t>Rocket Angel</t>
        </is>
      </c>
      <c r="D1209" s="6" t="inlineStr">
        <is>
          <t>FlyingInfantry</t>
        </is>
      </c>
      <c r="E1209" s="6" t="n">
        <v>24000</v>
      </c>
      <c r="F1209" s="6" t="n">
        <v>140</v>
      </c>
      <c r="G1209" t="inlineStr">
        <is>
          <t>Scout</t>
        </is>
      </c>
      <c r="H1209" s="6" t="n">
        <v>0.75</v>
      </c>
      <c r="I1209" s="6" t="n">
        <v>1</v>
      </c>
      <c r="J1209" s="6" t="n">
        <v>1.25</v>
      </c>
      <c r="K1209" t="n">
        <v>0.005</v>
      </c>
      <c r="P1209">
        <f>MAX(P1210)</f>
        <v/>
      </c>
      <c r="S1209">
        <f>S1210</f>
        <v/>
      </c>
      <c r="T1209">
        <f>(E1209/100000+F1209/100+(P1209/1000)*J1209/5+S1209/200)*200*I1209*H1209</f>
        <v/>
      </c>
      <c r="U1209">
        <f>((E1209*F1209/25000)+((P1209/1000)*J1209*S1209/2.5))*I1209*H1209</f>
        <v/>
      </c>
      <c r="V1209">
        <f>(E1209*F1209*(P1209/1000)*J1209*S1209*I1209*H1209)/12500000</f>
        <v/>
      </c>
      <c r="W1209">
        <f>(T1209+U1209+V1209)/3</f>
        <v/>
      </c>
      <c r="X1209" s="6" t="n">
        <v>900</v>
      </c>
      <c r="Y1209">
        <f>IFERROR(W1209-X1209,"")</f>
        <v/>
      </c>
      <c r="Z1209">
        <f>IFERROR(ABS(Y1209)/MAX(X1209,1),"")</f>
        <v/>
      </c>
      <c r="AA1209">
        <f>IFERROR((X1209-(((E1209/100000+F1209/100+S1209/200)*200*I1209*H1209)+((E1209*F1209/25000)*I1209*H1209))/3)/(((J1209/5)*200*I1209*H1209)+((J1209*S1209/2.5)*I1209*H1209)+((E1209*F1209*J1209*S1209*I1209*H1209)/12500000))/3*1000,"")</f>
        <v/>
      </c>
    </row>
    <row r="1210">
      <c r="B1210" s="7" t="inlineStr">
        <is>
          <t xml:space="preserve">  ↳ RocketAngelRockets</t>
        </is>
      </c>
      <c r="C1210" s="7" t="inlineStr">
        <is>
          <t>Armament@PRIMARY</t>
        </is>
      </c>
      <c r="L1210" s="6" t="n">
        <v>12000</v>
      </c>
      <c r="M1210" s="6" t="n">
        <v>34</v>
      </c>
      <c r="N1210" s="6" t="n">
        <v>4</v>
      </c>
      <c r="O1210" s="6" t="n">
        <v>2</v>
      </c>
      <c r="P1210" s="6" t="n">
        <v>4600</v>
      </c>
      <c r="Q1210" s="6" t="n">
        <v>1</v>
      </c>
      <c r="R1210">
        <f>M1210+IF(MAX(N1210-1,0)&gt;0,IF(ISBLANK(O1210),5*MAX(N1210-1,0),IF(ISNUMBER(O1210),O1210*MAX(N1210-1,0),SUM(IFERROR(VALUE(TEXTSPLIT(O1210,",")),0)))),0)</f>
        <v/>
      </c>
      <c r="S1210">
        <f>IFERROR(L1210*MAX(N1210,1)/R1210*IF(ISBLANK(K1209),1,K1209),0)</f>
        <v/>
      </c>
      <c r="AB1210" s="7" t="inlineStr">
        <is>
          <t>^TeslaWeapon, ^HeavyMissile, ^MediumFlameWeapon, ^MediumChemicalWeapon, ^Grenade, ^ArrowWeapon</t>
        </is>
      </c>
    </row>
    <row r="1211">
      <c r="A1211" t="inlineStr">
        <is>
          <t>tiberiansun</t>
        </is>
      </c>
      <c r="B1211" t="inlineStr">
        <is>
          <t>cabal_cyborgassassin</t>
        </is>
      </c>
      <c r="C1211" t="inlineStr">
        <is>
          <t>Cyborg Assassin</t>
        </is>
      </c>
      <c r="D1211" s="6" t="inlineStr">
        <is>
          <t>FlyingInfantry</t>
        </is>
      </c>
      <c r="E1211" s="6" t="n">
        <v>30000</v>
      </c>
      <c r="F1211" s="6" t="n">
        <v>180</v>
      </c>
      <c r="G1211" t="inlineStr">
        <is>
          <t>Scout</t>
        </is>
      </c>
      <c r="H1211" s="6" t="n">
        <v>1</v>
      </c>
      <c r="I1211" s="6" t="n">
        <v>1</v>
      </c>
      <c r="J1211" s="6" t="n">
        <v>1</v>
      </c>
      <c r="P1211">
        <f>MAX(P1212)</f>
        <v/>
      </c>
      <c r="S1211">
        <f>S1212</f>
        <v/>
      </c>
      <c r="T1211">
        <f>(E1211/100000+F1211/100+(P1211/1000)*J1211/5+S1211/200)*200*I1211*H1211</f>
        <v/>
      </c>
      <c r="U1211">
        <f>((E1211*F1211/25000)+((P1211/1000)*J1211*S1211/2.5))*I1211*H1211</f>
        <v/>
      </c>
      <c r="V1211">
        <f>(E1211*F1211*(P1211/1000)*J1211*S1211*I1211*H1211)/12500000</f>
        <v/>
      </c>
      <c r="W1211">
        <f>(T1211+U1211+V1211)/3</f>
        <v/>
      </c>
      <c r="X1211" s="6" t="n">
        <v>1000</v>
      </c>
      <c r="Y1211">
        <f>IFERROR(W1211-X1211,"")</f>
        <v/>
      </c>
      <c r="Z1211">
        <f>IFERROR(ABS(Y1211)/MAX(X1211,1),"")</f>
        <v/>
      </c>
      <c r="AA1211">
        <f>IFERROR((X1211-(((E1211/100000+F1211/100+S1211/200)*200*I1211*H1211)+((E1211*F1211/25000)*I1211*H1211))/3)/(((J1211/5)*200*I1211*H1211)+((J1211*S1211/2.5)*I1211*H1211)+((E1211*F1211*J1211*S1211*I1211*H1211)/12500000))/3*1000,"")</f>
        <v/>
      </c>
    </row>
    <row r="1212">
      <c r="B1212" s="7" t="inlineStr">
        <is>
          <t xml:space="preserve">  ↳ CabalWaspLaserStriker</t>
        </is>
      </c>
      <c r="C1212" s="7" t="inlineStr">
        <is>
          <t>Armament@PRIMARY</t>
        </is>
      </c>
      <c r="L1212" s="6" t="n">
        <v>4000</v>
      </c>
      <c r="M1212" s="6" t="n">
        <v>18</v>
      </c>
      <c r="N1212" s="6" t="n">
        <v>2</v>
      </c>
      <c r="O1212" s="6" t="n">
        <v>3</v>
      </c>
      <c r="P1212" s="6" t="n">
        <v>6309</v>
      </c>
      <c r="Q1212" s="6" t="n">
        <v>1.25</v>
      </c>
      <c r="R1212">
        <f>M1212+IF(MAX(N1212-1,0)&gt;0,IF(ISBLANK(O1212),5*MAX(N1212-1,0),IF(ISNUMBER(O1212),O1212*MAX(N1212-1,0),SUM(IFERROR(VALUE(TEXTSPLIT(O1212,",")),0)))),0)</f>
        <v/>
      </c>
      <c r="S1212">
        <f>IFERROR(L1212*MAX(N1212,1)/R1212*IF(ISBLANK(K1211),1,K1211),0)</f>
        <v/>
      </c>
      <c r="AB1212" s="7" t="inlineStr">
        <is>
          <t>^Warhead_Laser_Heavy</t>
        </is>
      </c>
    </row>
    <row r="1213">
      <c r="A1213" t="inlineStr">
        <is>
          <t>tiberiansun</t>
        </is>
      </c>
      <c r="B1213" t="inlineStr">
        <is>
          <t>cabal_orbdrone</t>
        </is>
      </c>
      <c r="C1213" t="inlineStr">
        <is>
          <t>Orb Drone</t>
        </is>
      </c>
      <c r="D1213" s="6" t="inlineStr">
        <is>
          <t>FlyingInfantry</t>
        </is>
      </c>
      <c r="E1213" s="6" t="n">
        <v>25000</v>
      </c>
      <c r="F1213" s="6" t="n">
        <v>140</v>
      </c>
      <c r="G1213" t="inlineStr">
        <is>
          <t>Scout</t>
        </is>
      </c>
      <c r="H1213" s="6" t="n">
        <v>1</v>
      </c>
      <c r="I1213" s="6" t="n">
        <v>1</v>
      </c>
      <c r="J1213" s="6" t="n">
        <v>1</v>
      </c>
      <c r="P1213">
        <f>MAX(P1214)</f>
        <v/>
      </c>
      <c r="S1213">
        <f>S1214</f>
        <v/>
      </c>
      <c r="T1213">
        <f>(E1213/100000+F1213/100+(P1213/1000)*J1213/5+S1213/200)*200*I1213*H1213</f>
        <v/>
      </c>
      <c r="U1213">
        <f>((E1213*F1213/25000)+((P1213/1000)*J1213*S1213/2.5))*I1213*H1213</f>
        <v/>
      </c>
      <c r="V1213">
        <f>(E1213*F1213*(P1213/1000)*J1213*S1213*I1213*H1213)/12500000</f>
        <v/>
      </c>
      <c r="W1213">
        <f>(T1213+U1213+V1213)/3</f>
        <v/>
      </c>
      <c r="X1213" s="6" t="n">
        <v>600</v>
      </c>
      <c r="Y1213">
        <f>IFERROR(W1213-X1213,"")</f>
        <v/>
      </c>
      <c r="Z1213">
        <f>IFERROR(ABS(Y1213)/MAX(X1213,1),"")</f>
        <v/>
      </c>
      <c r="AA1213">
        <f>IFERROR((X1213-(((E1213/100000+F1213/100+S1213/200)*200*I1213*H1213)+((E1213*F1213/25000)*I1213*H1213))/3)/(((J1213/5)*200*I1213*H1213)+((J1213*S1213/2.5)*I1213*H1213)+((E1213*F1213*J1213*S1213*I1213*H1213)/12500000))/3*1000,"")</f>
        <v/>
      </c>
    </row>
    <row r="1214">
      <c r="B1214" s="7" t="inlineStr">
        <is>
          <t xml:space="preserve">  ↳ CabalWaspLaser</t>
        </is>
      </c>
      <c r="C1214" s="7" t="inlineStr">
        <is>
          <t>Armament@PRIMARY</t>
        </is>
      </c>
      <c r="L1214" s="6" t="n">
        <v>4000</v>
      </c>
      <c r="M1214" s="6" t="n">
        <v>20</v>
      </c>
      <c r="N1214" s="6" t="n">
        <v>1</v>
      </c>
      <c r="O1214" s="6" t="n"/>
      <c r="P1214" s="6" t="n">
        <v>6420</v>
      </c>
      <c r="Q1214" s="6" t="n">
        <v>1.25</v>
      </c>
      <c r="R1214">
        <f>M1214+IF(MAX(N1214-1,0)&gt;0,IF(ISBLANK(O1214),5*MAX(N1214-1,0),IF(ISNUMBER(O1214),O1214*MAX(N1214-1,0),SUM(IFERROR(VALUE(TEXTSPLIT(O1214,",")),0)))),0)</f>
        <v/>
      </c>
      <c r="S1214">
        <f>IFERROR(L1214*MAX(N1214,1)/R1214*IF(ISBLANK(K1213),1,K1213),0)</f>
        <v/>
      </c>
      <c r="AB1214" s="7" t="inlineStr">
        <is>
          <t>^Warhead_Laser_Heavy</t>
        </is>
      </c>
    </row>
    <row r="1215">
      <c r="A1215" t="inlineStr">
        <is>
          <t>tiberiansun</t>
        </is>
      </c>
      <c r="B1215" t="inlineStr">
        <is>
          <t>cabal_orbdrone_slave</t>
        </is>
      </c>
      <c r="C1215" t="inlineStr">
        <is>
          <t>Orb Drone</t>
        </is>
      </c>
      <c r="D1215" s="6" t="inlineStr">
        <is>
          <t>FlyingInfantry</t>
        </is>
      </c>
      <c r="E1215" s="6" t="n">
        <v>25000</v>
      </c>
      <c r="F1215" s="6" t="n">
        <v>140</v>
      </c>
      <c r="G1215" t="inlineStr">
        <is>
          <t>Scout</t>
        </is>
      </c>
      <c r="H1215" s="6" t="n">
        <v>1</v>
      </c>
      <c r="I1215" s="6" t="n">
        <v>1</v>
      </c>
      <c r="J1215" s="6" t="n">
        <v>1</v>
      </c>
      <c r="P1215">
        <f>MAX(P1216)</f>
        <v/>
      </c>
      <c r="S1215">
        <f>S1216</f>
        <v/>
      </c>
      <c r="T1215">
        <f>(E1215/100000+F1215/100+(P1215/1000)*J1215/5+S1215/200)*200*I1215*H1215</f>
        <v/>
      </c>
      <c r="U1215">
        <f>((E1215*F1215/25000)+((P1215/1000)*J1215*S1215/2.5))*I1215*H1215</f>
        <v/>
      </c>
      <c r="V1215">
        <f>(E1215*F1215*(P1215/1000)*J1215*S1215*I1215*H1215)/12500000</f>
        <v/>
      </c>
      <c r="W1215">
        <f>(T1215+U1215+V1215)/3</f>
        <v/>
      </c>
      <c r="X1215" s="6" t="n">
        <v>270</v>
      </c>
      <c r="Y1215">
        <f>IFERROR(W1215-X1215,"")</f>
        <v/>
      </c>
      <c r="Z1215">
        <f>IFERROR(ABS(Y1215)/MAX(X1215,1),"")</f>
        <v/>
      </c>
      <c r="AA1215">
        <f>IFERROR((X1215-(((E1215/100000+F1215/100+S1215/200)*200*I1215*H1215)+((E1215*F1215/25000)*I1215*H1215))/3)/(((J1215/5)*200*I1215*H1215)+((J1215*S1215/2.5)*I1215*H1215)+((E1215*F1215*J1215*S1215*I1215*H1215)/12500000))/3*1000,"")</f>
        <v/>
      </c>
    </row>
    <row r="1216">
      <c r="B1216" s="7" t="inlineStr">
        <is>
          <t xml:space="preserve">  ↳ CabalWaspLaser</t>
        </is>
      </c>
      <c r="C1216" s="7" t="inlineStr">
        <is>
          <t>Armament@PRIMARY</t>
        </is>
      </c>
      <c r="L1216" s="6" t="n">
        <v>4000</v>
      </c>
      <c r="M1216" s="6" t="n">
        <v>20</v>
      </c>
      <c r="N1216" s="6" t="n">
        <v>1</v>
      </c>
      <c r="O1216" s="6" t="n"/>
      <c r="P1216" s="6" t="n">
        <v>6420</v>
      </c>
      <c r="Q1216" s="6" t="n">
        <v>1.25</v>
      </c>
      <c r="R1216">
        <f>M1216+IF(MAX(N1216-1,0)&gt;0,IF(ISBLANK(O1216),5*MAX(N1216-1,0),IF(ISNUMBER(O1216),O1216*MAX(N1216-1,0),SUM(IFERROR(VALUE(TEXTSPLIT(O1216,",")),0)))),0)</f>
        <v/>
      </c>
      <c r="S1216">
        <f>IFERROR(L1216*MAX(N1216,1)/R1216*IF(ISBLANK(K1215),1,K1215),0)</f>
        <v/>
      </c>
      <c r="AB1216" s="7" t="inlineStr">
        <is>
          <t>^Warhead_Laser_Heavy</t>
        </is>
      </c>
    </row>
    <row r="1217">
      <c r="A1217" t="inlineStr">
        <is>
          <t>tiberiansun</t>
        </is>
      </c>
      <c r="B1217" t="inlineStr">
        <is>
          <t>ts_nod_shadowteam_air</t>
        </is>
      </c>
      <c r="C1217" t="inlineStr">
        <is>
          <t>actor_ts_nod_shadowteam.name</t>
        </is>
      </c>
      <c r="D1217" s="6" t="inlineStr">
        <is>
          <t>FlyingInfantry</t>
        </is>
      </c>
      <c r="E1217" s="6" t="n">
        <v>30000</v>
      </c>
      <c r="F1217" s="6" t="n">
        <v>150</v>
      </c>
      <c r="G1217" t="inlineStr">
        <is>
          <t>Scout</t>
        </is>
      </c>
      <c r="H1217" s="6" t="n">
        <v>1</v>
      </c>
      <c r="I1217" s="6" t="n">
        <v>1</v>
      </c>
      <c r="J1217" s="6" t="n">
        <v>1</v>
      </c>
      <c r="X1217" s="6" t="n">
        <v>900</v>
      </c>
    </row>
    <row r="1218">
      <c r="B1218" s="7" t="inlineStr">
        <is>
          <t xml:space="preserve">  ↳ TSShadowTeamTargeting</t>
        </is>
      </c>
      <c r="C1218" s="7" t="inlineStr">
        <is>
          <t>Armament@PRIMARY</t>
        </is>
      </c>
      <c r="M1218" s="6" t="n">
        <v>500</v>
      </c>
      <c r="N1218" s="6" t="n">
        <v>1</v>
      </c>
      <c r="O1218" s="6" t="n"/>
      <c r="P1218" s="6" t="n">
        <v>12000</v>
      </c>
      <c r="Q1218" s="6" t="n">
        <v>1</v>
      </c>
      <c r="R1218">
        <f>M1218+IF(MAX(N1218-1,0)&gt;0,IF(ISBLANK(O1218),5*MAX(N1218-1,0),IF(ISNUMBER(O1218),O1218*MAX(N1218-1,0),SUM(IFERROR(VALUE(TEXTSPLIT(O1218,",")),0)))),0)</f>
        <v/>
      </c>
      <c r="S1218">
        <f>IFERROR(L1218*MAX(N1218,1)/R1218*IF(ISBLANK(K1217),1,K1217),0)</f>
        <v/>
      </c>
      <c r="AB1218" s="7" t="inlineStr"/>
    </row>
    <row r="1219">
      <c r="A1219" t="inlineStr">
        <is>
          <t>tiberiansun</t>
        </is>
      </c>
      <c r="B1219" t="inlineStr">
        <is>
          <t>ts_gdi_jumpjetinfantry</t>
        </is>
      </c>
      <c r="C1219" t="inlineStr">
        <is>
          <t>Jumpjet Infantry</t>
        </is>
      </c>
      <c r="D1219" s="6" t="inlineStr">
        <is>
          <t>FlyingInfantry</t>
        </is>
      </c>
      <c r="E1219" s="6" t="n">
        <v>34000</v>
      </c>
      <c r="F1219" s="6" t="n">
        <v>110</v>
      </c>
      <c r="G1219" t="inlineStr">
        <is>
          <t>Scout</t>
        </is>
      </c>
      <c r="H1219" s="6" t="n">
        <v>1</v>
      </c>
      <c r="I1219" s="6" t="n">
        <v>1</v>
      </c>
      <c r="J1219" s="6" t="n">
        <v>1</v>
      </c>
      <c r="P1219">
        <f>MAX(P1220)</f>
        <v/>
      </c>
      <c r="S1219">
        <f>S1220</f>
        <v/>
      </c>
      <c r="T1219">
        <f>(E1219/100000+F1219/100+(P1219/1000)*J1219/5+S1219/200)*200*I1219*H1219</f>
        <v/>
      </c>
      <c r="U1219">
        <f>((E1219*F1219/25000)+((P1219/1000)*J1219*S1219/2.5))*I1219*H1219</f>
        <v/>
      </c>
      <c r="V1219">
        <f>(E1219*F1219*(P1219/1000)*J1219*S1219*I1219*H1219)/12500000</f>
        <v/>
      </c>
      <c r="W1219">
        <f>(T1219+U1219+V1219)/3</f>
        <v/>
      </c>
      <c r="X1219" s="6" t="n">
        <v>700</v>
      </c>
      <c r="Y1219">
        <f>IFERROR(W1219-X1219,"")</f>
        <v/>
      </c>
      <c r="Z1219">
        <f>IFERROR(ABS(Y1219)/MAX(X1219,1),"")</f>
        <v/>
      </c>
      <c r="AA1219">
        <f>IFERROR((X1219-(((E1219/100000+F1219/100+S1219/200)*200*I1219*H1219)+((E1219*F1219/25000)*I1219*H1219))/3)/(((J1219/5)*200*I1219*H1219)+((J1219*S1219/2.5)*I1219*H1219)+((E1219*F1219*J1219*S1219*I1219*H1219)/12500000))/3*1000,"")</f>
        <v/>
      </c>
    </row>
    <row r="1220">
      <c r="B1220" s="7" t="inlineStr">
        <is>
          <t xml:space="preserve">  ↳ TSJumpCannon</t>
        </is>
      </c>
      <c r="C1220" s="7" t="inlineStr">
        <is>
          <t>Armament@PRIMARY</t>
        </is>
      </c>
      <c r="L1220" s="6" t="n">
        <v>8000</v>
      </c>
      <c r="M1220" s="6" t="n">
        <v>25</v>
      </c>
      <c r="N1220" s="6" t="n">
        <v>1</v>
      </c>
      <c r="O1220" s="6" t="n"/>
      <c r="P1220" s="6" t="n">
        <v>5090</v>
      </c>
      <c r="Q1220" s="6" t="n">
        <v>1</v>
      </c>
      <c r="R1220">
        <f>M1220+IF(MAX(N1220-1,0)&gt;0,IF(ISBLANK(O1220),5*MAX(N1220-1,0),IF(ISNUMBER(O1220),O1220*MAX(N1220-1,0),SUM(IFERROR(VALUE(TEXTSPLIT(O1220,",")),0)))),0)</f>
        <v/>
      </c>
      <c r="S1220">
        <f>IFERROR(L1220*MAX(N1220,1)/R1220*IF(ISBLANK(K1219),1,K1219),0)</f>
        <v/>
      </c>
      <c r="AB1220" s="7" t="inlineStr">
        <is>
          <t>^Warhead_Flak_Medium, ^Warhead_Bullet_Medium</t>
        </is>
      </c>
    </row>
    <row r="1221">
      <c r="A1221" t="inlineStr">
        <is>
          <t>redalert2</t>
        </is>
      </c>
      <c r="B1221" t="inlineStr">
        <is>
          <t>ra2_allies_rocketeer</t>
        </is>
      </c>
      <c r="C1221" t="inlineStr">
        <is>
          <t>Rocketeer</t>
        </is>
      </c>
      <c r="D1221" s="6" t="inlineStr">
        <is>
          <t>FlyingInfantry</t>
        </is>
      </c>
      <c r="E1221" s="6" t="n">
        <v>18000</v>
      </c>
      <c r="F1221" s="6" t="n">
        <v>180</v>
      </c>
      <c r="G1221" t="inlineStr">
        <is>
          <t>Scout</t>
        </is>
      </c>
      <c r="H1221" s="6" t="n">
        <v>0.8639</v>
      </c>
      <c r="I1221" s="6" t="n">
        <v>1</v>
      </c>
      <c r="J1221" s="6" t="n">
        <v>1</v>
      </c>
      <c r="K1221" t="n">
        <v>0.005</v>
      </c>
      <c r="P1221">
        <f>MAX(P1222)</f>
        <v/>
      </c>
      <c r="S1221">
        <f>S1222</f>
        <v/>
      </c>
      <c r="T1221">
        <f>(E1221/100000+F1221/100+(P1221/1000)*J1221/5+S1221/200)*200*I1221*H1221</f>
        <v/>
      </c>
      <c r="U1221">
        <f>((E1221*F1221/25000)+((P1221/1000)*J1221*S1221/2.5))*I1221*H1221</f>
        <v/>
      </c>
      <c r="V1221">
        <f>(E1221*F1221*(P1221/1000)*J1221*S1221*I1221*H1221)/12500000</f>
        <v/>
      </c>
      <c r="W1221">
        <f>(T1221+U1221+V1221)/3</f>
        <v/>
      </c>
      <c r="X1221" s="6" t="n">
        <v>600</v>
      </c>
      <c r="Y1221">
        <f>IFERROR(W1221-X1221,"")</f>
        <v/>
      </c>
      <c r="Z1221">
        <f>IFERROR(ABS(Y1221)/MAX(X1221,1),"")</f>
        <v/>
      </c>
      <c r="AA1221">
        <f>IFERROR((X1221-(((E1221/100000+F1221/100+S1221/200)*200*I1221*H1221)+((E1221*F1221/25000)*I1221*H1221))/3)/(((J1221/5)*200*I1221*H1221)+((J1221*S1221/2.5)*I1221*H1221)+((E1221*F1221*J1221*S1221*I1221*H1221)/12500000))/3*1000,"")</f>
        <v/>
      </c>
    </row>
    <row r="1222">
      <c r="B1222" s="7" t="inlineStr">
        <is>
          <t xml:space="preserve">  ↳ ra2roktgun</t>
        </is>
      </c>
      <c r="C1222" s="7" t="inlineStr">
        <is>
          <t>Armament@PRIMARY</t>
        </is>
      </c>
      <c r="L1222" s="6" t="n">
        <v>8000</v>
      </c>
      <c r="M1222" s="6" t="n">
        <v>14</v>
      </c>
      <c r="N1222" s="6" t="n">
        <v>1</v>
      </c>
      <c r="O1222" s="6" t="n"/>
      <c r="P1222" s="6" t="n">
        <v>5000</v>
      </c>
      <c r="Q1222" s="6" t="n">
        <v>1</v>
      </c>
      <c r="R1222">
        <f>M1222+IF(MAX(N1222-1,0)&gt;0,IF(ISBLANK(O1222),5*MAX(N1222-1,0),IF(ISNUMBER(O1222),O1222*MAX(N1222-1,0),SUM(IFERROR(VALUE(TEXTSPLIT(O1222,",")),0)))),0)</f>
        <v/>
      </c>
      <c r="S1222">
        <f>IFERROR(L1222*MAX(N1222,1)/R1222*IF(ISBLANK(K1221),1,K1221),0)</f>
        <v/>
      </c>
      <c r="AB1222" s="7" t="inlineStr">
        <is>
          <t>^Warhead_Bullet_Medium</t>
        </is>
      </c>
    </row>
    <row r="1223">
      <c r="A1223" t="inlineStr">
        <is>
          <t>redalert2</t>
        </is>
      </c>
      <c r="B1223" t="inlineStr">
        <is>
          <t>yuri_cosmonaut</t>
        </is>
      </c>
      <c r="C1223" t="inlineStr">
        <is>
          <t>Cosmonaut</t>
        </is>
      </c>
      <c r="D1223" s="6" t="inlineStr">
        <is>
          <t>FlyingInfantry</t>
        </is>
      </c>
      <c r="E1223" s="6" t="n">
        <v>28000</v>
      </c>
      <c r="F1223" s="6" t="n">
        <v>165</v>
      </c>
      <c r="G1223" t="inlineStr">
        <is>
          <t>Scout</t>
        </is>
      </c>
      <c r="H1223" s="6" t="n">
        <v>1</v>
      </c>
      <c r="I1223" s="6" t="n">
        <v>1</v>
      </c>
      <c r="J1223" s="6" t="n">
        <v>1</v>
      </c>
      <c r="K1223" t="n">
        <v>0.005</v>
      </c>
      <c r="P1223">
        <f>MAX(P1224)</f>
        <v/>
      </c>
      <c r="S1223">
        <f>S1224</f>
        <v/>
      </c>
      <c r="T1223">
        <f>(E1223/100000+F1223/100+(P1223/1000)*J1223/5+S1223/200)*200*I1223*H1223</f>
        <v/>
      </c>
      <c r="U1223">
        <f>((E1223*F1223/25000)+((P1223/1000)*J1223*S1223/2.5))*I1223*H1223</f>
        <v/>
      </c>
      <c r="V1223">
        <f>(E1223*F1223*(P1223/1000)*J1223*S1223*I1223*H1223)/12500000</f>
        <v/>
      </c>
      <c r="W1223">
        <f>(T1223+U1223+V1223)/3</f>
        <v/>
      </c>
      <c r="X1223" s="6" t="n">
        <v>1100</v>
      </c>
      <c r="Y1223">
        <f>IFERROR(W1223-X1223,"")</f>
        <v/>
      </c>
      <c r="Z1223">
        <f>IFERROR(ABS(Y1223)/MAX(X1223,1),"")</f>
        <v/>
      </c>
      <c r="AA1223">
        <f>IFERROR((X1223-(((E1223/100000+F1223/100+S1223/200)*200*I1223*H1223)+((E1223*F1223/25000)*I1223*H1223))/3)/(((J1223/5)*200*I1223*H1223)+((J1223*S1223/2.5)*I1223*H1223)+((E1223*F1223*J1223*S1223*I1223*H1223)/12500000))/3*1000,"")</f>
        <v/>
      </c>
    </row>
    <row r="1224">
      <c r="B1224" s="7" t="inlineStr">
        <is>
          <t xml:space="preserve">  ↳ RA2CosmonautLaser</t>
        </is>
      </c>
      <c r="C1224" s="7" t="inlineStr">
        <is>
          <t>Armament@PRIMARY</t>
        </is>
      </c>
      <c r="L1224" s="6" t="n">
        <v>12000</v>
      </c>
      <c r="M1224" s="6" t="n">
        <v>11</v>
      </c>
      <c r="N1224" s="6" t="n">
        <v>1</v>
      </c>
      <c r="O1224" s="6" t="n"/>
      <c r="P1224" s="6" t="n">
        <v>4750</v>
      </c>
      <c r="Q1224" s="6" t="n">
        <v>1</v>
      </c>
      <c r="R1224">
        <f>M1224+IF(MAX(N1224-1,0)&gt;0,IF(ISBLANK(O1224),5*MAX(N1224-1,0),IF(ISNUMBER(O1224),O1224*MAX(N1224-1,0),SUM(IFERROR(VALUE(TEXTSPLIT(O1224,",")),0)))),0)</f>
        <v/>
      </c>
      <c r="S1224">
        <f>IFERROR(L1224*MAX(N1224,1)/R1224*IF(ISBLANK(K1223),1,K1223),0)</f>
        <v/>
      </c>
      <c r="AB1224" s="7" t="inlineStr">
        <is>
          <t>^Warhead_Bullet_Medium</t>
        </is>
      </c>
    </row>
    <row r="1225">
      <c r="A1225" t="inlineStr">
        <is>
          <t>redalert2mod</t>
        </is>
      </c>
      <c r="B1225" t="inlineStr">
        <is>
          <t>naxis_skymage</t>
        </is>
      </c>
      <c r="C1225" t="inlineStr">
        <is>
          <t>Sky Mage</t>
        </is>
      </c>
      <c r="D1225" s="6" t="inlineStr">
        <is>
          <t>FlyingInfantry</t>
        </is>
      </c>
      <c r="E1225" s="6" t="n">
        <v>48000</v>
      </c>
      <c r="F1225" s="6" t="n">
        <v>160</v>
      </c>
      <c r="G1225" t="inlineStr">
        <is>
          <t>Scout</t>
        </is>
      </c>
      <c r="H1225" s="6" t="n">
        <v>0.75</v>
      </c>
      <c r="I1225" s="6" t="n">
        <v>1</v>
      </c>
      <c r="J1225" s="6" t="n">
        <v>1.25</v>
      </c>
      <c r="K1225" t="n">
        <v>0.005</v>
      </c>
      <c r="P1225">
        <f>MAX(P1226,P1227,P1228,P1229)</f>
        <v/>
      </c>
      <c r="S1225">
        <f>S1226+S1227+S1228+S1229</f>
        <v/>
      </c>
      <c r="T1225">
        <f>(E1225/100000+F1225/100+(P1225/1000)*J1225/5+S1225/200)*200*I1225*H1225</f>
        <v/>
      </c>
      <c r="U1225">
        <f>((E1225*F1225/25000)+((P1225/1000)*J1225*S1225/2.5))*I1225*H1225</f>
        <v/>
      </c>
      <c r="V1225">
        <f>(E1225*F1225*(P1225/1000)*J1225*S1225*I1225*H1225)/12500000</f>
        <v/>
      </c>
      <c r="W1225">
        <f>(T1225+U1225+V1225)/3</f>
        <v/>
      </c>
      <c r="X1225" s="6" t="n">
        <v>1200</v>
      </c>
      <c r="Y1225">
        <f>IFERROR(W1225-X1225,"")</f>
        <v/>
      </c>
      <c r="Z1225">
        <f>IFERROR(ABS(Y1225)/MAX(X1225,1),"")</f>
        <v/>
      </c>
      <c r="AA1225">
        <f>IFERROR((X1225-(((E1225/100000+F1225/100+S1225/200)*200*I1225*H1225)+((E1225*F1225/25000)*I1225*H1225))/3)/(((J1225/5)*200*I1225*H1225)+((J1225*S1225/2.5)*I1225*H1225)+((E1225*F1225*J1225*S1225*I1225*H1225)/12500000))/3*1000,"")</f>
        <v/>
      </c>
    </row>
    <row r="1226">
      <c r="B1226" s="7" t="inlineStr">
        <is>
          <t xml:space="preserve">  ↳ SkyMageCannon</t>
        </is>
      </c>
      <c r="C1226" s="7" t="inlineStr">
        <is>
          <t>Armament@PRIMARY</t>
        </is>
      </c>
      <c r="L1226" s="6" t="n">
        <v>7000</v>
      </c>
      <c r="M1226" s="6" t="n">
        <v>26</v>
      </c>
      <c r="N1226" s="6" t="n">
        <v>6</v>
      </c>
      <c r="O1226" s="6" t="n">
        <v>4</v>
      </c>
      <c r="P1226" s="6" t="n">
        <v>5000</v>
      </c>
      <c r="Q1226" s="6" t="n">
        <v>1</v>
      </c>
      <c r="R1226">
        <f>M1226+IF(MAX(N1226-1,0)&gt;0,IF(ISBLANK(O1226),5*MAX(N1226-1,0),IF(ISNUMBER(O1226),O1226*MAX(N1226-1,0),SUM(IFERROR(VALUE(TEXTSPLIT(O1226,",")),0)))),0)</f>
        <v/>
      </c>
      <c r="S1226">
        <f>IFERROR(L1226*MAX(N1226,1)/R1226*IF(ISBLANK(K1225),1,K1225),0)</f>
        <v/>
      </c>
      <c r="AB1226" s="7" t="inlineStr">
        <is>
          <t>^Warhead_Flak_Medium</t>
        </is>
      </c>
    </row>
    <row r="1227">
      <c r="B1227" s="7" t="inlineStr">
        <is>
          <t xml:space="preserve">  ↳ SkyMageCannon_elite</t>
        </is>
      </c>
      <c r="C1227" s="7" t="inlineStr">
        <is>
          <t>Armament@ELITE</t>
        </is>
      </c>
      <c r="L1227" s="6" t="n">
        <v>7000</v>
      </c>
      <c r="M1227" s="6" t="n">
        <v>26</v>
      </c>
      <c r="N1227" s="6" t="n">
        <v>8</v>
      </c>
      <c r="O1227" s="6" t="n">
        <v>3</v>
      </c>
      <c r="P1227" s="6" t="n">
        <v>6000</v>
      </c>
      <c r="Q1227" s="6" t="n">
        <v>1</v>
      </c>
      <c r="R1227">
        <f>M1227+IF(MAX(N1227-1,0)&gt;0,IF(ISBLANK(O1227),5*MAX(N1227-1,0),IF(ISNUMBER(O1227),O1227*MAX(N1227-1,0),SUM(IFERROR(VALUE(TEXTSPLIT(O1227,",")),0)))),0)</f>
        <v/>
      </c>
      <c r="S1227">
        <f>IFERROR(L1227*MAX(N1227,1)/R1227*IF(ISBLANK(K1225),1,K1225),0)</f>
        <v/>
      </c>
      <c r="AB1227" s="7" t="inlineStr">
        <is>
          <t>^Warhead_Flak_Medium</t>
        </is>
      </c>
    </row>
    <row r="1228">
      <c r="B1228" s="7" t="inlineStr">
        <is>
          <t xml:space="preserve">  ↳ SkyMageCannon_AA</t>
        </is>
      </c>
      <c r="C1228" s="7" t="inlineStr">
        <is>
          <t>Armament@AA</t>
        </is>
      </c>
      <c r="L1228" s="6" t="n">
        <v>7000</v>
      </c>
      <c r="M1228" s="6" t="n">
        <v>26</v>
      </c>
      <c r="N1228" s="6" t="n">
        <v>6</v>
      </c>
      <c r="O1228" s="6" t="n">
        <v>4</v>
      </c>
      <c r="P1228" s="6" t="n">
        <v>7500</v>
      </c>
      <c r="Q1228" s="6" t="n">
        <v>1</v>
      </c>
      <c r="R1228">
        <f>M1228+IF(MAX(N1228-1,0)&gt;0,IF(ISBLANK(O1228),5*MAX(N1228-1,0),IF(ISNUMBER(O1228),O1228*MAX(N1228-1,0),SUM(IFERROR(VALUE(TEXTSPLIT(O1228,",")),0)))),0)</f>
        <v/>
      </c>
      <c r="S1228">
        <f>IFERROR(L1228*MAX(N1228,1)/R1228*IF(ISBLANK(K1225),1,K1225),0)</f>
        <v/>
      </c>
      <c r="AB1228" s="7" t="inlineStr">
        <is>
          <t>^Warhead_Flak_Medium</t>
        </is>
      </c>
    </row>
    <row r="1229">
      <c r="B1229" s="7" t="inlineStr">
        <is>
          <t xml:space="preserve">  ↳ SkyMageCannon_AA_elite</t>
        </is>
      </c>
      <c r="C1229" s="7" t="inlineStr">
        <is>
          <t>Armament@ELITEAA</t>
        </is>
      </c>
      <c r="L1229" s="6" t="n">
        <v>7000</v>
      </c>
      <c r="M1229" s="6" t="n">
        <v>26</v>
      </c>
      <c r="N1229" s="6" t="n">
        <v>8</v>
      </c>
      <c r="O1229" s="6" t="n">
        <v>3</v>
      </c>
      <c r="P1229" s="6" t="n">
        <v>8500</v>
      </c>
      <c r="Q1229" s="6" t="n">
        <v>1</v>
      </c>
      <c r="R1229">
        <f>M1229+IF(MAX(N1229-1,0)&gt;0,IF(ISBLANK(O1229),5*MAX(N1229-1,0),IF(ISNUMBER(O1229),O1229*MAX(N1229-1,0),SUM(IFERROR(VALUE(TEXTSPLIT(O1229,",")),0)))),0)</f>
        <v/>
      </c>
      <c r="S1229">
        <f>IFERROR(L1229*MAX(N1229,1)/R1229*IF(ISBLANK(K1225),1,K1225),0)</f>
        <v/>
      </c>
      <c r="AB1229" s="7" t="inlineStr">
        <is>
          <t>^Warhead_Flak_Medium</t>
        </is>
      </c>
    </row>
    <row r="1230">
      <c r="A1230" t="inlineStr">
        <is>
          <t>starcraft</t>
        </is>
      </c>
      <c r="B1230" t="inlineStr">
        <is>
          <t>zerg_shriek</t>
        </is>
      </c>
      <c r="C1230" t="inlineStr">
        <is>
          <t>Shriek</t>
        </is>
      </c>
      <c r="D1230" s="6" t="inlineStr">
        <is>
          <t>FlyingInfantry</t>
        </is>
      </c>
      <c r="E1230" s="6" t="n">
        <v>14000</v>
      </c>
      <c r="F1230" s="6" t="n">
        <v>195</v>
      </c>
      <c r="G1230" t="inlineStr">
        <is>
          <t>Scout</t>
        </is>
      </c>
      <c r="H1230" s="6" t="n">
        <v>1</v>
      </c>
      <c r="I1230" s="6" t="n">
        <v>1</v>
      </c>
      <c r="J1230" s="6" t="n">
        <v>2</v>
      </c>
      <c r="P1230">
        <f>MAX(P1231)</f>
        <v/>
      </c>
      <c r="S1230">
        <f>S1231</f>
        <v/>
      </c>
      <c r="T1230">
        <f>(E1230/100000+F1230/100+(P1230/1000)*J1230/5+S1230/200)*200*I1230*H1230</f>
        <v/>
      </c>
      <c r="U1230">
        <f>((E1230*F1230/25000)+((P1230/1000)*J1230*S1230/2.5))*I1230*H1230</f>
        <v/>
      </c>
      <c r="V1230">
        <f>(E1230*F1230*(P1230/1000)*J1230*S1230*I1230*H1230)/12500000</f>
        <v/>
      </c>
      <c r="W1230">
        <f>(T1230+U1230+V1230)/3</f>
        <v/>
      </c>
      <c r="X1230" s="6" t="n">
        <v>500</v>
      </c>
      <c r="Y1230">
        <f>IFERROR(W1230-X1230,"")</f>
        <v/>
      </c>
      <c r="Z1230">
        <f>IFERROR(ABS(Y1230)/MAX(X1230,1),"")</f>
        <v/>
      </c>
      <c r="AA1230">
        <f>IFERROR((X1230-(((E1230/100000+F1230/100+S1230/200)*200*I1230*H1230)+((E1230*F1230/25000)*I1230*H1230))/3)/(((J1230/5)*200*I1230*H1230)+((J1230*S1230/2.5)*I1230*H1230)+((E1230*F1230*J1230*S1230*I1230*H1230)/12500000))/3*1000,"")</f>
        <v/>
      </c>
    </row>
    <row r="1231">
      <c r="B1231" s="7" t="inlineStr">
        <is>
          <t xml:space="preserve">  ↳ ShriekStinger</t>
        </is>
      </c>
      <c r="C1231" s="7" t="inlineStr">
        <is>
          <t>Armament</t>
        </is>
      </c>
      <c r="L1231" s="6" t="n">
        <v>4000</v>
      </c>
      <c r="M1231" s="6" t="n">
        <v>11</v>
      </c>
      <c r="N1231" s="6" t="n">
        <v>1</v>
      </c>
      <c r="O1231" s="6" t="n"/>
      <c r="P1231" s="6" t="n">
        <v>1150</v>
      </c>
      <c r="Q1231" s="6" t="n">
        <v>1</v>
      </c>
      <c r="R1231">
        <f>M1231+IF(MAX(N1231-1,0)&gt;0,IF(ISBLANK(O1231),5*MAX(N1231-1,0),IF(ISNUMBER(O1231),O1231*MAX(N1231-1,0),SUM(IFERROR(VALUE(TEXTSPLIT(O1231,",")),0)))),0)</f>
        <v/>
      </c>
      <c r="S1231">
        <f>IFERROR(L1231*MAX(N1231,1)/R1231*IF(ISBLANK(K1230),1,K1230),0)</f>
        <v/>
      </c>
      <c r="AB1231" s="7" t="inlineStr">
        <is>
          <t>^Warhead_Melee_Medium</t>
        </is>
      </c>
    </row>
    <row r="1232">
      <c r="A1232" t="inlineStr">
        <is>
          <t>starcraft</t>
        </is>
      </c>
      <c r="B1232" t="inlineStr">
        <is>
          <t>zerg_swarmling</t>
        </is>
      </c>
      <c r="C1232" t="inlineStr">
        <is>
          <t>Swarmling</t>
        </is>
      </c>
      <c r="D1232" s="6" t="inlineStr">
        <is>
          <t>FlyingInfantry</t>
        </is>
      </c>
      <c r="E1232" s="6" t="n">
        <v>40000</v>
      </c>
      <c r="F1232" s="6" t="n">
        <v>80</v>
      </c>
      <c r="G1232" t="inlineStr">
        <is>
          <t>Scout</t>
        </is>
      </c>
      <c r="H1232" s="6" t="n">
        <v>1</v>
      </c>
      <c r="I1232" s="6" t="n">
        <v>1</v>
      </c>
      <c r="J1232" s="6" t="n">
        <v>1.25</v>
      </c>
      <c r="P1232">
        <f>MAX(P1233)</f>
        <v/>
      </c>
      <c r="S1232">
        <f>S1233</f>
        <v/>
      </c>
      <c r="T1232">
        <f>(E1232/100000+F1232/100+(P1232/1000)*J1232/5+S1232/200)*200*I1232*H1232</f>
        <v/>
      </c>
      <c r="U1232">
        <f>((E1232*F1232/25000)+((P1232/1000)*J1232*S1232/2.5))*I1232*H1232</f>
        <v/>
      </c>
      <c r="V1232">
        <f>(E1232*F1232*(P1232/1000)*J1232*S1232*I1232*H1232)/12500000</f>
        <v/>
      </c>
      <c r="W1232">
        <f>(T1232+U1232+V1232)/3</f>
        <v/>
      </c>
      <c r="X1232" s="6" t="n">
        <v>800</v>
      </c>
      <c r="Y1232">
        <f>IFERROR(W1232-X1232,"")</f>
        <v/>
      </c>
      <c r="Z1232">
        <f>IFERROR(ABS(Y1232)/MAX(X1232,1),"")</f>
        <v/>
      </c>
      <c r="AA1232">
        <f>IFERROR((X1232-(((E1232/100000+F1232/100+S1232/200)*200*I1232*H1232)+((E1232*F1232/25000)*I1232*H1232))/3)/(((J1232/5)*200*I1232*H1232)+((J1232*S1232/2.5)*I1232*H1232)+((E1232*F1232*J1232*S1232*I1232*H1232)/12500000))/3*1000,"")</f>
        <v/>
      </c>
    </row>
    <row r="1233">
      <c r="B1233" s="7" t="inlineStr">
        <is>
          <t xml:space="preserve">  ↳ SwarmlingShoot</t>
        </is>
      </c>
      <c r="C1233" s="7" t="inlineStr">
        <is>
          <t>Armament</t>
        </is>
      </c>
      <c r="L1233" s="6" t="n">
        <v>16000</v>
      </c>
      <c r="M1233" s="6" t="n">
        <v>80</v>
      </c>
      <c r="N1233" s="6" t="n">
        <v>1</v>
      </c>
      <c r="O1233" s="6" t="n"/>
      <c r="P1233" s="6" t="n">
        <v>8561</v>
      </c>
      <c r="Q1233" s="6" t="n">
        <v>1</v>
      </c>
      <c r="R1233">
        <f>M1233+IF(MAX(N1233-1,0)&gt;0,IF(ISBLANK(O1233),5*MAX(N1233-1,0),IF(ISNUMBER(O1233),O1233*MAX(N1233-1,0),SUM(IFERROR(VALUE(TEXTSPLIT(O1233,",")),0)))),0)</f>
        <v/>
      </c>
      <c r="S1233">
        <f>IFERROR(L1233*MAX(N1233,1)/R1233*IF(ISBLANK(K1232),1,K1232),0)</f>
        <v/>
      </c>
      <c r="AB1233" s="7" t="inlineStr">
        <is>
          <t>^MediumChemicalWeapon, ^MediumFlameWeapon, ^Grenade, ^ShrapnelWeapon, ^HeavyBomb, ^MediumMissile, ^Chaingun, ^FlakWeapon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1234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50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MainBattleTank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tiberiandawn</t>
        </is>
      </c>
      <c r="B3" t="inlineStr">
        <is>
          <t>td_gdi_battletank</t>
        </is>
      </c>
      <c r="C3" t="inlineStr">
        <is>
          <t>GDI Battle Tank</t>
        </is>
      </c>
      <c r="D3" s="6" t="inlineStr">
        <is>
          <t>MainBattleTank</t>
        </is>
      </c>
      <c r="E3" s="6" t="n">
        <v>125000</v>
      </c>
      <c r="F3" s="6" t="n">
        <v>80</v>
      </c>
      <c r="G3" t="inlineStr">
        <is>
          <t>Heavy</t>
        </is>
      </c>
      <c r="H3" s="6" t="n">
        <v>1</v>
      </c>
      <c r="I3" s="6" t="n">
        <v>1</v>
      </c>
      <c r="J3" s="6" t="n">
        <v>1</v>
      </c>
      <c r="K3" t="n">
        <v>0.0105</v>
      </c>
      <c r="P3">
        <f>MAX(P4,P5,P6,P7,P8)</f>
        <v/>
      </c>
      <c r="S3">
        <f>S4+S5+S6+S7+S8</f>
        <v/>
      </c>
      <c r="T3">
        <f>(E3/100000+F3/100+(P3/1000)*J3/5+S3/200)*200*I3*H3</f>
        <v/>
      </c>
      <c r="U3">
        <f>((E3*F3/25000)+((P3/1000)*J3*S3/2.5))*I3*H3</f>
        <v/>
      </c>
      <c r="V3">
        <f>(E3*F3*(P3/1000)*J3*S3*I3*H3)/12500000</f>
        <v/>
      </c>
      <c r="W3">
        <f>IFERROR((((E3/240000)+(F3/95)+(S3/600)+((P3/5500)*J3))*800/4+(((E3/240000)*(F3/95))+(((P3/5500)*J3)*(S3/600)))*800/2+((E3/240000)*(F3/95)*((P3/5500)*J3)*(S3/600))*800)*(H3/1.0)/3,"")</f>
        <v/>
      </c>
      <c r="X3" s="6" t="n">
        <v>900</v>
      </c>
      <c r="Y3">
        <f>IFERROR(W3-X3,"")</f>
        <v/>
      </c>
      <c r="Z3">
        <f>IFERROR(ABS(Y3)/MAX(X3,1),"")</f>
        <v/>
      </c>
      <c r="AA3">
        <f>IFERROR(ROUND(((3*X3-(((E3/240000)+(F3/95)+(S3/600))*800/4+((E3/240000)*(F3/95))*800/2)*(H3/1.0))/(800/4+((S3/600))*800/2+((E3/240000)*(F3/95)*(S3/600))*800)*(H3/1.0)*5500)/J3,-1),"")</f>
        <v/>
      </c>
    </row>
    <row r="4">
      <c r="B4" s="7" t="inlineStr">
        <is>
          <t xml:space="preserve">  ↳ 120mm</t>
        </is>
      </c>
      <c r="C4" s="7" t="inlineStr">
        <is>
          <t>Armament</t>
        </is>
      </c>
      <c r="L4" s="6" t="n">
        <v>8000</v>
      </c>
      <c r="M4" s="6" t="n">
        <v>72</v>
      </c>
      <c r="N4" s="6" t="n">
        <v>1</v>
      </c>
      <c r="O4" s="6" t="n"/>
      <c r="P4" s="6" t="n">
        <v>5438</v>
      </c>
      <c r="Q4" s="6" t="n">
        <v>1</v>
      </c>
      <c r="R4">
        <f>M4+IF(MAX(N4-1,0)&gt;0,IF(ISBLANK(O4),5*MAX(N4-1,0),IF(ISNUMBER(O4),O4*MAX(N4-1,0),SUM(IFERROR(VALUE(TEXTSPLIT(O4,",")),0)))),0)</f>
        <v/>
      </c>
      <c r="S4">
        <f>IFERROR(L4*MAX(N4,1)/R4*IF(ISBLANK(K3),1,K3),0)</f>
        <v/>
      </c>
      <c r="AB4" s="7" t="inlineStr">
        <is>
          <t>^Warhead_CannonHE_Medium</t>
        </is>
      </c>
    </row>
    <row r="5">
      <c r="B5" s="7" t="inlineStr">
        <is>
          <t xml:space="preserve">  ↳ 120mmHV</t>
        </is>
      </c>
      <c r="C5" s="7" t="inlineStr">
        <is>
          <t>Armament@HV</t>
        </is>
      </c>
      <c r="L5" s="6" t="n">
        <v>16000</v>
      </c>
      <c r="M5" s="6" t="n">
        <v>72</v>
      </c>
      <c r="N5" s="6" t="n">
        <v>1</v>
      </c>
      <c r="O5" s="6" t="n"/>
      <c r="P5" s="6" t="n">
        <v>5438</v>
      </c>
      <c r="Q5" s="6" t="n">
        <v>1</v>
      </c>
      <c r="R5">
        <f>M5+IF(MAX(N5-1,0)&gt;0,IF(ISBLANK(O5),5*MAX(N5-1,0),IF(ISNUMBER(O5),O5*MAX(N5-1,0),SUM(IFERROR(VALUE(TEXTSPLIT(O5,",")),0)))),0)</f>
        <v/>
      </c>
      <c r="S5">
        <f>IFERROR(L5*MAX(N5,1)/R5*IF(ISBLANK(K3),1,K3),0)</f>
        <v/>
      </c>
      <c r="AB5" s="7" t="inlineStr">
        <is>
          <t>^Warhead_CannonHE_Medium</t>
        </is>
      </c>
    </row>
    <row r="6">
      <c r="B6" s="7" t="inlineStr">
        <is>
          <t xml:space="preserve">  ↳ M1A1Missiles</t>
        </is>
      </c>
      <c r="C6" s="7" t="inlineStr">
        <is>
          <t>Armament@Missile</t>
        </is>
      </c>
      <c r="L6" s="6" t="n">
        <v>8000</v>
      </c>
      <c r="M6" s="6" t="n">
        <v>72</v>
      </c>
      <c r="N6" s="6" t="n">
        <v>1</v>
      </c>
      <c r="O6" s="6" t="n"/>
      <c r="P6" s="6" t="n">
        <v>5400</v>
      </c>
      <c r="Q6" s="6" t="n">
        <v>1</v>
      </c>
      <c r="R6">
        <f>M6+IF(MAX(N6-1,0)&gt;0,IF(ISBLANK(O6),5*MAX(N6-1,0),IF(ISNUMBER(O6),O6*MAX(N6-1,0),SUM(IFERROR(VALUE(TEXTSPLIT(O6,",")),0)))),0)</f>
        <v/>
      </c>
      <c r="S6">
        <f>IFERROR(L6*MAX(N6,1)/R6*IF(ISBLANK(K3),1,K3),0)</f>
        <v/>
      </c>
      <c r="AB6" s="7" t="inlineStr">
        <is>
          <t>^Warhead_MissileAP_Medium</t>
        </is>
      </c>
    </row>
    <row r="7">
      <c r="B7" s="7" t="inlineStr">
        <is>
          <t xml:space="preserve">  ↳ M1A1MissilesAMT</t>
        </is>
      </c>
      <c r="C7" s="7" t="inlineStr">
        <is>
          <t>Armament@AdvancedMissileTargeting</t>
        </is>
      </c>
      <c r="L7" s="6" t="n">
        <v>8000</v>
      </c>
      <c r="M7" s="6" t="n">
        <v>72</v>
      </c>
      <c r="N7" s="6" t="n">
        <v>1</v>
      </c>
      <c r="O7" s="6" t="n"/>
      <c r="P7" s="6" t="n">
        <v>5400</v>
      </c>
      <c r="Q7" s="6" t="n">
        <v>1</v>
      </c>
      <c r="R7">
        <f>M7+IF(MAX(N7-1,0)&gt;0,IF(ISBLANK(O7),5*MAX(N7-1,0),IF(ISNUMBER(O7),O7*MAX(N7-1,0),SUM(IFERROR(VALUE(TEXTSPLIT(O7,",")),0)))),0)</f>
        <v/>
      </c>
      <c r="S7">
        <f>IFERROR(L7*MAX(N7,1)/R7*IF(ISBLANK(K3),1,K3),0)</f>
        <v/>
      </c>
      <c r="AB7" s="7" t="inlineStr">
        <is>
          <t>^Warhead_MissileAP_Medium</t>
        </is>
      </c>
    </row>
    <row r="8">
      <c r="B8" s="7" t="inlineStr">
        <is>
          <t xml:space="preserve">  ↳ M1A1MachineGun</t>
        </is>
      </c>
      <c r="C8" s="7" t="inlineStr">
        <is>
          <t>Armament@MachineGun</t>
        </is>
      </c>
      <c r="L8" s="6" t="n">
        <v>2000</v>
      </c>
      <c r="M8" s="6" t="n">
        <v>68</v>
      </c>
      <c r="N8" s="6" t="n">
        <v>4</v>
      </c>
      <c r="O8" s="6" t="n"/>
      <c r="P8" s="6" t="n">
        <v>5400</v>
      </c>
      <c r="Q8" s="6" t="n">
        <v>1</v>
      </c>
      <c r="R8">
        <f>M8+IF(MAX(N8-1,0)&gt;0,IF(ISBLANK(O8),5*MAX(N8-1,0),IF(ISNUMBER(O8),O8*MAX(N8-1,0),SUM(IFERROR(VALUE(TEXTSPLIT(O8,",")),0)))),0)</f>
        <v/>
      </c>
      <c r="S8">
        <f>IFERROR(L8*MAX(N8,1)/R8*IF(ISBLANK(K3),1,K3),0)</f>
        <v/>
      </c>
      <c r="AB8" s="7" t="inlineStr">
        <is>
          <t>^Warhead_Bullet_Medium</t>
        </is>
      </c>
    </row>
    <row r="9">
      <c r="A9" t="inlineStr">
        <is>
          <t>tiberiandawn</t>
        </is>
      </c>
      <c r="B9" t="inlineStr">
        <is>
          <t>td_gdi_predatortank</t>
        </is>
      </c>
      <c r="C9" t="inlineStr">
        <is>
          <t>Predator Tank</t>
        </is>
      </c>
      <c r="D9" s="6" t="inlineStr">
        <is>
          <t>MainBattleTank</t>
        </is>
      </c>
      <c r="E9" s="6" t="n">
        <v>170000</v>
      </c>
      <c r="F9" s="6" t="n">
        <v>70</v>
      </c>
      <c r="G9" t="inlineStr">
        <is>
          <t>Heavy</t>
        </is>
      </c>
      <c r="H9" s="6" t="n">
        <v>1</v>
      </c>
      <c r="I9" s="6" t="n">
        <v>1</v>
      </c>
      <c r="J9" s="6" t="n">
        <v>1.25</v>
      </c>
      <c r="K9" t="n">
        <v>0.0105</v>
      </c>
      <c r="P9">
        <f>MAX(P10,P11,P12,P13,P14)</f>
        <v/>
      </c>
      <c r="S9">
        <f>S10+S11+S12+S13+S14</f>
        <v/>
      </c>
      <c r="T9">
        <f>(E9/100000+F9/100+(P9/1000)*J9/5+S9/200)*200*I9*H9</f>
        <v/>
      </c>
      <c r="U9">
        <f>((E9*F9/25000)+((P9/1000)*J9*S9/2.5))*I9*H9</f>
        <v/>
      </c>
      <c r="V9">
        <f>(E9*F9*(P9/1000)*J9*S9*I9*H9)/12500000</f>
        <v/>
      </c>
      <c r="W9">
        <f>IFERROR((((E9/240000)+(F9/95)+(S9/600)+((P9/5500)*J9))*800/4+(((E9/240000)*(F9/95))+(((P9/5500)*J9)*(S9/600)))*800/2+((E9/240000)*(F9/95)*((P9/5500)*J9)*(S9/600))*800)*(H9/1.0)/3,"")</f>
        <v/>
      </c>
      <c r="X9" s="6" t="n">
        <v>1250</v>
      </c>
      <c r="Y9">
        <f>IFERROR(W9-X9,"")</f>
        <v/>
      </c>
      <c r="Z9">
        <f>IFERROR(ABS(Y9)/MAX(X9,1),"")</f>
        <v/>
      </c>
      <c r="AA9">
        <f>IFERROR(ROUND(((3*X9-(((E9/240000)+(F9/95)+(S9/600))*800/4+((E9/240000)*(F9/95))*800/2)*(H9/1.0))/(800/4+((S9/600))*800/2+((E9/240000)*(F9/95)*(S9/600))*800)*(H9/1.0)*5500)/J9,-1),"")</f>
        <v/>
      </c>
    </row>
    <row r="10">
      <c r="B10" s="7" t="inlineStr">
        <is>
          <t xml:space="preserve">  ↳ GDIPredatorTankCannon</t>
        </is>
      </c>
      <c r="C10" s="7" t="inlineStr">
        <is>
          <t>Armament@PRIMARY</t>
        </is>
      </c>
      <c r="L10" s="6" t="n">
        <v>8000</v>
      </c>
      <c r="M10" s="6" t="n">
        <v>70</v>
      </c>
      <c r="N10" s="6" t="n">
        <v>1</v>
      </c>
      <c r="O10" s="6" t="n"/>
      <c r="P10" s="6" t="n">
        <v>5880</v>
      </c>
      <c r="Q10" s="6" t="n">
        <v>1</v>
      </c>
      <c r="R10">
        <f>M10+IF(MAX(N10-1,0)&gt;0,IF(ISBLANK(O10),5*MAX(N10-1,0),IF(ISNUMBER(O10),O10*MAX(N10-1,0),SUM(IFERROR(VALUE(TEXTSPLIT(O10,",")),0)))),0)</f>
        <v/>
      </c>
      <c r="S10">
        <f>IFERROR(L10*MAX(N10,1)/R10*IF(ISBLANK(K9),1,K9),0)</f>
        <v/>
      </c>
      <c r="AB10" s="7" t="inlineStr">
        <is>
          <t>^Warhead_CannonHE_Medium</t>
        </is>
      </c>
    </row>
    <row r="11">
      <c r="B11" s="7" t="inlineStr">
        <is>
          <t xml:space="preserve">  ↳ GDIPredatorTankCannonHV</t>
        </is>
      </c>
      <c r="C11" s="7" t="inlineStr">
        <is>
          <t>Armament@Upgrade</t>
        </is>
      </c>
      <c r="L11" s="6" t="n">
        <v>16000</v>
      </c>
      <c r="M11" s="6" t="n">
        <v>70</v>
      </c>
      <c r="N11" s="6" t="n">
        <v>1</v>
      </c>
      <c r="O11" s="6" t="n"/>
      <c r="P11" s="6" t="n">
        <v>5880</v>
      </c>
      <c r="Q11" s="6" t="n">
        <v>1</v>
      </c>
      <c r="R11">
        <f>M11+IF(MAX(N11-1,0)&gt;0,IF(ISBLANK(O11),5*MAX(N11-1,0),IF(ISNUMBER(O11),O11*MAX(N11-1,0),SUM(IFERROR(VALUE(TEXTSPLIT(O11,",")),0)))),0)</f>
        <v/>
      </c>
      <c r="S11">
        <f>IFERROR(L11*MAX(N11,1)/R11*IF(ISBLANK(K9),1,K9),0)</f>
        <v/>
      </c>
      <c r="AB11" s="7" t="inlineStr">
        <is>
          <t>^Warhead_CannonHE_Medium</t>
        </is>
      </c>
    </row>
    <row r="12">
      <c r="B12" s="7" t="inlineStr">
        <is>
          <t xml:space="preserve">  ↳ GDIPredatorTankMissiles</t>
        </is>
      </c>
      <c r="C12" s="7" t="inlineStr">
        <is>
          <t>Armament@SECONDARY</t>
        </is>
      </c>
      <c r="L12" s="6" t="n">
        <v>8000</v>
      </c>
      <c r="M12" s="6" t="n">
        <v>70</v>
      </c>
      <c r="N12" s="6" t="n">
        <v>1</v>
      </c>
      <c r="O12" s="6" t="n"/>
      <c r="P12" s="6" t="n">
        <v>5880</v>
      </c>
      <c r="Q12" s="6" t="n">
        <v>1</v>
      </c>
      <c r="R12">
        <f>M12+IF(MAX(N12-1,0)&gt;0,IF(ISBLANK(O12),5*MAX(N12-1,0),IF(ISNUMBER(O12),O12*MAX(N12-1,0),SUM(IFERROR(VALUE(TEXTSPLIT(O12,",")),0)))),0)</f>
        <v/>
      </c>
      <c r="S12">
        <f>IFERROR(L12*MAX(N12,1)/R12*IF(ISBLANK(K9),1,K9),0)</f>
        <v/>
      </c>
      <c r="AB12" s="7" t="inlineStr">
        <is>
          <t>^Warhead_MissileAP_Medium</t>
        </is>
      </c>
    </row>
    <row r="13">
      <c r="B13" s="7" t="inlineStr">
        <is>
          <t xml:space="preserve">  ↳ GDIPredatorTankMissilesAMT</t>
        </is>
      </c>
      <c r="C13" s="7" t="inlineStr">
        <is>
          <t>Armament@AdvancedMissileTargeting</t>
        </is>
      </c>
      <c r="L13" s="6" t="n">
        <v>8000</v>
      </c>
      <c r="M13" s="6" t="n">
        <v>70</v>
      </c>
      <c r="N13" s="6" t="n">
        <v>1</v>
      </c>
      <c r="O13" s="6" t="n"/>
      <c r="P13" s="6" t="n">
        <v>5880</v>
      </c>
      <c r="Q13" s="6" t="n">
        <v>1</v>
      </c>
      <c r="R13">
        <f>M13+IF(MAX(N13-1,0)&gt;0,IF(ISBLANK(O13),5*MAX(N13-1,0),IF(ISNUMBER(O13),O13*MAX(N13-1,0),SUM(IFERROR(VALUE(TEXTSPLIT(O13,",")),0)))),0)</f>
        <v/>
      </c>
      <c r="S13">
        <f>IFERROR(L13*MAX(N13,1)/R13*IF(ISBLANK(K9),1,K9),0)</f>
        <v/>
      </c>
      <c r="AB13" s="7" t="inlineStr">
        <is>
          <t>^Warhead_MissileAP_Medium</t>
        </is>
      </c>
    </row>
    <row r="14">
      <c r="B14" s="7" t="inlineStr">
        <is>
          <t xml:space="preserve">  ↳ GDIPredatorMachineGun</t>
        </is>
      </c>
      <c r="C14" s="7" t="inlineStr">
        <is>
          <t>Armament@MachineGun</t>
        </is>
      </c>
      <c r="L14" s="6" t="n">
        <v>2000</v>
      </c>
      <c r="M14" s="6" t="n">
        <v>70</v>
      </c>
      <c r="N14" s="6" t="n">
        <v>4</v>
      </c>
      <c r="O14" s="6" t="n"/>
      <c r="P14" s="6" t="n">
        <v>5880</v>
      </c>
      <c r="Q14" s="6" t="n">
        <v>1</v>
      </c>
      <c r="R14">
        <f>M14+IF(MAX(N14-1,0)&gt;0,IF(ISBLANK(O14),5*MAX(N14-1,0),IF(ISNUMBER(O14),O14*MAX(N14-1,0),SUM(IFERROR(VALUE(TEXTSPLIT(O14,",")),0)))),0)</f>
        <v/>
      </c>
      <c r="S14">
        <f>IFERROR(L14*MAX(N14,1)/R14*IF(ISBLANK(K9),1,K9),0)</f>
        <v/>
      </c>
      <c r="AB14" s="7" t="inlineStr">
        <is>
          <t>^Warhead_Bullet_Medium</t>
        </is>
      </c>
    </row>
    <row r="15">
      <c r="B15" s="7" t="inlineStr">
        <is>
          <t xml:space="preserve">  ↳ GDIPredatorBlueLaser</t>
        </is>
      </c>
      <c r="C15" s="7" t="inlineStr">
        <is>
          <t>Armament@Lights</t>
        </is>
      </c>
      <c r="M15" s="6" t="n">
        <v>11</v>
      </c>
      <c r="N15" s="6" t="n">
        <v>1</v>
      </c>
      <c r="O15" s="6" t="n"/>
      <c r="P15" s="6" t="n">
        <v>5880</v>
      </c>
      <c r="Q15" s="6" t="n">
        <v>1</v>
      </c>
      <c r="R15">
        <f>M15+IF(MAX(N15-1,0)&gt;0,IF(ISBLANK(O15),5*MAX(N15-1,0),IF(ISNUMBER(O15),O15*MAX(N15-1,0),SUM(IFERROR(VALUE(TEXTSPLIT(O15,",")),0)))),0)</f>
        <v/>
      </c>
      <c r="S15">
        <f>IFERROR(L15*MAX(N15,1)/R15*IF(ISBLANK(K9),1,K9),0)</f>
        <v/>
      </c>
      <c r="AB15" s="7" t="inlineStr"/>
    </row>
    <row r="16">
      <c r="A16" t="inlineStr">
        <is>
          <t>shared</t>
        </is>
      </c>
      <c r="B16" t="inlineStr">
        <is>
          <t>ra1_allies_alliedcybertank</t>
        </is>
      </c>
      <c r="C16" t="inlineStr">
        <is>
          <t>Allied Cyber Tank</t>
        </is>
      </c>
      <c r="D16" s="6" t="inlineStr">
        <is>
          <t>MainBattleTank</t>
        </is>
      </c>
      <c r="E16" s="6" t="n">
        <v>160000</v>
      </c>
      <c r="F16" s="6" t="n">
        <v>75</v>
      </c>
      <c r="G16" t="inlineStr">
        <is>
          <t>Heavy</t>
        </is>
      </c>
      <c r="H16" s="6" t="n">
        <v>1</v>
      </c>
      <c r="I16" s="6" t="n">
        <v>1</v>
      </c>
      <c r="J16" s="6" t="n">
        <v>1</v>
      </c>
      <c r="P16">
        <f>MAX(P17,P18)</f>
        <v/>
      </c>
      <c r="S16">
        <f>S17+S18</f>
        <v/>
      </c>
      <c r="T16">
        <f>(E16/100000+F16/100+(P16/1000)*J16/5+S16/200)*200*I16*H16</f>
        <v/>
      </c>
      <c r="U16">
        <f>((E16*F16/25000)+((P16/1000)*J16*S16/2.5))*I16*H16</f>
        <v/>
      </c>
      <c r="V16">
        <f>(E16*F16*(P16/1000)*J16*S16*I16*H16)/12500000</f>
        <v/>
      </c>
      <c r="W16">
        <f>IFERROR((((E16/240000)+(F16/95)+(S16/600)+((P16/5500)*J16))*800/4+(((E16/240000)*(F16/95))+(((P16/5500)*J16)*(S16/600)))*800/2+((E16/240000)*(F16/95)*((P16/5500)*J16)*(S16/600))*800)*(H16/1.0)/3,"")</f>
        <v/>
      </c>
      <c r="X16" s="6" t="n">
        <v>1300</v>
      </c>
      <c r="Y16">
        <f>IFERROR(W16-X16,"")</f>
        <v/>
      </c>
      <c r="Z16">
        <f>IFERROR(ABS(Y16)/MAX(X16,1),"")</f>
        <v/>
      </c>
      <c r="AA16">
        <f>IFERROR(ROUND(((3*X16-(((E16/240000)+(F16/95)+(S16/600))*800/4+((E16/240000)*(F16/95))*800/2)*(H16/1.0))/(800/4+((S16/600))*800/2+((E16/240000)*(F16/95)*(S16/600))*800)*(H16/1.0)*5500)/J16,-1),"")</f>
        <v/>
      </c>
    </row>
    <row r="17">
      <c r="B17" s="7" t="inlineStr">
        <is>
          <t xml:space="preserve">  ↳ TigerCannon</t>
        </is>
      </c>
      <c r="C17" s="7" t="inlineStr">
        <is>
          <t>Armament</t>
        </is>
      </c>
      <c r="L17" s="6" t="n">
        <v>16000</v>
      </c>
      <c r="M17" s="6" t="n">
        <v>60</v>
      </c>
      <c r="N17" s="6" t="n">
        <v>1</v>
      </c>
      <c r="O17" s="6" t="n"/>
      <c r="P17" s="6" t="n">
        <v>5915</v>
      </c>
      <c r="Q17" s="6" t="n">
        <v>1.125</v>
      </c>
      <c r="R17">
        <f>M17+IF(MAX(N17-1,0)&gt;0,IF(ISBLANK(O17),5*MAX(N17-1,0),IF(ISNUMBER(O17),O17*MAX(N17-1,0),SUM(IFERROR(VALUE(TEXTSPLIT(O17,",")),0)))),0)</f>
        <v/>
      </c>
      <c r="S17">
        <f>IFERROR(L17*MAX(N17,1)/R17*IF(ISBLANK(K16),1,K16),0)</f>
        <v/>
      </c>
      <c r="AB17" s="7" t="inlineStr">
        <is>
          <t>^Warhead_CannonHE_Heavy, ^Warhead_CannonHE_Medium</t>
        </is>
      </c>
    </row>
    <row r="18">
      <c r="B18" s="7" t="inlineStr">
        <is>
          <t xml:space="preserve">  ↳ TigerCannonCryo</t>
        </is>
      </c>
      <c r="C18" s="7" t="inlineStr">
        <is>
          <t>Armament@Cryo</t>
        </is>
      </c>
      <c r="L18" s="6" t="n">
        <v>16000</v>
      </c>
      <c r="M18" s="6" t="n">
        <v>60</v>
      </c>
      <c r="N18" s="6" t="n">
        <v>1</v>
      </c>
      <c r="O18" s="6" t="n"/>
      <c r="P18" s="6" t="n">
        <v>5915</v>
      </c>
      <c r="Q18" s="6" t="n">
        <v>1.25</v>
      </c>
      <c r="R18">
        <f>M18+IF(MAX(N18-1,0)&gt;0,IF(ISBLANK(O18),5*MAX(N18-1,0),IF(ISNUMBER(O18),O18*MAX(N18-1,0),SUM(IFERROR(VALUE(TEXTSPLIT(O18,",")),0)))),0)</f>
        <v/>
      </c>
      <c r="S18">
        <f>IFERROR(L18*MAX(N18,1)/R18*IF(ISBLANK(K16),1,K16),0)</f>
        <v/>
      </c>
      <c r="AB18" s="7" t="inlineStr">
        <is>
          <t>^Warhead_CannonCryo_Heavy</t>
        </is>
      </c>
    </row>
    <row r="19">
      <c r="A19" t="inlineStr">
        <is>
          <t>redalert</t>
        </is>
      </c>
      <c r="B19" t="inlineStr">
        <is>
          <t>japan_chihaheavytank</t>
        </is>
      </c>
      <c r="C19" t="inlineStr">
        <is>
          <t>Chi-Ha Heavy Tank</t>
        </is>
      </c>
      <c r="D19" s="6" t="inlineStr">
        <is>
          <t>MainBattleTank</t>
        </is>
      </c>
      <c r="E19" s="6" t="n">
        <v>130000</v>
      </c>
      <c r="F19" s="6" t="n">
        <v>85</v>
      </c>
      <c r="G19" t="inlineStr">
        <is>
          <t>Heavy</t>
        </is>
      </c>
      <c r="H19" s="6" t="n">
        <v>0.8683999999999999</v>
      </c>
      <c r="I19" s="6" t="n">
        <v>1</v>
      </c>
      <c r="J19" s="6" t="n">
        <v>1</v>
      </c>
      <c r="P19">
        <f>MAX(P20,P21)</f>
        <v/>
      </c>
      <c r="S19">
        <f>S20+S21</f>
        <v/>
      </c>
      <c r="T19">
        <f>(E19/100000+F19/100+(P19/1000)*J19/5+S19/200)*200*I19*H19</f>
        <v/>
      </c>
      <c r="U19">
        <f>((E19*F19/25000)+((P19/1000)*J19*S19/2.5))*I19*H19</f>
        <v/>
      </c>
      <c r="V19">
        <f>(E19*F19*(P19/1000)*J19*S19*I19*H19)/12500000</f>
        <v/>
      </c>
      <c r="W19">
        <f>IFERROR((((E19/240000)+(F19/95)+(S19/600)+((P19/5500)*J19))*800/4+(((E19/240000)*(F19/95))+(((P19/5500)*J19)*(S19/600)))*800/2+((E19/240000)*(F19/95)*((P19/5500)*J19)*(S19/600))*800)*(H19/1.0)/3,"")</f>
        <v/>
      </c>
      <c r="X19" s="6" t="n">
        <v>1200</v>
      </c>
      <c r="Y19">
        <f>IFERROR(W19-X19,"")</f>
        <v/>
      </c>
      <c r="Z19">
        <f>IFERROR(ABS(Y19)/MAX(X19,1),"")</f>
        <v/>
      </c>
      <c r="AA19">
        <f>IFERROR(ROUND(((3*X19-(((E19/240000)+(F19/95)+(S19/600))*800/4+((E19/240000)*(F19/95))*800/2)*(H19/1.0))/(800/4+((S19/600))*800/2+((E19/240000)*(F19/95)*(S19/600))*800)*(H19/1.0)*5500)/J19,-1),"")</f>
        <v/>
      </c>
    </row>
    <row r="20">
      <c r="B20" s="7" t="inlineStr">
        <is>
          <t xml:space="preserve">  ↳ Type97Cannon</t>
        </is>
      </c>
      <c r="C20" s="7" t="inlineStr">
        <is>
          <t>Armament</t>
        </is>
      </c>
      <c r="L20" s="6" t="n">
        <v>12000</v>
      </c>
      <c r="M20" s="6" t="n">
        <v>56</v>
      </c>
      <c r="N20" s="6" t="n">
        <v>1</v>
      </c>
      <c r="O20" s="6" t="n"/>
      <c r="P20" s="6" t="n">
        <v>5692</v>
      </c>
      <c r="Q20" s="6" t="n">
        <v>1.125</v>
      </c>
      <c r="R20">
        <f>M20+IF(MAX(N20-1,0)&gt;0,IF(ISBLANK(O20),5*MAX(N20-1,0),IF(ISNUMBER(O20),O20*MAX(N20-1,0),SUM(IFERROR(VALUE(TEXTSPLIT(O20,",")),0)))),0)</f>
        <v/>
      </c>
      <c r="S20">
        <f>IFERROR(L20*MAX(N20,1)/R20*IF(ISBLANK(K19),1,K19),0)</f>
        <v/>
      </c>
      <c r="AB20" s="7" t="inlineStr">
        <is>
          <t>^Warhead_CannonHE_Heavy, ^Warhead_CannonHE_Medium</t>
        </is>
      </c>
    </row>
    <row r="21">
      <c r="B21" s="7" t="inlineStr">
        <is>
          <t xml:space="preserve">  ↳ Type97PlasmaCannon</t>
        </is>
      </c>
      <c r="C21" s="7" t="inlineStr">
        <is>
          <t>Armament@Upgrade</t>
        </is>
      </c>
      <c r="L21" s="6" t="n">
        <v>12000</v>
      </c>
      <c r="M21" s="6" t="n">
        <v>56</v>
      </c>
      <c r="N21" s="6" t="n">
        <v>1</v>
      </c>
      <c r="O21" s="6" t="n"/>
      <c r="P21" s="6" t="n">
        <v>5692</v>
      </c>
      <c r="Q21" s="6" t="n">
        <v>1</v>
      </c>
      <c r="R21">
        <f>M21+IF(MAX(N21-1,0)&gt;0,IF(ISBLANK(O21),5*MAX(N21-1,0),IF(ISNUMBER(O21),O21*MAX(N21-1,0),SUM(IFERROR(VALUE(TEXTSPLIT(O21,",")),0)))),0)</f>
        <v/>
      </c>
      <c r="S21">
        <f>IFERROR(L21*MAX(N21,1)/R21*IF(ISBLANK(K19),1,K19),0)</f>
        <v/>
      </c>
      <c r="AB21" s="7" t="inlineStr">
        <is>
          <t>^Warhead_Tesla_Heavy, ^Warhead_Railgun_Heavy, ^Warhead_CannonHE_Heavy</t>
        </is>
      </c>
    </row>
    <row r="22">
      <c r="A22" t="inlineStr">
        <is>
          <t>redalert</t>
        </is>
      </c>
      <c r="B22" t="inlineStr">
        <is>
          <t>japan_igomediumtank</t>
        </is>
      </c>
      <c r="C22" t="inlineStr">
        <is>
          <t>I-Go Medium Tank</t>
        </is>
      </c>
      <c r="D22" s="6" t="inlineStr">
        <is>
          <t>MainBattleTank</t>
        </is>
      </c>
      <c r="E22" s="6" t="n">
        <v>110000</v>
      </c>
      <c r="F22" s="6" t="n">
        <v>90</v>
      </c>
      <c r="G22" t="inlineStr">
        <is>
          <t>Heavy</t>
        </is>
      </c>
      <c r="H22" s="6" t="n">
        <v>1</v>
      </c>
      <c r="I22" s="6" t="n">
        <v>1</v>
      </c>
      <c r="J22" s="6" t="n">
        <v>1</v>
      </c>
      <c r="P22">
        <f>MAX(P23,P24)</f>
        <v/>
      </c>
      <c r="S22">
        <f>S23+S24</f>
        <v/>
      </c>
      <c r="T22">
        <f>(E22/100000+F22/100+(P22/1000)*J22/5+S22/200)*200*I22*H22</f>
        <v/>
      </c>
      <c r="U22">
        <f>((E22*F22/25000)+((P22/1000)*J22*S22/2.5))*I22*H22</f>
        <v/>
      </c>
      <c r="V22">
        <f>(E22*F22*(P22/1000)*J22*S22*I22*H22)/12500000</f>
        <v/>
      </c>
      <c r="W22">
        <f>IFERROR((((E22/240000)+(F22/95)+(S22/600)+((P22/5500)*J22))*800/4+(((E22/240000)*(F22/95))+(((P22/5500)*J22)*(S22/600)))*800/2+((E22/240000)*(F22/95)*((P22/5500)*J22)*(S22/600))*800)*(H22/1.0)/3,"")</f>
        <v/>
      </c>
      <c r="X22" s="6" t="n">
        <v>800</v>
      </c>
      <c r="Y22">
        <f>IFERROR(W22-X22,"")</f>
        <v/>
      </c>
      <c r="Z22">
        <f>IFERROR(ABS(Y22)/MAX(X22,1),"")</f>
        <v/>
      </c>
      <c r="AA22">
        <f>IFERROR(ROUND(((3*X22-(((E22/240000)+(F22/95)+(S22/600))*800/4+((E22/240000)*(F22/95))*800/2)*(H22/1.0))/(800/4+((S22/600))*800/2+((E22/240000)*(F22/95)*(S22/600))*800)*(H22/1.0)*5500)/J22,-1),"")</f>
        <v/>
      </c>
    </row>
    <row r="23">
      <c r="B23" s="7" t="inlineStr">
        <is>
          <t xml:space="preserve">  ↳ Type89Cannon</t>
        </is>
      </c>
      <c r="C23" s="7" t="inlineStr">
        <is>
          <t>Armament</t>
        </is>
      </c>
      <c r="L23" s="6" t="n">
        <v>10000</v>
      </c>
      <c r="M23" s="6" t="n">
        <v>52</v>
      </c>
      <c r="N23" s="6" t="n">
        <v>1</v>
      </c>
      <c r="O23" s="6" t="n"/>
      <c r="P23" s="6" t="n">
        <v>5243</v>
      </c>
      <c r="Q23" s="6" t="n">
        <v>1</v>
      </c>
      <c r="R23">
        <f>M23+IF(MAX(N23-1,0)&gt;0,IF(ISBLANK(O23),5*MAX(N23-1,0),IF(ISNUMBER(O23),O23*MAX(N23-1,0),SUM(IFERROR(VALUE(TEXTSPLIT(O23,",")),0)))),0)</f>
        <v/>
      </c>
      <c r="S23">
        <f>IFERROR(L23*MAX(N23,1)/R23*IF(ISBLANK(K22),1,K22),0)</f>
        <v/>
      </c>
      <c r="AB23" s="7" t="inlineStr">
        <is>
          <t>^Warhead_CannonHE_Medium</t>
        </is>
      </c>
    </row>
    <row r="24">
      <c r="B24" s="7" t="inlineStr">
        <is>
          <t xml:space="preserve">  ↳ Type89PlasmaCannon</t>
        </is>
      </c>
      <c r="C24" s="7" t="inlineStr">
        <is>
          <t>Armament@Upgrade</t>
        </is>
      </c>
      <c r="L24" s="6" t="n">
        <v>13000</v>
      </c>
      <c r="M24" s="6" t="n">
        <v>52</v>
      </c>
      <c r="N24" s="6" t="n">
        <v>1</v>
      </c>
      <c r="O24" s="6" t="n"/>
      <c r="P24" s="6" t="n">
        <v>5243</v>
      </c>
      <c r="Q24" s="6" t="n">
        <v>1</v>
      </c>
      <c r="R24">
        <f>M24+IF(MAX(N24-1,0)&gt;0,IF(ISBLANK(O24),5*MAX(N24-1,0),IF(ISNUMBER(O24),O24*MAX(N24-1,0),SUM(IFERROR(VALUE(TEXTSPLIT(O24,",")),0)))),0)</f>
        <v/>
      </c>
      <c r="S24">
        <f>IFERROR(L24*MAX(N24,1)/R24*IF(ISBLANK(K22),1,K22),0)</f>
        <v/>
      </c>
      <c r="AB24" s="7" t="inlineStr">
        <is>
          <t>^TeslaWeapon, ^TankDestroyerCannon, ^HeavyCannon</t>
        </is>
      </c>
    </row>
    <row r="25">
      <c r="A25" t="inlineStr">
        <is>
          <t>redalert</t>
        </is>
      </c>
      <c r="B25" t="inlineStr">
        <is>
          <t>ra1_soviets_hammertank</t>
        </is>
      </c>
      <c r="C25" t="inlineStr">
        <is>
          <t>Hammer Tank</t>
        </is>
      </c>
      <c r="D25" s="6" t="inlineStr">
        <is>
          <t>MainBattleTank</t>
        </is>
      </c>
      <c r="E25" s="6" t="n">
        <v>210000</v>
      </c>
      <c r="F25" s="6" t="n">
        <v>60</v>
      </c>
      <c r="G25" t="inlineStr">
        <is>
          <t>Heavy</t>
        </is>
      </c>
      <c r="H25" s="6" t="n">
        <v>1</v>
      </c>
      <c r="I25" s="6" t="n">
        <v>1</v>
      </c>
      <c r="J25" s="6" t="n">
        <v>1</v>
      </c>
      <c r="P25">
        <f>MAX(P26,P27,P28)</f>
        <v/>
      </c>
      <c r="S25">
        <f>S26+S27+S28</f>
        <v/>
      </c>
      <c r="T25">
        <f>(E25/100000+F25/100+(P25/1000)*J25/5+S25/200)*200*I25*H25</f>
        <v/>
      </c>
      <c r="U25">
        <f>((E25*F25/25000)+((P25/1000)*J25*S25/2.5))*I25*H25</f>
        <v/>
      </c>
      <c r="V25">
        <f>(E25*F25*(P25/1000)*J25*S25*I25*H25)/12500000</f>
        <v/>
      </c>
      <c r="W25">
        <f>IFERROR((((E25/240000)+(F25/95)+(S25/600)+((P25/5500)*J25))*800/4+(((E25/240000)*(F25/95))+(((P25/5500)*J25)*(S25/600)))*800/2+((E25/240000)*(F25/95)*((P25/5500)*J25)*(S25/600))*800)*(H25/1.0)/3,"")</f>
        <v/>
      </c>
      <c r="X25" s="6" t="n">
        <v>1500</v>
      </c>
      <c r="Y25">
        <f>IFERROR(W25-X25,"")</f>
        <v/>
      </c>
      <c r="Z25">
        <f>IFERROR(ABS(Y25)/MAX(X25,1),"")</f>
        <v/>
      </c>
      <c r="AA25">
        <f>IFERROR(ROUND(((3*X25-(((E25/240000)+(F25/95)+(S25/600))*800/4+((E25/240000)*(F25/95))*800/2)*(H25/1.0))/(800/4+((S25/600))*800/2+((E25/240000)*(F25/95)*(S25/600))*800)*(H25/1.0)*5500)/J25,-1),"")</f>
        <v/>
      </c>
    </row>
    <row r="26">
      <c r="B26" s="7" t="inlineStr">
        <is>
          <t xml:space="preserve">  ↳ HammerTankCannon</t>
        </is>
      </c>
      <c r="C26" s="7" t="inlineStr">
        <is>
          <t>Armament</t>
        </is>
      </c>
      <c r="L26" s="6" t="n">
        <v>12000</v>
      </c>
      <c r="M26" s="6" t="n">
        <v>85</v>
      </c>
      <c r="N26" s="6" t="n">
        <v>2</v>
      </c>
      <c r="O26" s="6" t="n">
        <v>5</v>
      </c>
      <c r="P26" s="6" t="n">
        <v>6825</v>
      </c>
      <c r="Q26" s="6" t="n">
        <v>1.125</v>
      </c>
      <c r="R26">
        <f>M26+IF(MAX(N26-1,0)&gt;0,IF(ISBLANK(O26),5*MAX(N26-1,0),IF(ISNUMBER(O26),O26*MAX(N26-1,0),SUM(IFERROR(VALUE(TEXTSPLIT(O26,",")),0)))),0)</f>
        <v/>
      </c>
      <c r="S26">
        <f>IFERROR(L26*MAX(N26,1)/R26*IF(ISBLANK(K25),1,K25),0)</f>
        <v/>
      </c>
      <c r="AB26" s="7" t="inlineStr">
        <is>
          <t>^Warhead_CannonHE_Heavy, ^Warhead_CannonHE_Medium</t>
        </is>
      </c>
    </row>
    <row r="27">
      <c r="B27" s="7" t="inlineStr">
        <is>
          <t xml:space="preserve">  ↳ HammerTankCannonThermobaric</t>
        </is>
      </c>
      <c r="C27" s="7" t="inlineStr">
        <is>
          <t>Armament@Upgrade</t>
        </is>
      </c>
      <c r="L27" s="6" t="n">
        <v>16000</v>
      </c>
      <c r="M27" s="6" t="n">
        <v>85</v>
      </c>
      <c r="N27" s="6" t="n">
        <v>2</v>
      </c>
      <c r="O27" s="6" t="n">
        <v>5</v>
      </c>
      <c r="P27" s="6" t="n">
        <v>6825</v>
      </c>
      <c r="Q27" s="6" t="n">
        <v>1</v>
      </c>
      <c r="R27">
        <f>M27+IF(MAX(N27-1,0)&gt;0,IF(ISBLANK(O27),5*MAX(N27-1,0),IF(ISNUMBER(O27),O27*MAX(N27-1,0),SUM(IFERROR(VALUE(TEXTSPLIT(O27,",")),0)))),0)</f>
        <v/>
      </c>
      <c r="S27">
        <f>IFERROR(L27*MAX(N27,1)/R27*IF(ISBLANK(K25),1,K25),0)</f>
        <v/>
      </c>
      <c r="AB27" s="7" t="inlineStr">
        <is>
          <t>^Warhead_Demolition_Heavy, ^Warhead_Flame_Medium, ^Warhead_CannonHE_Heavy, ^Warhead_CannonHE_Medium</t>
        </is>
      </c>
    </row>
    <row r="28">
      <c r="B28" s="7" t="inlineStr">
        <is>
          <t xml:space="preserve">  ↳ ShtoraLaser</t>
        </is>
      </c>
      <c r="C28" s="7" t="inlineStr">
        <is>
          <t>Armament@shtora</t>
        </is>
      </c>
      <c r="L28" s="6" t="n">
        <v>7000</v>
      </c>
      <c r="M28" s="6" t="n">
        <v>100</v>
      </c>
      <c r="N28" s="6" t="n">
        <v>1</v>
      </c>
      <c r="O28" s="6" t="n"/>
      <c r="P28" s="6" t="n">
        <v>6825</v>
      </c>
      <c r="Q28" s="6" t="n">
        <v>1</v>
      </c>
      <c r="R28">
        <f>M28+IF(MAX(N28-1,0)&gt;0,IF(ISBLANK(O28),5*MAX(N28-1,0),IF(ISNUMBER(O28),O28*MAX(N28-1,0),SUM(IFERROR(VALUE(TEXTSPLIT(O28,",")),0)))),0)</f>
        <v/>
      </c>
      <c r="S28">
        <f>IFERROR(L28*MAX(N28,1)/R28*IF(ISBLANK(K25),1,K25),0)</f>
        <v/>
      </c>
      <c r="AB28" s="7" t="inlineStr">
        <is>
          <t>^LightFlameWeapon, ^FlakWeapon, ^LaserWeapon</t>
        </is>
      </c>
    </row>
    <row r="29">
      <c r="A29" t="inlineStr">
        <is>
          <t>redalert</t>
        </is>
      </c>
      <c r="B29" t="inlineStr">
        <is>
          <t>ra1_soviets_heavytank</t>
        </is>
      </c>
      <c r="C29" t="inlineStr">
        <is>
          <t>Soviet Heavy Tank</t>
        </is>
      </c>
      <c r="D29" s="6" t="inlineStr">
        <is>
          <t>MainBattleTank</t>
        </is>
      </c>
      <c r="E29" s="6" t="n">
        <v>150000</v>
      </c>
      <c r="F29" s="6" t="n">
        <v>70</v>
      </c>
      <c r="G29" t="inlineStr">
        <is>
          <t>Heavy</t>
        </is>
      </c>
      <c r="H29" s="6" t="n">
        <v>1</v>
      </c>
      <c r="I29" s="6" t="n">
        <v>1</v>
      </c>
      <c r="J29" s="6" t="n">
        <v>1</v>
      </c>
      <c r="P29">
        <f>MAX(P30,P31)</f>
        <v/>
      </c>
      <c r="S29">
        <f>S30+S31</f>
        <v/>
      </c>
      <c r="T29">
        <f>(E29/100000+F29/100+(P29/1000)*J29/5+S29/200)*200*I29*H29</f>
        <v/>
      </c>
      <c r="U29">
        <f>((E29*F29/25000)+((P29/1000)*J29*S29/2.5))*I29*H29</f>
        <v/>
      </c>
      <c r="V29">
        <f>(E29*F29*(P29/1000)*J29*S29*I29*H29)/12500000</f>
        <v/>
      </c>
      <c r="W29">
        <f>IFERROR((((E29/240000)+(F29/95)+(S29/600)+((P29/5500)*J29))*800/4+(((E29/240000)*(F29/95))+(((P29/5500)*J29)*(S29/600)))*800/2+((E29/240000)*(F29/95)*((P29/5500)*J29)*(S29/600))*800)*(H29/1.0)/3,"")</f>
        <v/>
      </c>
      <c r="X29" s="6" t="n">
        <v>1000</v>
      </c>
      <c r="Y29">
        <f>IFERROR(W29-X29,"")</f>
        <v/>
      </c>
      <c r="Z29">
        <f>IFERROR(ABS(Y29)/MAX(X29,1),"")</f>
        <v/>
      </c>
      <c r="AA29">
        <f>IFERROR(ROUND(((3*X29-(((E29/240000)+(F29/95)+(S29/600))*800/4+((E29/240000)*(F29/95))*800/2)*(H29/1.0))/(800/4+((S29/600))*800/2+((E29/240000)*(F29/95)*(S29/600))*800)*(H29/1.0)*5500)/J29,-1),"")</f>
        <v/>
      </c>
    </row>
    <row r="30">
      <c r="B30" s="7" t="inlineStr">
        <is>
          <t xml:space="preserve">  ↳ 105mm</t>
        </is>
      </c>
      <c r="C30" s="7" t="inlineStr">
        <is>
          <t>Armament</t>
        </is>
      </c>
      <c r="L30" s="6" t="n">
        <v>10000</v>
      </c>
      <c r="M30" s="6" t="n">
        <v>76</v>
      </c>
      <c r="N30" s="6" t="n">
        <v>2</v>
      </c>
      <c r="O30" s="6" t="n">
        <v>5</v>
      </c>
      <c r="P30" s="6" t="n">
        <v>5469</v>
      </c>
      <c r="Q30" s="6" t="n">
        <v>1</v>
      </c>
      <c r="R30">
        <f>M30+IF(MAX(N30-1,0)&gt;0,IF(ISBLANK(O30),5*MAX(N30-1,0),IF(ISNUMBER(O30),O30*MAX(N30-1,0),SUM(IFERROR(VALUE(TEXTSPLIT(O30,",")),0)))),0)</f>
        <v/>
      </c>
      <c r="S30">
        <f>IFERROR(L30*MAX(N30,1)/R30*IF(ISBLANK(K29),1,K29),0)</f>
        <v/>
      </c>
      <c r="AB30" s="7" t="inlineStr">
        <is>
          <t>^Warhead_CannonHE_Medium</t>
        </is>
      </c>
    </row>
    <row r="31">
      <c r="B31" s="7" t="inlineStr">
        <is>
          <t xml:space="preserve">  ↳ 105mmThermobaric</t>
        </is>
      </c>
      <c r="C31" s="7" t="inlineStr">
        <is>
          <t>Armament@Upgrade</t>
        </is>
      </c>
      <c r="L31" s="6" t="n">
        <v>12000</v>
      </c>
      <c r="M31" s="6" t="n">
        <v>76</v>
      </c>
      <c r="N31" s="6" t="n">
        <v>2</v>
      </c>
      <c r="O31" s="6" t="n">
        <v>5</v>
      </c>
      <c r="P31" s="6" t="n">
        <v>5469</v>
      </c>
      <c r="Q31" s="6" t="n">
        <v>1</v>
      </c>
      <c r="R31">
        <f>M31+IF(MAX(N31-1,0)&gt;0,IF(ISBLANK(O31),5*MAX(N31-1,0),IF(ISNUMBER(O31),O31*MAX(N31-1,0),SUM(IFERROR(VALUE(TEXTSPLIT(O31,",")),0)))),0)</f>
        <v/>
      </c>
      <c r="S31">
        <f>IFERROR(L31*MAX(N31,1)/R31*IF(ISBLANK(K29),1,K29),0)</f>
        <v/>
      </c>
      <c r="AB31" s="7" t="inlineStr">
        <is>
          <t>^Warhead_Flame_Medium, ^Warhead_CannonHE_Medium</t>
        </is>
      </c>
    </row>
    <row r="32">
      <c r="A32" t="inlineStr">
        <is>
          <t>redalert</t>
        </is>
      </c>
      <c r="B32" t="inlineStr">
        <is>
          <t>ra1_soviets_kotinnucleartank</t>
        </is>
      </c>
      <c r="C32" t="inlineStr">
        <is>
          <t>Kotin Nuclear Tank</t>
        </is>
      </c>
      <c r="D32" s="6" t="inlineStr">
        <is>
          <t>MainBattleTank</t>
        </is>
      </c>
      <c r="E32" s="6" t="n">
        <v>240000</v>
      </c>
      <c r="F32" s="6" t="n">
        <v>65</v>
      </c>
      <c r="G32" t="inlineStr">
        <is>
          <t>Heavy</t>
        </is>
      </c>
      <c r="H32" s="6" t="n">
        <v>1</v>
      </c>
      <c r="I32" s="6" t="n">
        <v>1</v>
      </c>
      <c r="J32" s="6" t="n">
        <v>1.25</v>
      </c>
      <c r="P32">
        <f>MAX(P33,P34)</f>
        <v/>
      </c>
      <c r="S32">
        <f>S33+S34</f>
        <v/>
      </c>
      <c r="T32">
        <f>(E32/100000+F32/100+(P32/1000)*J32/5+S32/200)*200*I32*H32</f>
        <v/>
      </c>
      <c r="U32">
        <f>((E32*F32/25000)+((P32/1000)*J32*S32/2.5))*I32*H32</f>
        <v/>
      </c>
      <c r="V32">
        <f>(E32*F32*(P32/1000)*J32*S32*I32*H32)/12500000</f>
        <v/>
      </c>
      <c r="W32">
        <f>IFERROR((((E32/240000)+(F32/95)+(S32/600)+((P32/5500)*J32))*800/4+(((E32/240000)*(F32/95))+(((P32/5500)*J32)*(S32/600)))*800/2+((E32/240000)*(F32/95)*((P32/5500)*J32)*(S32/600))*800)*(H32/1.0)/3,"")</f>
        <v/>
      </c>
      <c r="X32" s="6" t="n">
        <v>1800</v>
      </c>
      <c r="Y32">
        <f>IFERROR(W32-X32,"")</f>
        <v/>
      </c>
      <c r="Z32">
        <f>IFERROR(ABS(Y32)/MAX(X32,1),"")</f>
        <v/>
      </c>
      <c r="AA32">
        <f>IFERROR(ROUND(((3*X32-(((E32/240000)+(F32/95)+(S32/600))*800/4+((E32/240000)*(F32/95))*800/2)*(H32/1.0))/(800/4+((S32/600))*800/2+((E32/240000)*(F32/95)*(S32/600))*800)*(H32/1.0)*5500)/J32,-1),"")</f>
        <v/>
      </c>
    </row>
    <row r="33">
      <c r="B33" s="7" t="inlineStr">
        <is>
          <t xml:space="preserve">  ↳ KotinCannon</t>
        </is>
      </c>
      <c r="C33" s="7" t="inlineStr">
        <is>
          <t>Armament</t>
        </is>
      </c>
      <c r="L33" s="6" t="n">
        <v>12000</v>
      </c>
      <c r="M33" s="6" t="n">
        <v>96</v>
      </c>
      <c r="N33" s="6" t="n">
        <v>2</v>
      </c>
      <c r="O33" s="6" t="n">
        <v>4</v>
      </c>
      <c r="P33" s="6" t="n">
        <v>6427</v>
      </c>
      <c r="Q33" s="6" t="n">
        <v>1.125</v>
      </c>
      <c r="R33">
        <f>M33+IF(MAX(N33-1,0)&gt;0,IF(ISBLANK(O33),5*MAX(N33-1,0),IF(ISNUMBER(O33),O33*MAX(N33-1,0),SUM(IFERROR(VALUE(TEXTSPLIT(O33,",")),0)))),0)</f>
        <v/>
      </c>
      <c r="S33">
        <f>IFERROR(L33*MAX(N33,1)/R33*IF(ISBLANK(K32),1,K32),0)</f>
        <v/>
      </c>
      <c r="AB33" s="7" t="inlineStr">
        <is>
          <t>^Warhead_CannonHE_Heavy, ^Warhead_CannonHE_Medium</t>
        </is>
      </c>
    </row>
    <row r="34">
      <c r="B34" s="7" t="inlineStr">
        <is>
          <t xml:space="preserve">  ↳ KotinCannonThermobaric</t>
        </is>
      </c>
      <c r="C34" s="7" t="inlineStr">
        <is>
          <t>Armament@Upgrade</t>
        </is>
      </c>
      <c r="L34" s="6" t="n">
        <v>16000</v>
      </c>
      <c r="M34" s="6" t="n">
        <v>96</v>
      </c>
      <c r="N34" s="6" t="n">
        <v>2</v>
      </c>
      <c r="O34" s="6" t="n">
        <v>4</v>
      </c>
      <c r="P34" s="6" t="n">
        <v>6427</v>
      </c>
      <c r="Q34" s="6" t="n">
        <v>1</v>
      </c>
      <c r="R34">
        <f>M34+IF(MAX(N34-1,0)&gt;0,IF(ISBLANK(O34),5*MAX(N34-1,0),IF(ISNUMBER(O34),O34*MAX(N34-1,0),SUM(IFERROR(VALUE(TEXTSPLIT(O34,",")),0)))),0)</f>
        <v/>
      </c>
      <c r="S34">
        <f>IFERROR(L34*MAX(N34,1)/R34*IF(ISBLANK(K32),1,K32),0)</f>
        <v/>
      </c>
      <c r="AB34" s="7" t="inlineStr">
        <is>
          <t>^Warhead_Demolition_Heavy, ^Warhead_Flame_Medium, ^Warhead_CannonHE_Heavy, ^Warhead_CannonHE_Medium</t>
        </is>
      </c>
    </row>
    <row r="35">
      <c r="A35" t="inlineStr">
        <is>
          <t>redalert</t>
        </is>
      </c>
      <c r="B35" t="inlineStr">
        <is>
          <t>ra1_allies_alliedmediumtank</t>
        </is>
      </c>
      <c r="C35" t="inlineStr">
        <is>
          <t>Allied Medium Tank</t>
        </is>
      </c>
      <c r="D35" s="6" t="inlineStr">
        <is>
          <t>MainBattleTank</t>
        </is>
      </c>
      <c r="E35" s="6" t="n">
        <v>90000</v>
      </c>
      <c r="F35" s="6" t="n">
        <v>100</v>
      </c>
      <c r="G35" t="inlineStr">
        <is>
          <t>Heavy</t>
        </is>
      </c>
      <c r="H35" s="6" t="n">
        <v>1</v>
      </c>
      <c r="I35" s="6" t="n">
        <v>1</v>
      </c>
      <c r="J35" s="6" t="n">
        <v>1</v>
      </c>
      <c r="P35">
        <f>MAX(P36,P37)</f>
        <v/>
      </c>
      <c r="S35">
        <f>S36+S37</f>
        <v/>
      </c>
      <c r="T35">
        <f>(E35/100000+F35/100+(P35/1000)*J35/5+S35/200)*200*I35*H35</f>
        <v/>
      </c>
      <c r="U35">
        <f>((E35*F35/25000)+((P35/1000)*J35*S35/2.5))*I35*H35</f>
        <v/>
      </c>
      <c r="V35">
        <f>(E35*F35*(P35/1000)*J35*S35*I35*H35)/12500000</f>
        <v/>
      </c>
      <c r="W35">
        <f>IFERROR((((E35/240000)+(F35/95)+(S35/600)+((P35/5500)*J35))*800/4+(((E35/240000)*(F35/95))+(((P35/5500)*J35)*(S35/600)))*800/2+((E35/240000)*(F35/95)*((P35/5500)*J35)*(S35/600))*800)*(H35/1.0)/3,"")</f>
        <v/>
      </c>
      <c r="X35" s="6" t="n">
        <v>700</v>
      </c>
      <c r="Y35">
        <f>IFERROR(W35-X35,"")</f>
        <v/>
      </c>
      <c r="Z35">
        <f>IFERROR(ABS(Y35)/MAX(X35,1),"")</f>
        <v/>
      </c>
      <c r="AA35">
        <f>IFERROR(ROUND(((3*X35-(((E35/240000)+(F35/95)+(S35/600))*800/4+((E35/240000)*(F35/95))*800/2)*(H35/1.0))/(800/4+((S35/600))*800/2+((E35/240000)*(F35/95)*(S35/600))*800)*(H35/1.0)*5500)/J35,-1),"")</f>
        <v/>
      </c>
    </row>
    <row r="36">
      <c r="B36" s="7" t="inlineStr">
        <is>
          <t xml:space="preserve">  ↳ 90mm</t>
        </is>
      </c>
      <c r="C36" s="7" t="inlineStr">
        <is>
          <t>Armament</t>
        </is>
      </c>
      <c r="L36" s="6" t="n">
        <v>8000</v>
      </c>
      <c r="M36" s="6" t="n">
        <v>47</v>
      </c>
      <c r="N36" s="6" t="n">
        <v>1</v>
      </c>
      <c r="O36" s="6" t="n"/>
      <c r="P36" s="6" t="n">
        <v>5159</v>
      </c>
      <c r="Q36" s="6" t="n">
        <v>1</v>
      </c>
      <c r="R36">
        <f>M36+IF(MAX(N36-1,0)&gt;0,IF(ISBLANK(O36),5*MAX(N36-1,0),IF(ISNUMBER(O36),O36*MAX(N36-1,0),SUM(IFERROR(VALUE(TEXTSPLIT(O36,",")),0)))),0)</f>
        <v/>
      </c>
      <c r="S36">
        <f>IFERROR(L36*MAX(N36,1)/R36*IF(ISBLANK(K35),1,K35),0)</f>
        <v/>
      </c>
      <c r="AB36" s="7" t="inlineStr">
        <is>
          <t>^Warhead_CannonHE_Medium</t>
        </is>
      </c>
    </row>
    <row r="37">
      <c r="B37" s="7" t="inlineStr">
        <is>
          <t xml:space="preserve">  ↳ 90mmCryo</t>
        </is>
      </c>
      <c r="C37" s="7" t="inlineStr">
        <is>
          <t>Armament@Cryo</t>
        </is>
      </c>
      <c r="L37" s="6" t="n">
        <v>8000</v>
      </c>
      <c r="M37" s="6" t="n">
        <v>47</v>
      </c>
      <c r="N37" s="6" t="n">
        <v>1</v>
      </c>
      <c r="O37" s="6" t="n"/>
      <c r="P37" s="6" t="n">
        <v>5159</v>
      </c>
      <c r="Q37" s="6" t="n">
        <v>1</v>
      </c>
      <c r="R37">
        <f>M37+IF(MAX(N37-1,0)&gt;0,IF(ISBLANK(O37),5*MAX(N37-1,0),IF(ISNUMBER(O37),O37*MAX(N37-1,0),SUM(IFERROR(VALUE(TEXTSPLIT(O37,",")),0)))),0)</f>
        <v/>
      </c>
      <c r="S37">
        <f>IFERROR(L37*MAX(N37,1)/R37*IF(ISBLANK(K35),1,K35),0)</f>
        <v/>
      </c>
      <c r="AB37" s="7" t="inlineStr">
        <is>
          <t>^Warhead_CannonCryo_Medium</t>
        </is>
      </c>
    </row>
    <row r="38">
      <c r="A38" t="inlineStr">
        <is>
          <t>redalert</t>
        </is>
      </c>
      <c r="B38" t="inlineStr">
        <is>
          <t>ra1_allies_alliedtigerheavytank</t>
        </is>
      </c>
      <c r="C38" t="inlineStr">
        <is>
          <t>Allied Tiger Heavy Tank</t>
        </is>
      </c>
      <c r="D38" s="6" t="inlineStr">
        <is>
          <t>MainBattleTank</t>
        </is>
      </c>
      <c r="E38" s="6" t="n">
        <v>160000</v>
      </c>
      <c r="F38" s="6" t="n">
        <v>75</v>
      </c>
      <c r="G38" t="inlineStr">
        <is>
          <t>Heavy</t>
        </is>
      </c>
      <c r="H38" s="6" t="n">
        <v>1</v>
      </c>
      <c r="I38" s="6" t="n">
        <v>1</v>
      </c>
      <c r="J38" s="6" t="n">
        <v>1</v>
      </c>
      <c r="P38">
        <f>MAX(P39,P40)</f>
        <v/>
      </c>
      <c r="S38">
        <f>S39+S40</f>
        <v/>
      </c>
      <c r="T38">
        <f>(E38/100000+F38/100+(P38/1000)*J38/5+S38/200)*200*I38*H38</f>
        <v/>
      </c>
      <c r="U38">
        <f>((E38*F38/25000)+((P38/1000)*J38*S38/2.5))*I38*H38</f>
        <v/>
      </c>
      <c r="V38">
        <f>(E38*F38*(P38/1000)*J38*S38*I38*H38)/12500000</f>
        <v/>
      </c>
      <c r="W38">
        <f>IFERROR((((E38/240000)+(F38/95)+(S38/600)+((P38/5500)*J38))*800/4+(((E38/240000)*(F38/95))+(((P38/5500)*J38)*(S38/600)))*800/2+((E38/240000)*(F38/95)*((P38/5500)*J38)*(S38/600))*800)*(H38/1.0)/3,"")</f>
        <v/>
      </c>
      <c r="X38" s="6" t="n">
        <v>1300</v>
      </c>
      <c r="Y38">
        <f>IFERROR(W38-X38,"")</f>
        <v/>
      </c>
      <c r="Z38">
        <f>IFERROR(ABS(Y38)/MAX(X38,1),"")</f>
        <v/>
      </c>
      <c r="AA38">
        <f>IFERROR(ROUND(((3*X38-(((E38/240000)+(F38/95)+(S38/600))*800/4+((E38/240000)*(F38/95))*800/2)*(H38/1.0))/(800/4+((S38/600))*800/2+((E38/240000)*(F38/95)*(S38/600))*800)*(H38/1.0)*5500)/J38,-1),"")</f>
        <v/>
      </c>
    </row>
    <row r="39">
      <c r="B39" s="7" t="inlineStr">
        <is>
          <t xml:space="preserve">  ↳ TigerCannon</t>
        </is>
      </c>
      <c r="C39" s="7" t="inlineStr">
        <is>
          <t>Armament</t>
        </is>
      </c>
      <c r="L39" s="6" t="n">
        <v>16000</v>
      </c>
      <c r="M39" s="6" t="n">
        <v>60</v>
      </c>
      <c r="N39" s="6" t="n">
        <v>1</v>
      </c>
      <c r="O39" s="6" t="n"/>
      <c r="P39" s="6" t="n">
        <v>5915</v>
      </c>
      <c r="Q39" s="6" t="n">
        <v>1.125</v>
      </c>
      <c r="R39">
        <f>M39+IF(MAX(N39-1,0)&gt;0,IF(ISBLANK(O39),5*MAX(N39-1,0),IF(ISNUMBER(O39),O39*MAX(N39-1,0),SUM(IFERROR(VALUE(TEXTSPLIT(O39,",")),0)))),0)</f>
        <v/>
      </c>
      <c r="S39">
        <f>IFERROR(L39*MAX(N39,1)/R39*IF(ISBLANK(K38),1,K38),0)</f>
        <v/>
      </c>
      <c r="AB39" s="7" t="inlineStr">
        <is>
          <t>^Warhead_CannonHE_Heavy, ^Warhead_CannonHE_Medium</t>
        </is>
      </c>
    </row>
    <row r="40">
      <c r="B40" s="7" t="inlineStr">
        <is>
          <t xml:space="preserve">  ↳ TigerCannonCryo</t>
        </is>
      </c>
      <c r="C40" s="7" t="inlineStr">
        <is>
          <t>Armament@Cryo</t>
        </is>
      </c>
      <c r="L40" s="6" t="n">
        <v>16000</v>
      </c>
      <c r="M40" s="6" t="n">
        <v>60</v>
      </c>
      <c r="N40" s="6" t="n">
        <v>1</v>
      </c>
      <c r="O40" s="6" t="n"/>
      <c r="P40" s="6" t="n">
        <v>5915</v>
      </c>
      <c r="Q40" s="6" t="n">
        <v>1.25</v>
      </c>
      <c r="R40">
        <f>M40+IF(MAX(N40-1,0)&gt;0,IF(ISBLANK(O40),5*MAX(N40-1,0),IF(ISNUMBER(O40),O40*MAX(N40-1,0),SUM(IFERROR(VALUE(TEXTSPLIT(O40,",")),0)))),0)</f>
        <v/>
      </c>
      <c r="S40">
        <f>IFERROR(L40*MAX(N40,1)/R40*IF(ISBLANK(K38),1,K38),0)</f>
        <v/>
      </c>
      <c r="AB40" s="7" t="inlineStr">
        <is>
          <t>^Warhead_CannonCryo_Heavy</t>
        </is>
      </c>
    </row>
    <row r="41">
      <c r="A41" t="inlineStr">
        <is>
          <t>tiberiansun</t>
        </is>
      </c>
      <c r="B41" t="inlineStr">
        <is>
          <t>cabal_tarantula</t>
        </is>
      </c>
      <c r="C41" t="inlineStr">
        <is>
          <t>Tarantula</t>
        </is>
      </c>
      <c r="D41" s="6" t="inlineStr">
        <is>
          <t>MainBattleTank</t>
        </is>
      </c>
      <c r="E41" s="6" t="n">
        <v>110000</v>
      </c>
      <c r="F41" s="6" t="n">
        <v>70</v>
      </c>
      <c r="G41" t="inlineStr">
        <is>
          <t>Heavy</t>
        </is>
      </c>
      <c r="H41" s="6" t="n">
        <v>1</v>
      </c>
      <c r="I41" s="6" t="n">
        <v>1</v>
      </c>
      <c r="J41" s="6" t="n">
        <v>1</v>
      </c>
      <c r="P41">
        <f>MAX(P42,P43)</f>
        <v/>
      </c>
      <c r="S41">
        <f>S42+S43</f>
        <v/>
      </c>
      <c r="T41">
        <f>(E41/100000+F41/100+(P41/1000)*J41/5+S41/200)*200*I41*H41</f>
        <v/>
      </c>
      <c r="U41">
        <f>((E41*F41/25000)+((P41/1000)*J41*S41/2.5))*I41*H41</f>
        <v/>
      </c>
      <c r="V41">
        <f>(E41*F41*(P41/1000)*J41*S41*I41*H41)/12500000</f>
        <v/>
      </c>
      <c r="W41">
        <f>IFERROR((((E41/240000)+(F41/95)+(S41/600)+((P41/5500)*J41))*800/4+(((E41/240000)*(F41/95))+(((P41/5500)*J41)*(S41/600)))*800/2+((E41/240000)*(F41/95)*((P41/5500)*J41)*(S41/600))*800)*(H41/1.0)/3,"")</f>
        <v/>
      </c>
      <c r="X41" s="6" t="n">
        <v>1000</v>
      </c>
      <c r="Y41">
        <f>IFERROR(W41-X41,"")</f>
        <v/>
      </c>
      <c r="Z41">
        <f>IFERROR(ABS(Y41)/MAX(X41,1),"")</f>
        <v/>
      </c>
      <c r="AA41">
        <f>IFERROR(ROUND(((3*X41-(((E41/240000)+(F41/95)+(S41/600))*800/4+((E41/240000)*(F41/95))*800/2)*(H41/1.0))/(800/4+((S41/600))*800/2+((E41/240000)*(F41/95)*(S41/600))*800)*(H41/1.0)*5500)/J41,-1),"")</f>
        <v/>
      </c>
    </row>
    <row r="42">
      <c r="B42" s="7" t="inlineStr">
        <is>
          <t xml:space="preserve">  ↳ CabalTarantulaCannon</t>
        </is>
      </c>
      <c r="C42" s="7" t="inlineStr">
        <is>
          <t>Armament@PRIMARY</t>
        </is>
      </c>
      <c r="L42" s="6" t="n">
        <v>16000</v>
      </c>
      <c r="M42" s="6" t="n">
        <v>48</v>
      </c>
      <c r="N42" s="6" t="n">
        <v>1</v>
      </c>
      <c r="O42" s="6" t="n"/>
      <c r="P42" s="6" t="n">
        <v>5278</v>
      </c>
      <c r="Q42" s="6" t="n">
        <v>1</v>
      </c>
      <c r="R42">
        <f>M42+IF(MAX(N42-1,0)&gt;0,IF(ISBLANK(O42),5*MAX(N42-1,0),IF(ISNUMBER(O42),O42*MAX(N42-1,0),SUM(IFERROR(VALUE(TEXTSPLIT(O42,",")),0)))),0)</f>
        <v/>
      </c>
      <c r="S42">
        <f>IFERROR(L42*MAX(N42,1)/R42*IF(ISBLANK(K41),1,K41),0)</f>
        <v/>
      </c>
      <c r="AB42" s="7" t="inlineStr">
        <is>
          <t>^Warhead_CannonHE_Medium</t>
        </is>
      </c>
    </row>
    <row r="43">
      <c r="B43" s="7" t="inlineStr">
        <is>
          <t xml:space="preserve">  ↳ TS120mm_bluenuke</t>
        </is>
      </c>
      <c r="C43" s="7" t="inlineStr">
        <is>
          <t>Armament@Upgraded</t>
        </is>
      </c>
      <c r="L43" s="6" t="n">
        <v>24000</v>
      </c>
      <c r="M43" s="6" t="n">
        <v>44</v>
      </c>
      <c r="N43" s="6" t="n">
        <v>1</v>
      </c>
      <c r="O43" s="6" t="n"/>
      <c r="P43" s="6" t="n">
        <v>6201</v>
      </c>
      <c r="Q43" s="6" t="n">
        <v>1</v>
      </c>
      <c r="R43">
        <f>M43+IF(MAX(N43-1,0)&gt;0,IF(ISBLANK(O43),5*MAX(N43-1,0),IF(ISNUMBER(O43),O43*MAX(N43-1,0),SUM(IFERROR(VALUE(TEXTSPLIT(O43,",")),0)))),0)</f>
        <v/>
      </c>
      <c r="S43">
        <f>IFERROR(L43*MAX(N43,1)/R43*IF(ISBLANK(K41),1,K41),0)</f>
        <v/>
      </c>
      <c r="AB43" s="7" t="inlineStr">
        <is>
          <t>^Warhead_CannonHE_Medium</t>
        </is>
      </c>
    </row>
    <row r="44">
      <c r="A44" t="inlineStr">
        <is>
          <t>tiberiansun</t>
        </is>
      </c>
      <c r="B44" t="inlineStr">
        <is>
          <t>cabal_widow</t>
        </is>
      </c>
      <c r="C44" t="inlineStr">
        <is>
          <t>Widow</t>
        </is>
      </c>
      <c r="D44" s="6" t="inlineStr">
        <is>
          <t>MainBattleTank</t>
        </is>
      </c>
      <c r="E44" s="6" t="n">
        <v>120000</v>
      </c>
      <c r="F44" s="6" t="n">
        <v>60</v>
      </c>
      <c r="G44" t="inlineStr">
        <is>
          <t>Heavy</t>
        </is>
      </c>
      <c r="H44" s="6" t="n">
        <v>1</v>
      </c>
      <c r="I44" s="6" t="n">
        <v>1</v>
      </c>
      <c r="J44" s="6" t="n">
        <v>1</v>
      </c>
      <c r="P44">
        <f>MAX(P45)</f>
        <v/>
      </c>
      <c r="S44">
        <f>S45</f>
        <v/>
      </c>
      <c r="T44">
        <f>(E44/100000+F44/100+(P44/1000)*J44/5+S44/200)*200*I44*H44</f>
        <v/>
      </c>
      <c r="U44">
        <f>((E44*F44/25000)+((P44/1000)*J44*S44/2.5))*I44*H44</f>
        <v/>
      </c>
      <c r="V44">
        <f>(E44*F44*(P44/1000)*J44*S44*I44*H44)/12500000</f>
        <v/>
      </c>
      <c r="W44">
        <f>IFERROR((((E44/240000)+(F44/95)+(S44/600)+((P44/5500)*J44))*800/4+(((E44/240000)*(F44/95))+(((P44/5500)*J44)*(S44/600)))*800/2+((E44/240000)*(F44/95)*((P44/5500)*J44)*(S44/600))*800)*(H44/1.0)/3,"")</f>
        <v/>
      </c>
      <c r="X44" s="6" t="n">
        <v>3500</v>
      </c>
      <c r="Y44">
        <f>IFERROR(W44-X44,"")</f>
        <v/>
      </c>
      <c r="Z44">
        <f>IFERROR(ABS(Y44)/MAX(X44,1),"")</f>
        <v/>
      </c>
      <c r="AA44">
        <f>IFERROR(ROUND(((3*X44-(((E44/240000)+(F44/95)+(S44/600))*800/4+((E44/240000)*(F44/95))*800/2)*(H44/1.0))/(800/4+((S44/600))*800/2+((E44/240000)*(F44/95)*(S44/600))*800)*(H44/1.0)*5500)/J44,-1),"")</f>
        <v/>
      </c>
    </row>
    <row r="45">
      <c r="B45" s="7" t="inlineStr">
        <is>
          <t xml:space="preserve">  ↳ CabalLegionGun</t>
        </is>
      </c>
      <c r="C45" s="7" t="inlineStr">
        <is>
          <t>Armament@PRIMARY</t>
        </is>
      </c>
      <c r="L45" s="6" t="n">
        <v>120000</v>
      </c>
      <c r="M45" s="6" t="n">
        <v>40</v>
      </c>
      <c r="N45" s="6" t="n">
        <v>1</v>
      </c>
      <c r="O45" s="6" t="n"/>
      <c r="P45" s="6" t="n">
        <v>6813</v>
      </c>
      <c r="Q45" s="6" t="n">
        <v>1</v>
      </c>
      <c r="R45">
        <f>M45+IF(MAX(N45-1,0)&gt;0,IF(ISBLANK(O45),5*MAX(N45-1,0),IF(ISNUMBER(O45),O45*MAX(N45-1,0),SUM(IFERROR(VALUE(TEXTSPLIT(O45,",")),0)))),0)</f>
        <v/>
      </c>
      <c r="S45">
        <f>IFERROR(L45*MAX(N45,1)/R45*IF(ISBLANK(K44),1,K44),0)</f>
        <v/>
      </c>
      <c r="AB45" s="7" t="inlineStr">
        <is>
          <t>^Warhead_Bullet_Light, ^Warhead_Laser_Heavy</t>
        </is>
      </c>
    </row>
    <row r="46">
      <c r="A46" t="inlineStr">
        <is>
          <t>tiberiansun</t>
        </is>
      </c>
      <c r="B46" t="inlineStr">
        <is>
          <t>ts_nod_ticktank</t>
        </is>
      </c>
      <c r="C46" t="inlineStr">
        <is>
          <t>Tick Tank</t>
        </is>
      </c>
      <c r="D46" s="6" t="inlineStr">
        <is>
          <t>MainBattleTank</t>
        </is>
      </c>
      <c r="E46" s="6" t="n">
        <v>100000</v>
      </c>
      <c r="F46" s="6" t="n">
        <v>90</v>
      </c>
      <c r="G46" t="inlineStr">
        <is>
          <t>Heavy</t>
        </is>
      </c>
      <c r="H46" s="6" t="n">
        <v>1</v>
      </c>
      <c r="I46" s="6" t="n">
        <v>1</v>
      </c>
      <c r="J46" s="6" t="n">
        <v>1</v>
      </c>
      <c r="P46">
        <f>MAX(P47,P48,P49,P50,P51,P52)</f>
        <v/>
      </c>
      <c r="S46">
        <f>S47+S48+S49+S50+S51+S52</f>
        <v/>
      </c>
      <c r="T46">
        <f>(E46/100000+F46/100+(P46/1000)*J46/5+S46/200)*200*I46*H46</f>
        <v/>
      </c>
      <c r="U46">
        <f>((E46*F46/25000)+((P46/1000)*J46*S46/2.5))*I46*H46</f>
        <v/>
      </c>
      <c r="V46">
        <f>(E46*F46*(P46/1000)*J46*S46*I46*H46)/12500000</f>
        <v/>
      </c>
      <c r="W46">
        <f>IFERROR((((E46/240000)+(F46/95)+(S46/600)+((P46/5500)*J46))*800/4+(((E46/240000)*(F46/95))+(((P46/5500)*J46)*(S46/600)))*800/2+((E46/240000)*(F46/95)*((P46/5500)*J46)*(S46/600))*800)*(H46/1.0)/3,"")</f>
        <v/>
      </c>
      <c r="X46" s="6" t="n">
        <v>800</v>
      </c>
      <c r="Y46">
        <f>IFERROR(W46-X46,"")</f>
        <v/>
      </c>
      <c r="Z46">
        <f>IFERROR(ABS(Y46)/MAX(X46,1),"")</f>
        <v/>
      </c>
      <c r="AA46">
        <f>IFERROR(ROUND(((3*X46-(((E46/240000)+(F46/95)+(S46/600))*800/4+((E46/240000)*(F46/95))*800/2)*(H46/1.0))/(800/4+((S46/600))*800/2+((E46/240000)*(F46/95)*(S46/600))*800)*(H46/1.0)*5500)/J46,-1),"")</f>
        <v/>
      </c>
    </row>
    <row r="47">
      <c r="B47" s="7" t="inlineStr">
        <is>
          <t xml:space="preserve">  ↳ TS90mm</t>
        </is>
      </c>
      <c r="C47" s="7" t="inlineStr">
        <is>
          <t>Armament@PRIMARY</t>
        </is>
      </c>
      <c r="L47" s="6" t="n">
        <v>6000</v>
      </c>
      <c r="M47" s="6" t="n">
        <v>26</v>
      </c>
      <c r="N47" s="6" t="n">
        <v>1</v>
      </c>
      <c r="O47" s="6" t="n"/>
      <c r="P47" s="6" t="n">
        <v>5319</v>
      </c>
      <c r="Q47" s="6" t="n">
        <v>1</v>
      </c>
      <c r="R47">
        <f>M47+IF(MAX(N47-1,0)&gt;0,IF(ISBLANK(O47),5*MAX(N47-1,0),IF(ISNUMBER(O47),O47*MAX(N47-1,0),SUM(IFERROR(VALUE(TEXTSPLIT(O47,",")),0)))),0)</f>
        <v/>
      </c>
      <c r="S47">
        <f>IFERROR(L47*MAX(N47,1)/R47*IF(ISBLANK(K46),1,K46),0)</f>
        <v/>
      </c>
      <c r="AB47" s="7" t="inlineStr">
        <is>
          <t>^Warhead_CannonAP_Medium</t>
        </is>
      </c>
    </row>
    <row r="48">
      <c r="B48" s="7" t="inlineStr">
        <is>
          <t xml:space="preserve">  ↳ TSLaser90mm</t>
        </is>
      </c>
      <c r="C48" s="7" t="inlineStr">
        <is>
          <t>Armament@UPGRADE</t>
        </is>
      </c>
      <c r="L48" s="6" t="n">
        <v>12000</v>
      </c>
      <c r="M48" s="6" t="n">
        <v>32</v>
      </c>
      <c r="N48" s="6" t="n">
        <v>1</v>
      </c>
      <c r="O48" s="6" t="n"/>
      <c r="P48" s="6" t="n">
        <v>5423</v>
      </c>
      <c r="Q48" s="6" t="n">
        <v>1</v>
      </c>
      <c r="R48">
        <f>M48+IF(MAX(N48-1,0)&gt;0,IF(ISBLANK(O48),5*MAX(N48-1,0),IF(ISNUMBER(O48),O48*MAX(N48-1,0),SUM(IFERROR(VALUE(TEXTSPLIT(O48,",")),0)))),0)</f>
        <v/>
      </c>
      <c r="S48">
        <f>IFERROR(L48*MAX(N48,1)/R48*IF(ISBLANK(K46),1,K46),0)</f>
        <v/>
      </c>
      <c r="AB48" s="7" t="inlineStr">
        <is>
          <t>^Warhead_CannonAP_Medium</t>
        </is>
      </c>
    </row>
    <row r="49">
      <c r="B49" s="7" t="inlineStr">
        <is>
          <t xml:space="preserve">  ↳ TS90mmDep</t>
        </is>
      </c>
      <c r="C49" s="7" t="inlineStr">
        <is>
          <t>Armament@deployed</t>
        </is>
      </c>
      <c r="L49" s="6" t="n">
        <v>6000</v>
      </c>
      <c r="M49" s="6" t="n">
        <v>22</v>
      </c>
      <c r="N49" s="6" t="n">
        <v>1</v>
      </c>
      <c r="O49" s="6" t="n"/>
      <c r="P49" s="6" t="n">
        <v>6679</v>
      </c>
      <c r="Q49" s="6" t="n">
        <v>1</v>
      </c>
      <c r="R49">
        <f>M49+IF(MAX(N49-1,0)&gt;0,IF(ISBLANK(O49),5*MAX(N49-1,0),IF(ISNUMBER(O49),O49*MAX(N49-1,0),SUM(IFERROR(VALUE(TEXTSPLIT(O49,",")),0)))),0)</f>
        <v/>
      </c>
      <c r="S49">
        <f>IFERROR(L49*MAX(N49,1)/R49*IF(ISBLANK(K46),1,K46),0)</f>
        <v/>
      </c>
      <c r="AB49" s="7" t="inlineStr">
        <is>
          <t>^Warhead_CannonAP_Medium</t>
        </is>
      </c>
    </row>
    <row r="50">
      <c r="B50" s="7" t="inlineStr">
        <is>
          <t xml:space="preserve">  ↳ TSLaser90mmDep</t>
        </is>
      </c>
      <c r="C50" s="7" t="inlineStr">
        <is>
          <t>Armament@UPGRADEdeployed</t>
        </is>
      </c>
      <c r="L50" s="6" t="n">
        <v>12000</v>
      </c>
      <c r="M50" s="6" t="n">
        <v>26</v>
      </c>
      <c r="N50" s="6" t="n">
        <v>1</v>
      </c>
      <c r="O50" s="6" t="n"/>
      <c r="P50" s="6" t="n">
        <v>6754</v>
      </c>
      <c r="Q50" s="6" t="n">
        <v>1</v>
      </c>
      <c r="R50">
        <f>M50+IF(MAX(N50-1,0)&gt;0,IF(ISBLANK(O50),5*MAX(N50-1,0),IF(ISNUMBER(O50),O50*MAX(N50-1,0),SUM(IFERROR(VALUE(TEXTSPLIT(O50,",")),0)))),0)</f>
        <v/>
      </c>
      <c r="S50">
        <f>IFERROR(L50*MAX(N50,1)/R50*IF(ISBLANK(K46),1,K46),0)</f>
        <v/>
      </c>
      <c r="AB50" s="7" t="inlineStr">
        <is>
          <t>^Warhead_CannonAP_Medium</t>
        </is>
      </c>
    </row>
    <row r="51">
      <c r="B51" s="7" t="inlineStr">
        <is>
          <t xml:space="preserve">  ↳ TS25mmDep</t>
        </is>
      </c>
      <c r="C51" s="7" t="inlineStr">
        <is>
          <t>Armament@SECONDARY</t>
        </is>
      </c>
      <c r="L51" s="6" t="n">
        <v>2000</v>
      </c>
      <c r="M51" s="6" t="n">
        <v>8</v>
      </c>
      <c r="N51" s="6" t="n">
        <v>1</v>
      </c>
      <c r="O51" s="6" t="n"/>
      <c r="P51" s="6" t="n">
        <v>6679</v>
      </c>
      <c r="Q51" s="6" t="n">
        <v>1</v>
      </c>
      <c r="R51">
        <f>M51+IF(MAX(N51-1,0)&gt;0,IF(ISBLANK(O51),5*MAX(N51-1,0),IF(ISNUMBER(O51),O51*MAX(N51-1,0),SUM(IFERROR(VALUE(TEXTSPLIT(O51,",")),0)))),0)</f>
        <v/>
      </c>
      <c r="S51">
        <f>IFERROR(L51*MAX(N51,1)/R51*IF(ISBLANK(K46),1,K46),0)</f>
        <v/>
      </c>
      <c r="AB51" s="7" t="inlineStr">
        <is>
          <t>^Warhead_Flak_Medium</t>
        </is>
      </c>
    </row>
    <row r="52">
      <c r="B52" s="7" t="inlineStr">
        <is>
          <t xml:space="preserve">  ↳ TSLaser25mmDep</t>
        </is>
      </c>
      <c r="C52" s="7" t="inlineStr">
        <is>
          <t>Armament@UPGRADESECONDARY</t>
        </is>
      </c>
      <c r="L52" s="6" t="n">
        <v>4000</v>
      </c>
      <c r="M52" s="6" t="n">
        <v>8</v>
      </c>
      <c r="N52" s="6" t="n">
        <v>1</v>
      </c>
      <c r="O52" s="6" t="n"/>
      <c r="P52" s="6" t="n">
        <v>6679</v>
      </c>
      <c r="Q52" s="6" t="n">
        <v>1</v>
      </c>
      <c r="R52">
        <f>M52+IF(MAX(N52-1,0)&gt;0,IF(ISBLANK(O52),5*MAX(N52-1,0),IF(ISNUMBER(O52),O52*MAX(N52-1,0),SUM(IFERROR(VALUE(TEXTSPLIT(O52,",")),0)))),0)</f>
        <v/>
      </c>
      <c r="S52">
        <f>IFERROR(L52*MAX(N52,1)/R52*IF(ISBLANK(K46),1,K46),0)</f>
        <v/>
      </c>
      <c r="AB52" s="7" t="inlineStr">
        <is>
          <t>^FlakWeapon, ^LaserWeapon, ^TSLaserEffect</t>
        </is>
      </c>
    </row>
    <row r="53">
      <c r="A53" t="inlineStr">
        <is>
          <t>tiberiansun</t>
        </is>
      </c>
      <c r="B53" t="inlineStr">
        <is>
          <t>ts_gdi_titan</t>
        </is>
      </c>
      <c r="C53" t="inlineStr">
        <is>
          <t>Titan</t>
        </is>
      </c>
      <c r="D53" s="6" t="inlineStr">
        <is>
          <t>MainBattleTank</t>
        </is>
      </c>
      <c r="E53" s="6" t="n">
        <v>100000</v>
      </c>
      <c r="F53" s="6" t="n">
        <v>75</v>
      </c>
      <c r="G53" t="inlineStr">
        <is>
          <t>Heavy</t>
        </is>
      </c>
      <c r="H53" s="6" t="n">
        <v>1</v>
      </c>
      <c r="I53" s="6" t="n">
        <v>1</v>
      </c>
      <c r="J53" s="6" t="n">
        <v>1</v>
      </c>
      <c r="P53">
        <f>MAX(P54,P55)</f>
        <v/>
      </c>
      <c r="S53">
        <f>S54+S55</f>
        <v/>
      </c>
      <c r="T53">
        <f>(E53/100000+F53/100+(P53/1000)*J53/5+S53/200)*200*I53*H53</f>
        <v/>
      </c>
      <c r="U53">
        <f>((E53*F53/25000)+((P53/1000)*J53*S53/2.5))*I53*H53</f>
        <v/>
      </c>
      <c r="V53">
        <f>(E53*F53*(P53/1000)*J53*S53*I53*H53)/12500000</f>
        <v/>
      </c>
      <c r="W53">
        <f>IFERROR((((E53/240000)+(F53/95)+(S53/600)+((P53/5500)*J53))*800/4+(((E53/240000)*(F53/95))+(((P53/5500)*J53)*(S53/600)))*800/2+((E53/240000)*(F53/95)*((P53/5500)*J53)*(S53/600))*800)*(H53/1.0)/3,"")</f>
        <v/>
      </c>
      <c r="X53" s="6" t="n">
        <v>950</v>
      </c>
      <c r="Y53">
        <f>IFERROR(W53-X53,"")</f>
        <v/>
      </c>
      <c r="Z53">
        <f>IFERROR(ABS(Y53)/MAX(X53,1),"")</f>
        <v/>
      </c>
      <c r="AA53">
        <f>IFERROR(ROUND(((3*X53-(((E53/240000)+(F53/95)+(S53/600))*800/4+((E53/240000)*(F53/95))*800/2)*(H53/1.0))/(800/4+((S53/600))*800/2+((E53/240000)*(F53/95)*(S53/600))*800)*(H53/1.0)*5500)/J53,-1),"")</f>
        <v/>
      </c>
    </row>
    <row r="54">
      <c r="B54" s="7" t="inlineStr">
        <is>
          <t xml:space="preserve">  ↳ TS120mm</t>
        </is>
      </c>
      <c r="C54" s="7" t="inlineStr">
        <is>
          <t>Armament@PRIMARY</t>
        </is>
      </c>
      <c r="L54" s="6" t="n">
        <v>12000</v>
      </c>
      <c r="M54" s="6" t="n">
        <v>44</v>
      </c>
      <c r="N54" s="6" t="n">
        <v>1</v>
      </c>
      <c r="O54" s="6" t="n"/>
      <c r="P54" s="6" t="n">
        <v>6201</v>
      </c>
      <c r="Q54" s="6" t="n">
        <v>1</v>
      </c>
      <c r="R54">
        <f>M54+IF(MAX(N54-1,0)&gt;0,IF(ISBLANK(O54),5*MAX(N54-1,0),IF(ISNUMBER(O54),O54*MAX(N54-1,0),SUM(IFERROR(VALUE(TEXTSPLIT(O54,",")),0)))),0)</f>
        <v/>
      </c>
      <c r="S54">
        <f>IFERROR(L54*MAX(N54,1)/R54*IF(ISBLANK(K53),1,K53),0)</f>
        <v/>
      </c>
      <c r="AB54" s="7" t="inlineStr">
        <is>
          <t>^Warhead_CannonHE_Medium</t>
        </is>
      </c>
    </row>
    <row r="55">
      <c r="B55" s="7" t="inlineStr">
        <is>
          <t xml:space="preserve">  ↳ TS120mmRail</t>
        </is>
      </c>
      <c r="C55" s="7" t="inlineStr">
        <is>
          <t>Armament@Upgrade</t>
        </is>
      </c>
      <c r="L55" s="6" t="n">
        <v>16000</v>
      </c>
      <c r="M55" s="6" t="n">
        <v>44</v>
      </c>
      <c r="N55" s="6" t="n">
        <v>1</v>
      </c>
      <c r="O55" s="6" t="n"/>
      <c r="P55" s="6" t="n">
        <v>6201</v>
      </c>
      <c r="Q55" s="6" t="n">
        <v>1.125</v>
      </c>
      <c r="R55">
        <f>M55+IF(MAX(N55-1,0)&gt;0,IF(ISBLANK(O55),5*MAX(N55-1,0),IF(ISNUMBER(O55),O55*MAX(N55-1,0),SUM(IFERROR(VALUE(TEXTSPLIT(O55,",")),0)))),0)</f>
        <v/>
      </c>
      <c r="S55">
        <f>IFERROR(L55*MAX(N55,1)/R55*IF(ISBLANK(K53),1,K53),0)</f>
        <v/>
      </c>
      <c r="AB55" s="7" t="inlineStr">
        <is>
          <t>^Warhead_CannonHE_Medium, ^Warhead_Railgun_Heavy</t>
        </is>
      </c>
    </row>
    <row r="56">
      <c r="A56" t="inlineStr">
        <is>
          <t>tiberiansun</t>
        </is>
      </c>
      <c r="B56" t="inlineStr">
        <is>
          <t>ts_gdi_titanmkii</t>
        </is>
      </c>
      <c r="C56" t="inlineStr">
        <is>
          <t>Titan MK II</t>
        </is>
      </c>
      <c r="D56" s="6" t="inlineStr">
        <is>
          <t>MainBattleTank</t>
        </is>
      </c>
      <c r="E56" s="6" t="n">
        <v>120000</v>
      </c>
      <c r="F56" s="6" t="n">
        <v>75</v>
      </c>
      <c r="G56" t="inlineStr">
        <is>
          <t>Heavy</t>
        </is>
      </c>
      <c r="H56" s="6" t="n">
        <v>1</v>
      </c>
      <c r="I56" s="6" t="n">
        <v>1</v>
      </c>
      <c r="J56" s="6" t="n">
        <v>1</v>
      </c>
      <c r="P56">
        <f>MAX(P57,P58)</f>
        <v/>
      </c>
      <c r="S56">
        <f>S57+S58</f>
        <v/>
      </c>
      <c r="T56">
        <f>(E56/100000+F56/100+(P56/1000)*J56/5+S56/200)*200*I56*H56</f>
        <v/>
      </c>
      <c r="U56">
        <f>((E56*F56/25000)+((P56/1000)*J56*S56/2.5))*I56*H56</f>
        <v/>
      </c>
      <c r="V56">
        <f>(E56*F56*(P56/1000)*J56*S56*I56*H56)/12500000</f>
        <v/>
      </c>
      <c r="W56">
        <f>IFERROR((((E56/240000)+(F56/95)+(S56/600)+((P56/5500)*J56))*800/4+(((E56/240000)*(F56/95))+(((P56/5500)*J56)*(S56/600)))*800/2+((E56/240000)*(F56/95)*((P56/5500)*J56)*(S56/600))*800)*(H56/1.0)/3,"")</f>
        <v/>
      </c>
      <c r="X56" s="6" t="n">
        <v>1600</v>
      </c>
      <c r="Y56">
        <f>IFERROR(W56-X56,"")</f>
        <v/>
      </c>
      <c r="Z56">
        <f>IFERROR(ABS(Y56)/MAX(X56,1),"")</f>
        <v/>
      </c>
      <c r="AA56">
        <f>IFERROR(ROUND(((3*X56-(((E56/240000)+(F56/95)+(S56/600))*800/4+((E56/240000)*(F56/95))*800/2)*(H56/1.0))/(800/4+((S56/600))*800/2+((E56/240000)*(F56/95)*(S56/600))*800)*(H56/1.0)*5500)/J56,-1),"")</f>
        <v/>
      </c>
    </row>
    <row r="57">
      <c r="B57" s="7" t="inlineStr">
        <is>
          <t xml:space="preserve">  ↳ TS120mmTal</t>
        </is>
      </c>
      <c r="C57" s="7" t="inlineStr">
        <is>
          <t>Armament@PRIMARY</t>
        </is>
      </c>
      <c r="L57" s="6" t="n">
        <v>24000</v>
      </c>
      <c r="M57" s="6" t="n">
        <v>50</v>
      </c>
      <c r="N57" s="6" t="n">
        <v>1</v>
      </c>
      <c r="O57" s="6" t="n"/>
      <c r="P57" s="6" t="n">
        <v>6201</v>
      </c>
      <c r="Q57" s="6" t="n">
        <v>1</v>
      </c>
      <c r="R57">
        <f>M57+IF(MAX(N57-1,0)&gt;0,IF(ISBLANK(O57),5*MAX(N57-1,0),IF(ISNUMBER(O57),O57*MAX(N57-1,0),SUM(IFERROR(VALUE(TEXTSPLIT(O57,",")),0)))),0)</f>
        <v/>
      </c>
      <c r="S57">
        <f>IFERROR(L57*MAX(N57,1)/R57*IF(ISBLANK(K56),1,K56),0)</f>
        <v/>
      </c>
      <c r="AB57" s="7" t="inlineStr">
        <is>
          <t>^Warhead_CannonHE_Medium</t>
        </is>
      </c>
    </row>
    <row r="58">
      <c r="B58" s="7" t="inlineStr">
        <is>
          <t xml:space="preserve">  ↳ TS120mmTalRail</t>
        </is>
      </c>
      <c r="C58" s="7" t="inlineStr">
        <is>
          <t>Armament@Upgrade</t>
        </is>
      </c>
      <c r="L58" s="6" t="n">
        <v>36000</v>
      </c>
      <c r="M58" s="6" t="n">
        <v>50</v>
      </c>
      <c r="N58" s="6" t="n">
        <v>1</v>
      </c>
      <c r="O58" s="6" t="n"/>
      <c r="P58" s="6" t="n">
        <v>6201</v>
      </c>
      <c r="Q58" s="6" t="n">
        <v>1.125</v>
      </c>
      <c r="R58">
        <f>M58+IF(MAX(N58-1,0)&gt;0,IF(ISBLANK(O58),5*MAX(N58-1,0),IF(ISNUMBER(O58),O58*MAX(N58-1,0),SUM(IFERROR(VALUE(TEXTSPLIT(O58,",")),0)))),0)</f>
        <v/>
      </c>
      <c r="S58">
        <f>IFERROR(L58*MAX(N58,1)/R58*IF(ISBLANK(K56),1,K56),0)</f>
        <v/>
      </c>
      <c r="AB58" s="7" t="inlineStr">
        <is>
          <t>^Warhead_CannonHE_Medium, ^Warhead_Railgun_Heavy</t>
        </is>
      </c>
    </row>
    <row r="59">
      <c r="A59" t="inlineStr">
        <is>
          <t>tiberiansun</t>
        </is>
      </c>
      <c r="B59" t="inlineStr">
        <is>
          <t>forgotten_rattytank</t>
        </is>
      </c>
      <c r="C59" t="inlineStr">
        <is>
          <t>actor_forgotten_rattytank.name</t>
        </is>
      </c>
      <c r="D59" s="6" t="inlineStr">
        <is>
          <t>MainBattleTank</t>
        </is>
      </c>
      <c r="E59" s="6" t="n">
        <v>70000</v>
      </c>
      <c r="F59" s="6" t="n">
        <v>90</v>
      </c>
      <c r="G59" t="inlineStr">
        <is>
          <t>Heavy</t>
        </is>
      </c>
      <c r="H59" s="6" t="n">
        <v>1</v>
      </c>
      <c r="I59" s="6" t="n">
        <v>1</v>
      </c>
      <c r="J59" s="6" t="n">
        <v>1</v>
      </c>
      <c r="P59">
        <f>MAX(P60,P61)</f>
        <v/>
      </c>
      <c r="S59">
        <f>S60+S61</f>
        <v/>
      </c>
      <c r="T59">
        <f>(E59/100000+F59/100+(P59/1000)*J59/5+S59/200)*200*I59*H59</f>
        <v/>
      </c>
      <c r="U59">
        <f>((E59*F59/25000)+((P59/1000)*J59*S59/2.5))*I59*H59</f>
        <v/>
      </c>
      <c r="V59">
        <f>(E59*F59*(P59/1000)*J59*S59*I59*H59)/12500000</f>
        <v/>
      </c>
      <c r="W59">
        <f>IFERROR((((E59/240000)+(F59/95)+(S59/600)+((P59/5500)*J59))*800/4+(((E59/240000)*(F59/95))+(((P59/5500)*J59)*(S59/600)))*800/2+((E59/240000)*(F59/95)*((P59/5500)*J59)*(S59/600))*800)*(H59/1.0)/3,"")</f>
        <v/>
      </c>
      <c r="X59" s="6" t="n">
        <v>600</v>
      </c>
      <c r="Y59">
        <f>IFERROR(W59-X59,"")</f>
        <v/>
      </c>
      <c r="Z59">
        <f>IFERROR(ABS(Y59)/MAX(X59,1),"")</f>
        <v/>
      </c>
      <c r="AA59">
        <f>IFERROR(ROUND(((3*X59-(((E59/240000)+(F59/95)+(S59/600))*800/4+((E59/240000)*(F59/95))*800/2)*(H59/1.0))/(800/4+((S59/600))*800/2+((E59/240000)*(F59/95)*(S59/600))*800)*(H59/1.0)*5500)/J59,-1),"")</f>
        <v/>
      </c>
    </row>
    <row r="60">
      <c r="B60" s="7" t="inlineStr">
        <is>
          <t xml:space="preserve">  ↳ TS70mm</t>
        </is>
      </c>
      <c r="C60" s="7" t="inlineStr">
        <is>
          <t>Armament@PRIMARY</t>
        </is>
      </c>
      <c r="L60" s="6" t="n">
        <v>4000</v>
      </c>
      <c r="M60" s="6" t="n">
        <v>24</v>
      </c>
      <c r="N60" s="6" t="n">
        <v>1</v>
      </c>
      <c r="O60" s="6" t="n"/>
      <c r="P60" s="6" t="n">
        <v>5566</v>
      </c>
      <c r="Q60" s="6" t="n">
        <v>1</v>
      </c>
      <c r="R60">
        <f>M60+IF(MAX(N60-1,0)&gt;0,IF(ISBLANK(O60),5*MAX(N60-1,0),IF(ISNUMBER(O60),O60*MAX(N60-1,0),SUM(IFERROR(VALUE(TEXTSPLIT(O60,",")),0)))),0)</f>
        <v/>
      </c>
      <c r="S60">
        <f>IFERROR(L60*MAX(N60,1)/R60*IF(ISBLANK(K59),1,K59),0)</f>
        <v/>
      </c>
      <c r="AB60" s="7" t="inlineStr">
        <is>
          <t>^Warhead_CannonHE_Medium</t>
        </is>
      </c>
    </row>
    <row r="61">
      <c r="B61" s="7" t="inlineStr">
        <is>
          <t xml:space="preserve">  ↳ TS70mmChem</t>
        </is>
      </c>
      <c r="C61" s="7" t="inlineStr">
        <is>
          <t>Armament@UPGRADE</t>
        </is>
      </c>
      <c r="L61" s="6" t="n">
        <v>6000</v>
      </c>
      <c r="M61" s="6" t="n">
        <v>24</v>
      </c>
      <c r="N61" s="6" t="n">
        <v>1</v>
      </c>
      <c r="O61" s="6" t="n"/>
      <c r="P61" s="6" t="n">
        <v>5566</v>
      </c>
      <c r="Q61" s="6" t="n">
        <v>0.875</v>
      </c>
      <c r="R61">
        <f>M61+IF(MAX(N61-1,0)&gt;0,IF(ISBLANK(O61),5*MAX(N61-1,0),IF(ISNUMBER(O61),O61*MAX(N61-1,0),SUM(IFERROR(VALUE(TEXTSPLIT(O61,",")),0)))),0)</f>
        <v/>
      </c>
      <c r="S61">
        <f>IFERROR(L61*MAX(N61,1)/R61*IF(ISBLANK(K59),1,K59),0)</f>
        <v/>
      </c>
      <c r="AB61" s="7" t="inlineStr">
        <is>
          <t>^Warhead_CannonHE_Medium, ^Warhead_Chemical_Light</t>
        </is>
      </c>
    </row>
    <row r="62">
      <c r="A62" t="inlineStr">
        <is>
          <t>shared</t>
        </is>
      </c>
      <c r="B62" t="inlineStr">
        <is>
          <t>ra2_c_abram</t>
        </is>
      </c>
      <c r="C62" t="inlineStr">
        <is>
          <t>Civilian MBT</t>
        </is>
      </c>
      <c r="D62" s="6" t="inlineStr">
        <is>
          <t>MainBattleTank</t>
        </is>
      </c>
      <c r="E62" s="6" t="n">
        <v>190000</v>
      </c>
      <c r="F62" s="6" t="n">
        <v>75</v>
      </c>
      <c r="G62" t="inlineStr">
        <is>
          <t>Heavy</t>
        </is>
      </c>
      <c r="H62" s="6" t="n">
        <v>1</v>
      </c>
      <c r="I62" s="6" t="n">
        <v>1</v>
      </c>
      <c r="J62" s="6" t="n">
        <v>1</v>
      </c>
      <c r="P62">
        <f>MAX(P63,P64,P65)</f>
        <v/>
      </c>
      <c r="S62">
        <f>S63+S64+S65</f>
        <v/>
      </c>
      <c r="T62">
        <f>(E62/100000+F62/100+(P62/1000)*J62/5+S62/200)*200*I62*H62</f>
        <v/>
      </c>
      <c r="U62">
        <f>((E62*F62/25000)+((P62/1000)*J62*S62/2.5))*I62*H62</f>
        <v/>
      </c>
      <c r="V62">
        <f>(E62*F62*(P62/1000)*J62*S62*I62*H62)/12500000</f>
        <v/>
      </c>
      <c r="W62">
        <f>IFERROR((((E62/240000)+(F62/95)+(S62/600)+((P62/5500)*J62))*800/4+(((E62/240000)*(F62/95))+(((P62/5500)*J62)*(S62/600)))*800/2+((E62/240000)*(F62/95)*((P62/5500)*J62)*(S62/600))*800)*(H62/1.0)/3,"")</f>
        <v/>
      </c>
      <c r="X62" s="6" t="n">
        <v>900</v>
      </c>
      <c r="Y62">
        <f>IFERROR(W62-X62,"")</f>
        <v/>
      </c>
      <c r="Z62">
        <f>IFERROR(ABS(Y62)/MAX(X62,1),"")</f>
        <v/>
      </c>
      <c r="AA62">
        <f>IFERROR(ROUND(((3*X62-(((E62/240000)+(F62/95)+(S62/600))*800/4+((E62/240000)*(F62/95))*800/2)*(H62/1.0))/(800/4+((S62/600))*800/2+((E62/240000)*(F62/95)*(S62/600))*800)*(H62/1.0)*5500)/J62,-1),"")</f>
        <v/>
      </c>
    </row>
    <row r="63">
      <c r="B63" s="7" t="inlineStr">
        <is>
          <t xml:space="preserve">  ↳ RA2120mm</t>
        </is>
      </c>
      <c r="C63" s="7" t="inlineStr">
        <is>
          <t>Armament</t>
        </is>
      </c>
      <c r="L63" s="6" t="n">
        <v>10000</v>
      </c>
      <c r="M63" s="6" t="n">
        <v>54</v>
      </c>
      <c r="N63" s="6" t="n">
        <v>1</v>
      </c>
      <c r="O63" s="6" t="n"/>
      <c r="P63" s="6" t="n">
        <v>5374</v>
      </c>
      <c r="Q63" s="6" t="n">
        <v>1</v>
      </c>
      <c r="R63">
        <f>M63+IF(MAX(N63-1,0)&gt;0,IF(ISBLANK(O63),5*MAX(N63-1,0),IF(ISNUMBER(O63),O63*MAX(N63-1,0),SUM(IFERROR(VALUE(TEXTSPLIT(O63,",")),0)))),0)</f>
        <v/>
      </c>
      <c r="S63">
        <f>IFERROR(L63*MAX(N63,1)/R63*IF(ISBLANK(K62),1,K62),0)</f>
        <v/>
      </c>
      <c r="AB63" s="7" t="inlineStr">
        <is>
          <t>^Warhead_CannonHE_Medium</t>
        </is>
      </c>
    </row>
    <row r="64">
      <c r="B64" s="7" t="inlineStr">
        <is>
          <t xml:space="preserve">  ↳ RA2120mm_elite</t>
        </is>
      </c>
      <c r="C64" s="7" t="inlineStr">
        <is>
          <t>Armament@elite</t>
        </is>
      </c>
      <c r="L64" s="6" t="n">
        <v>10000</v>
      </c>
      <c r="M64" s="6" t="n">
        <v>54</v>
      </c>
      <c r="N64" s="6" t="n">
        <v>2</v>
      </c>
      <c r="O64" s="6" t="n">
        <v>3</v>
      </c>
      <c r="P64" s="6" t="n">
        <v>6374</v>
      </c>
      <c r="Q64" s="6" t="n">
        <v>1</v>
      </c>
      <c r="R64">
        <f>M64+IF(MAX(N64-1,0)&gt;0,IF(ISBLANK(O64),5*MAX(N64-1,0),IF(ISNUMBER(O64),O64*MAX(N64-1,0),SUM(IFERROR(VALUE(TEXTSPLIT(O64,",")),0)))),0)</f>
        <v/>
      </c>
      <c r="S64">
        <f>IFERROR(L64*MAX(N64,1)/R64*IF(ISBLANK(K62),1,K62),0)</f>
        <v/>
      </c>
      <c r="AB64" s="7" t="inlineStr">
        <is>
          <t>^Warhead_CannonHE_Medium</t>
        </is>
      </c>
    </row>
    <row r="65">
      <c r="B65" s="7" t="inlineStr">
        <is>
          <t xml:space="preserve">  ↳ RA2GattlingMG1</t>
        </is>
      </c>
      <c r="C65" s="7" t="inlineStr">
        <is>
          <t>Armament@machinegun</t>
        </is>
      </c>
      <c r="L65" s="6" t="n">
        <v>4000</v>
      </c>
      <c r="M65" s="6" t="n">
        <v>6</v>
      </c>
      <c r="N65" s="6" t="n">
        <v>1</v>
      </c>
      <c r="O65" s="6" t="n"/>
      <c r="P65" s="6" t="n">
        <v>5000</v>
      </c>
      <c r="Q65" s="6" t="n">
        <v>0.875</v>
      </c>
      <c r="R65">
        <f>M65+IF(MAX(N65-1,0)&gt;0,IF(ISBLANK(O65),5*MAX(N65-1,0),IF(ISNUMBER(O65),O65*MAX(N65-1,0),SUM(IFERROR(VALUE(TEXTSPLIT(O65,",")),0)))),0)</f>
        <v/>
      </c>
      <c r="S65">
        <f>IFERROR(L65*MAX(N65,1)/R65*IF(ISBLANK(K62),1,K62),0)</f>
        <v/>
      </c>
      <c r="AB65" s="7" t="inlineStr">
        <is>
          <t>^Warhead_Bullet_Light, ^Warhead_Bullet_Medium</t>
        </is>
      </c>
    </row>
    <row r="66">
      <c r="A66" t="inlineStr">
        <is>
          <t>shared</t>
        </is>
      </c>
      <c r="B66" t="inlineStr">
        <is>
          <t>ra2_c_ifv</t>
        </is>
      </c>
      <c r="C66" t="inlineStr">
        <is>
          <t>Machinegunner IFV</t>
        </is>
      </c>
      <c r="D66" s="6" t="inlineStr">
        <is>
          <t>MainBattleTank</t>
        </is>
      </c>
      <c r="E66" s="6" t="n">
        <v>120000</v>
      </c>
      <c r="F66" s="6" t="n">
        <v>100</v>
      </c>
      <c r="G66" t="inlineStr">
        <is>
          <t>Medium</t>
        </is>
      </c>
      <c r="H66" s="6" t="n">
        <v>1</v>
      </c>
      <c r="I66" s="6" t="n">
        <v>1</v>
      </c>
      <c r="J66" s="6" t="n">
        <v>1</v>
      </c>
      <c r="P66">
        <f>MAX(P67,P68,P69,P70)</f>
        <v/>
      </c>
      <c r="S66">
        <f>S67+S68+S69+S70</f>
        <v/>
      </c>
      <c r="T66">
        <f>(E66/100000+F66/100+(P66/1000)*J66/5+S66/200)*200*I66*H66</f>
        <v/>
      </c>
      <c r="U66">
        <f>((E66*F66/25000)+((P66/1000)*J66*S66/2.5))*I66*H66</f>
        <v/>
      </c>
      <c r="V66">
        <f>(E66*F66*(P66/1000)*J66*S66*I66*H66)/12500000</f>
        <v/>
      </c>
      <c r="W66">
        <f>IFERROR((((E66/240000)+(F66/95)+(S66/600)+((P66/5500)*J66))*800/4+(((E66/240000)*(F66/95))+(((P66/5500)*J66)*(S66/600)))*800/2+((E66/240000)*(F66/95)*((P66/5500)*J66)*(S66/600))*800)*(H66/1.0)/3,"")</f>
        <v/>
      </c>
      <c r="X66" s="6" t="n">
        <v>600</v>
      </c>
      <c r="Y66">
        <f>IFERROR(W66-X66,"")</f>
        <v/>
      </c>
      <c r="Z66">
        <f>IFERROR(ABS(Y66)/MAX(X66,1),"")</f>
        <v/>
      </c>
      <c r="AA66">
        <f>IFERROR(ROUND(((3*X66-(((E66/240000)+(F66/95)+(S66/600))*800/4+((E66/240000)*(F66/95))*800/2)*(H66/1.0))/(800/4+((S66/600))*800/2+((E66/240000)*(F66/95)*(S66/600))*800)*(H66/1.0)*5500)/J66,-1),"")</f>
        <v/>
      </c>
    </row>
    <row r="67">
      <c r="B67" s="7" t="inlineStr">
        <is>
          <t xml:space="preserve">  ↳ RA2GattlingMG1</t>
        </is>
      </c>
      <c r="C67" s="7" t="inlineStr">
        <is>
          <t>Armament</t>
        </is>
      </c>
      <c r="L67" s="6" t="n">
        <v>4000</v>
      </c>
      <c r="M67" s="6" t="n">
        <v>6</v>
      </c>
      <c r="N67" s="6" t="n">
        <v>1</v>
      </c>
      <c r="O67" s="6" t="n"/>
      <c r="P67" s="6" t="n">
        <v>5000</v>
      </c>
      <c r="Q67" s="6" t="n">
        <v>0.875</v>
      </c>
      <c r="R67">
        <f>M67+IF(MAX(N67-1,0)&gt;0,IF(ISBLANK(O67),5*MAX(N67-1,0),IF(ISNUMBER(O67),O67*MAX(N67-1,0),SUM(IFERROR(VALUE(TEXTSPLIT(O67,",")),0)))),0)</f>
        <v/>
      </c>
      <c r="S67">
        <f>IFERROR(L67*MAX(N67,1)/R67*IF(ISBLANK(K66),1,K66),0)</f>
        <v/>
      </c>
      <c r="AB67" s="7" t="inlineStr">
        <is>
          <t>^Warhead_Bullet_Light, ^Warhead_Bullet_Medium</t>
        </is>
      </c>
    </row>
    <row r="68">
      <c r="B68" s="7" t="inlineStr">
        <is>
          <t xml:space="preserve">  ↳ RA2GattlingMG2</t>
        </is>
      </c>
      <c r="C68" s="7" t="inlineStr">
        <is>
          <t>Armament@elite</t>
        </is>
      </c>
      <c r="L68" s="6" t="n">
        <v>4000</v>
      </c>
      <c r="M68" s="6" t="n">
        <v>4</v>
      </c>
      <c r="N68" s="6" t="n">
        <v>1</v>
      </c>
      <c r="O68" s="6" t="n"/>
      <c r="P68" s="6" t="n">
        <v>5250</v>
      </c>
      <c r="Q68" s="6" t="n">
        <v>0.875</v>
      </c>
      <c r="R68">
        <f>M68+IF(MAX(N68-1,0)&gt;0,IF(ISBLANK(O68),5*MAX(N68-1,0),IF(ISNUMBER(O68),O68*MAX(N68-1,0),SUM(IFERROR(VALUE(TEXTSPLIT(O68,",")),0)))),0)</f>
        <v/>
      </c>
      <c r="S68">
        <f>IFERROR(L68*MAX(N68,1)/R68*IF(ISBLANK(K66),1,K66),0)</f>
        <v/>
      </c>
      <c r="AB68" s="7" t="inlineStr">
        <is>
          <t>^Warhead_Bullet_Light, ^Warhead_Bullet_Medium</t>
        </is>
      </c>
    </row>
    <row r="69">
      <c r="B69" s="7" t="inlineStr">
        <is>
          <t xml:space="preserve">  ↳ RA2GattlingMG1_AA</t>
        </is>
      </c>
      <c r="C69" s="7" t="inlineStr">
        <is>
          <t>Armament@AA</t>
        </is>
      </c>
      <c r="L69" s="6" t="n">
        <v>8000</v>
      </c>
      <c r="M69" s="6" t="n">
        <v>6</v>
      </c>
      <c r="N69" s="6" t="n">
        <v>1</v>
      </c>
      <c r="O69" s="6" t="n"/>
      <c r="P69" s="6" t="n">
        <v>6750</v>
      </c>
      <c r="Q69" s="6" t="n">
        <v>0.875</v>
      </c>
      <c r="R69">
        <f>M69+IF(MAX(N69-1,0)&gt;0,IF(ISBLANK(O69),5*MAX(N69-1,0),IF(ISNUMBER(O69),O69*MAX(N69-1,0),SUM(IFERROR(VALUE(TEXTSPLIT(O69,",")),0)))),0)</f>
        <v/>
      </c>
      <c r="S69">
        <f>IFERROR(L69*MAX(N69,1)/R69*IF(ISBLANK(K66),1,K66),0)</f>
        <v/>
      </c>
      <c r="AB69" s="7" t="inlineStr">
        <is>
          <t>^Warhead_Bullet_Light, ^Warhead_Bullet_Medium</t>
        </is>
      </c>
    </row>
    <row r="70">
      <c r="B70" s="7" t="inlineStr">
        <is>
          <t xml:space="preserve">  ↳ RA2GattlingMG2_AA</t>
        </is>
      </c>
      <c r="C70" s="7" t="inlineStr">
        <is>
          <t>Armament@eliteAA</t>
        </is>
      </c>
      <c r="L70" s="6" t="n">
        <v>8000</v>
      </c>
      <c r="M70" s="6" t="n">
        <v>4</v>
      </c>
      <c r="N70" s="6" t="n">
        <v>1</v>
      </c>
      <c r="O70" s="6" t="n"/>
      <c r="P70" s="6" t="n">
        <v>7500</v>
      </c>
      <c r="Q70" s="6" t="n">
        <v>0.875</v>
      </c>
      <c r="R70">
        <f>M70+IF(MAX(N70-1,0)&gt;0,IF(ISBLANK(O70),5*MAX(N70-1,0),IF(ISNUMBER(O70),O70*MAX(N70-1,0),SUM(IFERROR(VALUE(TEXTSPLIT(O70,",")),0)))),0)</f>
        <v/>
      </c>
      <c r="S70">
        <f>IFERROR(L70*MAX(N70,1)/R70*IF(ISBLANK(K66),1,K66),0)</f>
        <v/>
      </c>
      <c r="AB70" s="7" t="inlineStr">
        <is>
          <t>^Warhead_Bullet_Light, ^Warhead_Bullet_Medium</t>
        </is>
      </c>
    </row>
    <row r="71">
      <c r="A71" t="inlineStr">
        <is>
          <t>shared</t>
        </is>
      </c>
      <c r="B71" t="inlineStr">
        <is>
          <t>ra2leopard</t>
        </is>
      </c>
      <c r="C71" t="inlineStr">
        <is>
          <t>Leopard</t>
        </is>
      </c>
      <c r="D71" s="6" t="inlineStr">
        <is>
          <t>MainBattleTank</t>
        </is>
      </c>
      <c r="E71" s="6" t="n">
        <v>230000</v>
      </c>
      <c r="F71" s="6" t="n">
        <v>70</v>
      </c>
      <c r="G71" t="inlineStr">
        <is>
          <t>Heavy</t>
        </is>
      </c>
      <c r="H71" s="6" t="n">
        <v>1</v>
      </c>
      <c r="I71" s="6" t="n">
        <v>1</v>
      </c>
      <c r="J71" s="6" t="n">
        <v>1</v>
      </c>
      <c r="P71">
        <f>MAX(P72,P73,P74)</f>
        <v/>
      </c>
      <c r="S71">
        <f>S72+S73+S74</f>
        <v/>
      </c>
      <c r="T71">
        <f>(E71/100000+F71/100+(P71/1000)*J71/5+S71/200)*200*I71*H71</f>
        <v/>
      </c>
      <c r="U71">
        <f>((E71*F71/25000)+((P71/1000)*J71*S71/2.5))*I71*H71</f>
        <v/>
      </c>
      <c r="V71">
        <f>(E71*F71*(P71/1000)*J71*S71*I71*H71)/12500000</f>
        <v/>
      </c>
      <c r="W71">
        <f>IFERROR((((E71/240000)+(F71/95)+(S71/600)+((P71/5500)*J71))*800/4+(((E71/240000)*(F71/95))+(((P71/5500)*J71)*(S71/600)))*800/2+((E71/240000)*(F71/95)*((P71/5500)*J71)*(S71/600))*800)*(H71/1.0)/3,"")</f>
        <v/>
      </c>
      <c r="X71" s="6" t="n">
        <v>950</v>
      </c>
      <c r="Y71">
        <f>IFERROR(W71-X71,"")</f>
        <v/>
      </c>
      <c r="Z71">
        <f>IFERROR(ABS(Y71)/MAX(X71,1),"")</f>
        <v/>
      </c>
      <c r="AA71">
        <f>IFERROR(ROUND(((3*X71-(((E71/240000)+(F71/95)+(S71/600))*800/4+((E71/240000)*(F71/95))*800/2)*(H71/1.0))/(800/4+((S71/600))*800/2+((E71/240000)*(F71/95)*(S71/600))*800)*(H71/1.0)*5500)/J71,-1),"")</f>
        <v/>
      </c>
    </row>
    <row r="72">
      <c r="B72" s="7" t="inlineStr">
        <is>
          <t xml:space="preserve">  ↳ RA2120mm</t>
        </is>
      </c>
      <c r="C72" s="7" t="inlineStr">
        <is>
          <t>Armament</t>
        </is>
      </c>
      <c r="L72" s="6" t="n">
        <v>10000</v>
      </c>
      <c r="M72" s="6" t="n">
        <v>54</v>
      </c>
      <c r="N72" s="6" t="n">
        <v>1</v>
      </c>
      <c r="O72" s="6" t="n"/>
      <c r="P72" s="6" t="n">
        <v>5374</v>
      </c>
      <c r="Q72" s="6" t="n">
        <v>1</v>
      </c>
      <c r="R72">
        <f>M72+IF(MAX(N72-1,0)&gt;0,IF(ISBLANK(O72),5*MAX(N72-1,0),IF(ISNUMBER(O72),O72*MAX(N72-1,0),SUM(IFERROR(VALUE(TEXTSPLIT(O72,",")),0)))),0)</f>
        <v/>
      </c>
      <c r="S72">
        <f>IFERROR(L72*MAX(N72,1)/R72*IF(ISBLANK(K71),1,K71),0)</f>
        <v/>
      </c>
      <c r="AB72" s="7" t="inlineStr">
        <is>
          <t>^Warhead_CannonHE_Medium</t>
        </is>
      </c>
    </row>
    <row r="73">
      <c r="B73" s="7" t="inlineStr">
        <is>
          <t xml:space="preserve">  ↳ RA2120mm_elite</t>
        </is>
      </c>
      <c r="C73" s="7" t="inlineStr">
        <is>
          <t>Armament@elite</t>
        </is>
      </c>
      <c r="L73" s="6" t="n">
        <v>10000</v>
      </c>
      <c r="M73" s="6" t="n">
        <v>54</v>
      </c>
      <c r="N73" s="6" t="n">
        <v>2</v>
      </c>
      <c r="O73" s="6" t="n">
        <v>3</v>
      </c>
      <c r="P73" s="6" t="n">
        <v>6374</v>
      </c>
      <c r="Q73" s="6" t="n">
        <v>1</v>
      </c>
      <c r="R73">
        <f>M73+IF(MAX(N73-1,0)&gt;0,IF(ISBLANK(O73),5*MAX(N73-1,0),IF(ISNUMBER(O73),O73*MAX(N73-1,0),SUM(IFERROR(VALUE(TEXTSPLIT(O73,",")),0)))),0)</f>
        <v/>
      </c>
      <c r="S73">
        <f>IFERROR(L73*MAX(N73,1)/R73*IF(ISBLANK(K71),1,K71),0)</f>
        <v/>
      </c>
      <c r="AB73" s="7" t="inlineStr">
        <is>
          <t>^Warhead_CannonHE_Medium</t>
        </is>
      </c>
    </row>
    <row r="74">
      <c r="B74" s="7" t="inlineStr">
        <is>
          <t xml:space="preserve">  ↳ RA2GattlingMG1</t>
        </is>
      </c>
      <c r="C74" s="7" t="inlineStr">
        <is>
          <t>Armament@machinegun</t>
        </is>
      </c>
      <c r="L74" s="6" t="n">
        <v>4000</v>
      </c>
      <c r="M74" s="6" t="n">
        <v>6</v>
      </c>
      <c r="N74" s="6" t="n">
        <v>1</v>
      </c>
      <c r="O74" s="6" t="n"/>
      <c r="P74" s="6" t="n">
        <v>5000</v>
      </c>
      <c r="Q74" s="6" t="n">
        <v>0.875</v>
      </c>
      <c r="R74">
        <f>M74+IF(MAX(N74-1,0)&gt;0,IF(ISBLANK(O74),5*MAX(N74-1,0),IF(ISNUMBER(O74),O74*MAX(N74-1,0),SUM(IFERROR(VALUE(TEXTSPLIT(O74,",")),0)))),0)</f>
        <v/>
      </c>
      <c r="S74">
        <f>IFERROR(L74*MAX(N74,1)/R74*IF(ISBLANK(K71),1,K71),0)</f>
        <v/>
      </c>
      <c r="AB74" s="7" t="inlineStr">
        <is>
          <t>^Warhead_Bullet_Light, ^Warhead_Bullet_Medium</t>
        </is>
      </c>
    </row>
    <row r="75">
      <c r="A75" t="inlineStr">
        <is>
          <t>shared</t>
        </is>
      </c>
      <c r="B75" t="inlineStr">
        <is>
          <t>yrrobo</t>
        </is>
      </c>
      <c r="C75" t="inlineStr">
        <is>
          <t>Robot Tank</t>
        </is>
      </c>
      <c r="D75" s="6" t="inlineStr">
        <is>
          <t>MainBattleTank</t>
        </is>
      </c>
      <c r="E75" s="6" t="n">
        <v>50000</v>
      </c>
      <c r="F75" s="6" t="n">
        <v>130</v>
      </c>
      <c r="G75" t="inlineStr">
        <is>
          <t>Medium</t>
        </is>
      </c>
      <c r="H75" s="6" t="n">
        <v>1</v>
      </c>
      <c r="I75" s="6" t="n">
        <v>1</v>
      </c>
      <c r="J75" s="6" t="n">
        <v>1</v>
      </c>
      <c r="P75">
        <f>MAX(P76,P77)</f>
        <v/>
      </c>
      <c r="S75">
        <f>S76+S77</f>
        <v/>
      </c>
      <c r="T75">
        <f>(E75/100000+F75/100+(P75/1000)*J75/5+S75/200)*200*I75*H75</f>
        <v/>
      </c>
      <c r="U75">
        <f>((E75*F75/25000)+((P75/1000)*J75*S75/2.5))*I75*H75</f>
        <v/>
      </c>
      <c r="V75">
        <f>(E75*F75*(P75/1000)*J75*S75*I75*H75)/12500000</f>
        <v/>
      </c>
      <c r="W75">
        <f>IFERROR((((E75/240000)+(F75/95)+(S75/600)+((P75/5500)*J75))*800/4+(((E75/240000)*(F75/95))+(((P75/5500)*J75)*(S75/600)))*800/2+((E75/240000)*(F75/95)*((P75/5500)*J75)*(S75/600))*800)*(H75/1.0)/3,"")</f>
        <v/>
      </c>
      <c r="X75" s="6" t="n">
        <v>1200</v>
      </c>
      <c r="Y75">
        <f>IFERROR(W75-X75,"")</f>
        <v/>
      </c>
      <c r="Z75">
        <f>IFERROR(ABS(Y75)/MAX(X75,1),"")</f>
        <v/>
      </c>
      <c r="AA75">
        <f>IFERROR(ROUND(((3*X75-(((E75/240000)+(F75/95)+(S75/600))*800/4+((E75/240000)*(F75/95))*800/2)*(H75/1.0))/(800/4+((S75/600))*800/2+((E75/240000)*(F75/95)*(S75/600))*800)*(H75/1.0)*5500)/J75,-1),"")</f>
        <v/>
      </c>
    </row>
    <row r="76">
      <c r="B76" s="7" t="inlineStr">
        <is>
          <t xml:space="preserve">  ↳ RA2Robotmm</t>
        </is>
      </c>
      <c r="C76" s="7" t="inlineStr">
        <is>
          <t>Armament</t>
        </is>
      </c>
      <c r="L76" s="6" t="n">
        <v>24000</v>
      </c>
      <c r="M76" s="6" t="n">
        <v>48</v>
      </c>
      <c r="N76" s="6" t="n">
        <v>1</v>
      </c>
      <c r="O76" s="6" t="n"/>
      <c r="P76" s="6" t="n">
        <v>5780</v>
      </c>
      <c r="Q76" s="6" t="n">
        <v>1</v>
      </c>
      <c r="R76">
        <f>M76+IF(MAX(N76-1,0)&gt;0,IF(ISBLANK(O76),5*MAX(N76-1,0),IF(ISNUMBER(O76),O76*MAX(N76-1,0),SUM(IFERROR(VALUE(TEXTSPLIT(O76,",")),0)))),0)</f>
        <v/>
      </c>
      <c r="S76">
        <f>IFERROR(L76*MAX(N76,1)/R76*IF(ISBLANK(K75),1,K75),0)</f>
        <v/>
      </c>
      <c r="AB76" s="7" t="inlineStr">
        <is>
          <t>^Warhead_Tesla_Heavy, ^Warhead_Laser_Heavy, ^Warhead_Railgun_Heavy</t>
        </is>
      </c>
    </row>
    <row r="77">
      <c r="B77" s="7" t="inlineStr">
        <is>
          <t xml:space="preserve">  ↳ RA2Robotmm_elite</t>
        </is>
      </c>
      <c r="C77" s="7" t="inlineStr">
        <is>
          <t>Armament@elite</t>
        </is>
      </c>
      <c r="L77" s="6" t="n">
        <v>24000</v>
      </c>
      <c r="M77" s="6" t="n">
        <v>48</v>
      </c>
      <c r="N77" s="6" t="n">
        <v>1</v>
      </c>
      <c r="O77" s="6" t="n"/>
      <c r="P77" s="6" t="n">
        <v>6780</v>
      </c>
      <c r="Q77" s="6" t="n">
        <v>1</v>
      </c>
      <c r="R77">
        <f>M77+IF(MAX(N77-1,0)&gt;0,IF(ISBLANK(O77),5*MAX(N77-1,0),IF(ISNUMBER(O77),O77*MAX(N77-1,0),SUM(IFERROR(VALUE(TEXTSPLIT(O77,",")),0)))),0)</f>
        <v/>
      </c>
      <c r="S77">
        <f>IFERROR(L77*MAX(N77,1)/R77*IF(ISBLANK(K75),1,K75),0)</f>
        <v/>
      </c>
      <c r="AB77" s="7" t="inlineStr">
        <is>
          <t>^Warhead_Tesla_Heavy, ^Warhead_Laser_Heavy, ^Warhead_Railgun_Heavy</t>
        </is>
      </c>
    </row>
    <row r="78">
      <c r="A78" t="inlineStr">
        <is>
          <t>redalert2</t>
        </is>
      </c>
      <c r="B78" t="inlineStr">
        <is>
          <t>ra2_allies_grizzlytank</t>
        </is>
      </c>
      <c r="C78" t="inlineStr">
        <is>
          <t>Grizzly Tank</t>
        </is>
      </c>
      <c r="D78" s="6" t="inlineStr">
        <is>
          <t>MainBattleTank</t>
        </is>
      </c>
      <c r="E78" s="6" t="n">
        <v>100000</v>
      </c>
      <c r="F78" s="6" t="n">
        <v>95</v>
      </c>
      <c r="G78" t="inlineStr">
        <is>
          <t>Heavy</t>
        </is>
      </c>
      <c r="H78" s="6" t="n">
        <v>1</v>
      </c>
      <c r="I78" s="6" t="n">
        <v>1</v>
      </c>
      <c r="J78" s="6" t="n">
        <v>1</v>
      </c>
      <c r="K78" t="n">
        <v>0.016</v>
      </c>
      <c r="P78">
        <f>MAX(P79,P80)</f>
        <v/>
      </c>
      <c r="S78">
        <f>S79+S80</f>
        <v/>
      </c>
      <c r="T78">
        <f>(E78/100000+F78/100+(P78/1000)*J78/5+S78/200)*200*I78*H78</f>
        <v/>
      </c>
      <c r="U78">
        <f>((E78*F78/25000)+((P78/1000)*J78*S78/2.5))*I78*H78</f>
        <v/>
      </c>
      <c r="V78">
        <f>(E78*F78*(P78/1000)*J78*S78*I78*H78)/12500000</f>
        <v/>
      </c>
      <c r="W78">
        <f>IFERROR((((E78/240000)+(F78/95)+(S78/600)+((P78/5500)*J78))*800/4+(((E78/240000)*(F78/95))+(((P78/5500)*J78)*(S78/600)))*800/2+((E78/240000)*(F78/95)*((P78/5500)*J78)*(S78/600))*800)*(H78/1.0)/3,"")</f>
        <v/>
      </c>
      <c r="X78" s="6" t="n">
        <v>750</v>
      </c>
      <c r="Y78">
        <f>IFERROR(W78-X78,"")</f>
        <v/>
      </c>
      <c r="Z78">
        <f>IFERROR(ABS(Y78)/MAX(X78,1),"")</f>
        <v/>
      </c>
      <c r="AA78">
        <f>IFERROR(ROUND(((3*X78-(((E78/240000)+(F78/95)+(S78/600))*800/4+((E78/240000)*(F78/95))*800/2)*(H78/1.0))/(800/4+((S78/600))*800/2+((E78/240000)*(F78/95)*(S78/600))*800)*(H78/1.0)*5500)/J78,-1),"")</f>
        <v/>
      </c>
    </row>
    <row r="79">
      <c r="B79" s="7" t="inlineStr">
        <is>
          <t xml:space="preserve">  ↳ RA2105mm</t>
        </is>
      </c>
      <c r="C79" s="7" t="inlineStr">
        <is>
          <t>Armament</t>
        </is>
      </c>
      <c r="L79" s="6" t="n">
        <v>8000</v>
      </c>
      <c r="M79" s="6" t="n">
        <v>45</v>
      </c>
      <c r="N79" s="6" t="n">
        <v>1</v>
      </c>
      <c r="O79" s="6" t="n"/>
      <c r="P79" s="6" t="n">
        <v>5289</v>
      </c>
      <c r="Q79" s="6" t="n">
        <v>1</v>
      </c>
      <c r="R79">
        <f>M79+IF(MAX(N79-1,0)&gt;0,IF(ISBLANK(O79),5*MAX(N79-1,0),IF(ISNUMBER(O79),O79*MAX(N79-1,0),SUM(IFERROR(VALUE(TEXTSPLIT(O79,",")),0)))),0)</f>
        <v/>
      </c>
      <c r="S79">
        <f>IFERROR(L79*MAX(N79,1)/R79*IF(ISBLANK(K78),1,K78),0)</f>
        <v/>
      </c>
      <c r="AB79" s="7" t="inlineStr">
        <is>
          <t>^Warhead_CannonHE_Medium</t>
        </is>
      </c>
    </row>
    <row r="80">
      <c r="B80" s="7" t="inlineStr">
        <is>
          <t xml:space="preserve">  ↳ RA2105mm_elite</t>
        </is>
      </c>
      <c r="C80" s="7" t="inlineStr">
        <is>
          <t>Armament@elite</t>
        </is>
      </c>
      <c r="L80" s="6" t="n">
        <v>8000</v>
      </c>
      <c r="M80" s="6" t="n">
        <v>45</v>
      </c>
      <c r="N80" s="6" t="n">
        <v>2</v>
      </c>
      <c r="O80" s="6" t="n">
        <v>3</v>
      </c>
      <c r="P80" s="6" t="n">
        <v>6289</v>
      </c>
      <c r="Q80" s="6" t="n">
        <v>1</v>
      </c>
      <c r="R80">
        <f>M80+IF(MAX(N80-1,0)&gt;0,IF(ISBLANK(O80),5*MAX(N80-1,0),IF(ISNUMBER(O80),O80*MAX(N80-1,0),SUM(IFERROR(VALUE(TEXTSPLIT(O80,",")),0)))),0)</f>
        <v/>
      </c>
      <c r="S80">
        <f>IFERROR(L80*MAX(N80,1)/R80*IF(ISBLANK(K78),1,K78),0)</f>
        <v/>
      </c>
      <c r="AB80" s="7" t="inlineStr">
        <is>
          <t>^Warhead_CannonHE_Medium</t>
        </is>
      </c>
    </row>
    <row r="81">
      <c r="A81" t="inlineStr">
        <is>
          <t>redalert2</t>
        </is>
      </c>
      <c r="B81" t="inlineStr">
        <is>
          <t>ra2_soviets_rhinoheavytank</t>
        </is>
      </c>
      <c r="C81" t="inlineStr">
        <is>
          <t>Rhino Heavy Tank</t>
        </is>
      </c>
      <c r="D81" s="6" t="inlineStr">
        <is>
          <t>MainBattleTank</t>
        </is>
      </c>
      <c r="E81" s="6" t="n">
        <v>130000</v>
      </c>
      <c r="F81" s="6" t="n">
        <v>85</v>
      </c>
      <c r="G81" t="inlineStr">
        <is>
          <t>Heavy</t>
        </is>
      </c>
      <c r="H81" s="6" t="n">
        <v>1</v>
      </c>
      <c r="I81" s="6" t="n">
        <v>1</v>
      </c>
      <c r="J81" s="6" t="n">
        <v>1</v>
      </c>
      <c r="P81">
        <f>MAX(P82,P83,P84,P85,P86,P87,P88,P89)</f>
        <v/>
      </c>
      <c r="S81">
        <f>S82+S83+S84+S85+S86+S87+S88+S89</f>
        <v/>
      </c>
      <c r="T81">
        <f>(E81/100000+F81/100+(P81/1000)*J81/5+S81/200)*200*I81*H81</f>
        <v/>
      </c>
      <c r="U81">
        <f>((E81*F81/25000)+((P81/1000)*J81*S81/2.5))*I81*H81</f>
        <v/>
      </c>
      <c r="V81">
        <f>(E81*F81*(P81/1000)*J81*S81*I81*H81)/12500000</f>
        <v/>
      </c>
      <c r="W81">
        <f>IFERROR((((E81/240000)+(F81/95)+(S81/600)+((P81/5500)*J81))*800/4+(((E81/240000)*(F81/95))+(((P81/5500)*J81)*(S81/600)))*800/2+((E81/240000)*(F81/95)*((P81/5500)*J81)*(S81/600))*800)*(H81/1.0)/3,"")</f>
        <v/>
      </c>
      <c r="X81" s="6" t="n">
        <v>850</v>
      </c>
      <c r="Y81">
        <f>IFERROR(W81-X81,"")</f>
        <v/>
      </c>
      <c r="Z81">
        <f>IFERROR(ABS(Y81)/MAX(X81,1),"")</f>
        <v/>
      </c>
      <c r="AA81">
        <f>IFERROR(ROUND(((3*X81-(((E81/240000)+(F81/95)+(S81/600))*800/4+((E81/240000)*(F81/95))*800/2)*(H81/1.0))/(800/4+((S81/600))*800/2+((E81/240000)*(F81/95)*(S81/600))*800)*(H81/1.0)*5500)/J81,-1),"")</f>
        <v/>
      </c>
    </row>
    <row r="82">
      <c r="B82" s="7" t="inlineStr">
        <is>
          <t xml:space="preserve">  ↳ RA2120mm</t>
        </is>
      </c>
      <c r="C82" s="7" t="inlineStr">
        <is>
          <t>Armament@PRIMARY</t>
        </is>
      </c>
      <c r="L82" s="6" t="n">
        <v>10000</v>
      </c>
      <c r="M82" s="6" t="n">
        <v>54</v>
      </c>
      <c r="N82" s="6" t="n">
        <v>1</v>
      </c>
      <c r="O82" s="6" t="n"/>
      <c r="P82" s="6" t="n">
        <v>5374</v>
      </c>
      <c r="Q82" s="6" t="n">
        <v>1</v>
      </c>
      <c r="R82">
        <f>M82+IF(MAX(N82-1,0)&gt;0,IF(ISBLANK(O82),5*MAX(N82-1,0),IF(ISNUMBER(O82),O82*MAX(N82-1,0),SUM(IFERROR(VALUE(TEXTSPLIT(O82,",")),0)))),0)</f>
        <v/>
      </c>
      <c r="S82">
        <f>IFERROR(L82*MAX(N82,1)/R82*IF(ISBLANK(K81),1,K81),0)</f>
        <v/>
      </c>
      <c r="AB82" s="7" t="inlineStr">
        <is>
          <t>^Warhead_CannonHE_Medium</t>
        </is>
      </c>
    </row>
    <row r="83">
      <c r="B83" s="7" t="inlineStr">
        <is>
          <t xml:space="preserve">  ↳ RA2120mm_rad</t>
        </is>
      </c>
      <c r="C83" s="7" t="inlineStr">
        <is>
          <t>Armament@PRIMARYRad</t>
        </is>
      </c>
      <c r="L83" s="6" t="n">
        <v>12000</v>
      </c>
      <c r="M83" s="6" t="n">
        <v>54</v>
      </c>
      <c r="N83" s="6" t="n">
        <v>1</v>
      </c>
      <c r="O83" s="6" t="n"/>
      <c r="P83" s="6" t="n">
        <v>5374</v>
      </c>
      <c r="Q83" s="6" t="n">
        <v>1</v>
      </c>
      <c r="R83">
        <f>M83+IF(MAX(N83-1,0)&gt;0,IF(ISBLANK(O83),5*MAX(N83-1,0),IF(ISNUMBER(O83),O83*MAX(N83-1,0),SUM(IFERROR(VALUE(TEXTSPLIT(O83,",")),0)))),0)</f>
        <v/>
      </c>
      <c r="S83">
        <f>IFERROR(L83*MAX(N83,1)/R83*IF(ISBLANK(K81),1,K81),0)</f>
        <v/>
      </c>
      <c r="AB83" s="7" t="inlineStr">
        <is>
          <t>^Warhead_Chemical_Medium, ^Warhead_CannonHE_Medium</t>
        </is>
      </c>
    </row>
    <row r="84">
      <c r="B84" s="7" t="inlineStr">
        <is>
          <t xml:space="preserve">  ↳ RA2120mm_fire</t>
        </is>
      </c>
      <c r="C84" s="7" t="inlineStr">
        <is>
          <t>Armament@PRIMARYFire</t>
        </is>
      </c>
      <c r="L84" s="6" t="n">
        <v>10000</v>
      </c>
      <c r="M84" s="6" t="n">
        <v>54</v>
      </c>
      <c r="N84" s="6" t="n">
        <v>1</v>
      </c>
      <c r="O84" s="6" t="n"/>
      <c r="P84" s="6" t="n">
        <v>5374</v>
      </c>
      <c r="Q84" s="6" t="n">
        <v>1</v>
      </c>
      <c r="R84">
        <f>M84+IF(MAX(N84-1,0)&gt;0,IF(ISBLANK(O84),5*MAX(N84-1,0),IF(ISNUMBER(O84),O84*MAX(N84-1,0),SUM(IFERROR(VALUE(TEXTSPLIT(O84,",")),0)))),0)</f>
        <v/>
      </c>
      <c r="S84">
        <f>IFERROR(L84*MAX(N84,1)/R84*IF(ISBLANK(K81),1,K81),0)</f>
        <v/>
      </c>
      <c r="AB84" s="7" t="inlineStr">
        <is>
          <t>^Warhead_CannonHE_Medium</t>
        </is>
      </c>
    </row>
    <row r="85">
      <c r="B85" s="7" t="inlineStr">
        <is>
          <t xml:space="preserve">  ↳ RA2120mm_tesla</t>
        </is>
      </c>
      <c r="C85" s="7" t="inlineStr">
        <is>
          <t>Armament@PRIMARYTesla</t>
        </is>
      </c>
      <c r="L85" s="6" t="n">
        <v>10000</v>
      </c>
      <c r="M85" s="6" t="n">
        <v>54</v>
      </c>
      <c r="N85" s="6" t="n">
        <v>1</v>
      </c>
      <c r="O85" s="6" t="n"/>
      <c r="P85" s="6" t="n">
        <v>5374</v>
      </c>
      <c r="Q85" s="6" t="n">
        <v>1</v>
      </c>
      <c r="R85">
        <f>M85+IF(MAX(N85-1,0)&gt;0,IF(ISBLANK(O85),5*MAX(N85-1,0),IF(ISNUMBER(O85),O85*MAX(N85-1,0),SUM(IFERROR(VALUE(TEXTSPLIT(O85,",")),0)))),0)</f>
        <v/>
      </c>
      <c r="S85">
        <f>IFERROR(L85*MAX(N85,1)/R85*IF(ISBLANK(K81),1,K81),0)</f>
        <v/>
      </c>
      <c r="AB85" s="7" t="inlineStr">
        <is>
          <t>^Warhead_CannonHE_Medium</t>
        </is>
      </c>
    </row>
    <row r="86">
      <c r="B86" s="7" t="inlineStr">
        <is>
          <t xml:space="preserve">  ↳ RA2120mm_elite</t>
        </is>
      </c>
      <c r="C86" s="7" t="inlineStr">
        <is>
          <t>Armament@PRIMARYELITE</t>
        </is>
      </c>
      <c r="L86" s="6" t="n">
        <v>10000</v>
      </c>
      <c r="M86" s="6" t="n">
        <v>54</v>
      </c>
      <c r="N86" s="6" t="n">
        <v>2</v>
      </c>
      <c r="O86" s="6" t="n">
        <v>3</v>
      </c>
      <c r="P86" s="6" t="n">
        <v>6374</v>
      </c>
      <c r="Q86" s="6" t="n">
        <v>1</v>
      </c>
      <c r="R86">
        <f>M86+IF(MAX(N86-1,0)&gt;0,IF(ISBLANK(O86),5*MAX(N86-1,0),IF(ISNUMBER(O86),O86*MAX(N86-1,0),SUM(IFERROR(VALUE(TEXTSPLIT(O86,",")),0)))),0)</f>
        <v/>
      </c>
      <c r="S86">
        <f>IFERROR(L86*MAX(N86,1)/R86*IF(ISBLANK(K81),1,K81),0)</f>
        <v/>
      </c>
      <c r="AB86" s="7" t="inlineStr">
        <is>
          <t>^Warhead_CannonHE_Medium</t>
        </is>
      </c>
    </row>
    <row r="87">
      <c r="B87" s="7" t="inlineStr">
        <is>
          <t xml:space="preserve">  ↳ RA2120mm_rad_elite</t>
        </is>
      </c>
      <c r="C87" s="7" t="inlineStr">
        <is>
          <t>Armament@PRIMARYELITERad</t>
        </is>
      </c>
      <c r="L87" s="6" t="n">
        <v>12000</v>
      </c>
      <c r="M87" s="6" t="n">
        <v>54</v>
      </c>
      <c r="N87" s="6" t="n">
        <v>2</v>
      </c>
      <c r="O87" s="6" t="n">
        <v>3</v>
      </c>
      <c r="P87" s="6" t="n">
        <v>6374</v>
      </c>
      <c r="Q87" s="6" t="n">
        <v>1</v>
      </c>
      <c r="R87">
        <f>M87+IF(MAX(N87-1,0)&gt;0,IF(ISBLANK(O87),5*MAX(N87-1,0),IF(ISNUMBER(O87),O87*MAX(N87-1,0),SUM(IFERROR(VALUE(TEXTSPLIT(O87,",")),0)))),0)</f>
        <v/>
      </c>
      <c r="S87">
        <f>IFERROR(L87*MAX(N87,1)/R87*IF(ISBLANK(K81),1,K81),0)</f>
        <v/>
      </c>
      <c r="AB87" s="7" t="inlineStr">
        <is>
          <t>^Warhead_Chemical_Medium, ^Warhead_CannonHE_Medium</t>
        </is>
      </c>
    </row>
    <row r="88">
      <c r="B88" s="7" t="inlineStr">
        <is>
          <t xml:space="preserve">  ↳ RA2120mm_fire_elite</t>
        </is>
      </c>
      <c r="C88" s="7" t="inlineStr">
        <is>
          <t>Armament@PRIMARYELITEFire</t>
        </is>
      </c>
      <c r="L88" s="6" t="n">
        <v>10000</v>
      </c>
      <c r="M88" s="6" t="n">
        <v>54</v>
      </c>
      <c r="N88" s="6" t="n">
        <v>2</v>
      </c>
      <c r="O88" s="6" t="n">
        <v>3</v>
      </c>
      <c r="P88" s="6" t="n">
        <v>6374</v>
      </c>
      <c r="Q88" s="6" t="n">
        <v>1</v>
      </c>
      <c r="R88">
        <f>M88+IF(MAX(N88-1,0)&gt;0,IF(ISBLANK(O88),5*MAX(N88-1,0),IF(ISNUMBER(O88),O88*MAX(N88-1,0),SUM(IFERROR(VALUE(TEXTSPLIT(O88,",")),0)))),0)</f>
        <v/>
      </c>
      <c r="S88">
        <f>IFERROR(L88*MAX(N88,1)/R88*IF(ISBLANK(K81),1,K81),0)</f>
        <v/>
      </c>
      <c r="AB88" s="7" t="inlineStr">
        <is>
          <t>^Warhead_CannonHE_Medium</t>
        </is>
      </c>
    </row>
    <row r="89">
      <c r="B89" s="7" t="inlineStr">
        <is>
          <t xml:space="preserve">  ↳ RA2120mm_tesla_elite</t>
        </is>
      </c>
      <c r="C89" s="7" t="inlineStr">
        <is>
          <t>Armament@PRIMARYELITETesla</t>
        </is>
      </c>
      <c r="L89" s="6" t="n">
        <v>10000</v>
      </c>
      <c r="M89" s="6" t="n">
        <v>54</v>
      </c>
      <c r="N89" s="6" t="n">
        <v>2</v>
      </c>
      <c r="O89" s="6" t="n">
        <v>3</v>
      </c>
      <c r="P89" s="6" t="n">
        <v>6374</v>
      </c>
      <c r="Q89" s="6" t="n">
        <v>1</v>
      </c>
      <c r="R89">
        <f>M89+IF(MAX(N89-1,0)&gt;0,IF(ISBLANK(O89),5*MAX(N89-1,0),IF(ISNUMBER(O89),O89*MAX(N89-1,0),SUM(IFERROR(VALUE(TEXTSPLIT(O89,",")),0)))),0)</f>
        <v/>
      </c>
      <c r="S89">
        <f>IFERROR(L89*MAX(N89,1)/R89*IF(ISBLANK(K81),1,K81),0)</f>
        <v/>
      </c>
      <c r="AB89" s="7" t="inlineStr">
        <is>
          <t>^Warhead_CannonHE_Medium</t>
        </is>
      </c>
    </row>
    <row r="90">
      <c r="A90" t="inlineStr">
        <is>
          <t>redalert2mod</t>
        </is>
      </c>
      <c r="B90" t="inlineStr">
        <is>
          <t>asianalliance_lynxtank</t>
        </is>
      </c>
      <c r="C90" t="inlineStr">
        <is>
          <t>Lynx Tank</t>
        </is>
      </c>
      <c r="D90" s="6" t="inlineStr">
        <is>
          <t>MainBattleTank</t>
        </is>
      </c>
      <c r="E90" s="6" t="n">
        <v>120000</v>
      </c>
      <c r="F90" s="6" t="n">
        <v>90</v>
      </c>
      <c r="G90" t="inlineStr">
        <is>
          <t>Heavy</t>
        </is>
      </c>
      <c r="H90" s="6" t="n">
        <v>1</v>
      </c>
      <c r="I90" s="6" t="n">
        <v>1</v>
      </c>
      <c r="J90" s="6" t="n">
        <v>1</v>
      </c>
      <c r="P90">
        <f>MAX(P91,P92,P93,P94)</f>
        <v/>
      </c>
      <c r="S90">
        <f>S91+S92+S93+S94</f>
        <v/>
      </c>
      <c r="T90">
        <f>(E90/100000+F90/100+(P90/1000)*J90/5+S90/200)*200*I90*H90</f>
        <v/>
      </c>
      <c r="U90">
        <f>((E90*F90/25000)+((P90/1000)*J90*S90/2.5))*I90*H90</f>
        <v/>
      </c>
      <c r="V90">
        <f>(E90*F90*(P90/1000)*J90*S90*I90*H90)/12500000</f>
        <v/>
      </c>
      <c r="W90">
        <f>IFERROR((((E90/240000)+(F90/95)+(S90/600)+((P90/5500)*J90))*800/4+(((E90/240000)*(F90/95))+(((P90/5500)*J90)*(S90/600)))*800/2+((E90/240000)*(F90/95)*((P90/5500)*J90)*(S90/600))*800)*(H90/1.0)/3,"")</f>
        <v/>
      </c>
      <c r="X90" s="6" t="n">
        <v>850</v>
      </c>
      <c r="Y90">
        <f>IFERROR(W90-X90,"")</f>
        <v/>
      </c>
      <c r="Z90">
        <f>IFERROR(ABS(Y90)/MAX(X90,1),"")</f>
        <v/>
      </c>
      <c r="AA90">
        <f>IFERROR(ROUND(((3*X90-(((E90/240000)+(F90/95)+(S90/600))*800/4+((E90/240000)*(F90/95))*800/2)*(H90/1.0))/(800/4+((S90/600))*800/2+((E90/240000)*(F90/95)*(S90/600))*800)*(H90/1.0)*5500)/J90,-1),"")</f>
        <v/>
      </c>
    </row>
    <row r="91">
      <c r="B91" s="7" t="inlineStr">
        <is>
          <t xml:space="preserve">  ↳ AsianLynxTankCannon</t>
        </is>
      </c>
      <c r="C91" s="7" t="inlineStr">
        <is>
          <t>Armament</t>
        </is>
      </c>
      <c r="L91" s="6" t="n">
        <v>12000</v>
      </c>
      <c r="M91" s="6" t="n">
        <v>55</v>
      </c>
      <c r="N91" s="6" t="n">
        <v>1</v>
      </c>
      <c r="O91" s="6" t="n"/>
      <c r="P91" s="6" t="n">
        <v>5357</v>
      </c>
      <c r="Q91" s="6" t="n">
        <v>1</v>
      </c>
      <c r="R91">
        <f>M91+IF(MAX(N91-1,0)&gt;0,IF(ISBLANK(O91),5*MAX(N91-1,0),IF(ISNUMBER(O91),O91*MAX(N91-1,0),SUM(IFERROR(VALUE(TEXTSPLIT(O91,",")),0)))),0)</f>
        <v/>
      </c>
      <c r="S91">
        <f>IFERROR(L91*MAX(N91,1)/R91*IF(ISBLANK(K90),1,K90),0)</f>
        <v/>
      </c>
      <c r="AB91" s="7" t="inlineStr">
        <is>
          <t>^Warhead_CannonHE_Medium</t>
        </is>
      </c>
    </row>
    <row r="92">
      <c r="B92" s="7" t="inlineStr">
        <is>
          <t xml:space="preserve">  ↳ AsianLynxTankCannon_elite</t>
        </is>
      </c>
      <c r="C92" s="7" t="inlineStr">
        <is>
          <t>Armament@elite</t>
        </is>
      </c>
      <c r="L92" s="6" t="n">
        <v>12000</v>
      </c>
      <c r="M92" s="6" t="n">
        <v>55</v>
      </c>
      <c r="N92" s="6" t="n">
        <v>2</v>
      </c>
      <c r="O92" s="6" t="n">
        <v>3</v>
      </c>
      <c r="P92" s="6" t="n">
        <v>6357</v>
      </c>
      <c r="Q92" s="6" t="n">
        <v>1</v>
      </c>
      <c r="R92">
        <f>M92+IF(MAX(N92-1,0)&gt;0,IF(ISBLANK(O92),5*MAX(N92-1,0),IF(ISNUMBER(O92),O92*MAX(N92-1,0),SUM(IFERROR(VALUE(TEXTSPLIT(O92,",")),0)))),0)</f>
        <v/>
      </c>
      <c r="S92">
        <f>IFERROR(L92*MAX(N92,1)/R92*IF(ISBLANK(K90),1,K90),0)</f>
        <v/>
      </c>
      <c r="AB92" s="7" t="inlineStr">
        <is>
          <t>^Warhead_CannonHE_Medium</t>
        </is>
      </c>
    </row>
    <row r="93">
      <c r="B93" s="7" t="inlineStr">
        <is>
          <t xml:space="preserve">  ↳ AsianLynxMG</t>
        </is>
      </c>
      <c r="C93" s="7" t="inlineStr">
        <is>
          <t>Armament@MG</t>
        </is>
      </c>
      <c r="L93" s="6" t="n">
        <v>4000</v>
      </c>
      <c r="M93" s="6" t="n">
        <v>51</v>
      </c>
      <c r="N93" s="6" t="n">
        <v>3</v>
      </c>
      <c r="O93" s="6" t="n">
        <v>2</v>
      </c>
      <c r="P93" s="6" t="n">
        <v>5357</v>
      </c>
      <c r="Q93" s="6" t="n">
        <v>0.875</v>
      </c>
      <c r="R93">
        <f>M93+IF(MAX(N93-1,0)&gt;0,IF(ISBLANK(O93),5*MAX(N93-1,0),IF(ISNUMBER(O93),O93*MAX(N93-1,0),SUM(IFERROR(VALUE(TEXTSPLIT(O93,",")),0)))),0)</f>
        <v/>
      </c>
      <c r="S93">
        <f>IFERROR(L93*MAX(N93,1)/R93*IF(ISBLANK(K90),1,K90),0)</f>
        <v/>
      </c>
      <c r="AB93" s="7" t="inlineStr">
        <is>
          <t>^Warhead_Bullet_Light, ^Warhead_Bullet_Medium</t>
        </is>
      </c>
    </row>
    <row r="94">
      <c r="B94" s="7" t="inlineStr">
        <is>
          <t xml:space="preserve">  ↳ AsianLynxMG_elite</t>
        </is>
      </c>
      <c r="C94" s="7" t="inlineStr">
        <is>
          <t>Armament@MGelite</t>
        </is>
      </c>
      <c r="L94" s="6" t="n">
        <v>4000</v>
      </c>
      <c r="M94" s="6" t="n">
        <v>51</v>
      </c>
      <c r="N94" s="6" t="n">
        <v>6</v>
      </c>
      <c r="O94" s="6" t="n">
        <v>2</v>
      </c>
      <c r="P94" s="6" t="n">
        <v>6357</v>
      </c>
      <c r="Q94" s="6" t="n">
        <v>0.875</v>
      </c>
      <c r="R94">
        <f>M94+IF(MAX(N94-1,0)&gt;0,IF(ISBLANK(O94),5*MAX(N94-1,0),IF(ISNUMBER(O94),O94*MAX(N94-1,0),SUM(IFERROR(VALUE(TEXTSPLIT(O94,",")),0)))),0)</f>
        <v/>
      </c>
      <c r="S94">
        <f>IFERROR(L94*MAX(N94,1)/R94*IF(ISBLANK(K90),1,K90),0)</f>
        <v/>
      </c>
      <c r="AB94" s="7" t="inlineStr">
        <is>
          <t>^Warhead_Bullet_Light, ^Warhead_Bullet_Medium</t>
        </is>
      </c>
    </row>
    <row r="95">
      <c r="A95" t="inlineStr">
        <is>
          <t>redalert2mod</t>
        </is>
      </c>
      <c r="B95" t="inlineStr">
        <is>
          <t>ptnk.asian</t>
        </is>
      </c>
      <c r="C95" t="inlineStr">
        <is>
          <t>Plasma Tank</t>
        </is>
      </c>
      <c r="D95" s="6" t="inlineStr">
        <is>
          <t>MainBattleTank</t>
        </is>
      </c>
      <c r="E95" s="6" t="n">
        <v>130000</v>
      </c>
      <c r="F95" s="6" t="n">
        <v>50</v>
      </c>
      <c r="G95" t="inlineStr">
        <is>
          <t>Heavy</t>
        </is>
      </c>
      <c r="H95" s="6" t="n">
        <v>0.4853</v>
      </c>
      <c r="I95" s="6" t="n">
        <v>1</v>
      </c>
      <c r="J95" s="6" t="n">
        <v>1</v>
      </c>
      <c r="P95">
        <f>MAX(P96,P97)</f>
        <v/>
      </c>
      <c r="S95">
        <f>S96+S97</f>
        <v/>
      </c>
      <c r="T95">
        <f>(E95/100000+F95/100+(P95/1000)*J95/5+S95/200)*200*I95*H95</f>
        <v/>
      </c>
      <c r="U95">
        <f>((E95*F95/25000)+((P95/1000)*J95*S95/2.5))*I95*H95</f>
        <v/>
      </c>
      <c r="V95">
        <f>(E95*F95*(P95/1000)*J95*S95*I95*H95)/12500000</f>
        <v/>
      </c>
      <c r="W95">
        <f>IFERROR((((E95/240000)+(F95/95)+(S95/600)+((P95/5500)*J95))*800/4+(((E95/240000)*(F95/95))+(((P95/5500)*J95)*(S95/600)))*800/2+((E95/240000)*(F95/95)*((P95/5500)*J95)*(S95/600))*800)*(H95/1.0)/3,"")</f>
        <v/>
      </c>
      <c r="X95" s="6" t="n">
        <v>2400</v>
      </c>
      <c r="Y95">
        <f>IFERROR(W95-X95,"")</f>
        <v/>
      </c>
      <c r="Z95">
        <f>IFERROR(ABS(Y95)/MAX(X95,1),"")</f>
        <v/>
      </c>
      <c r="AA95">
        <f>IFERROR(ROUND(((3*X95-(((E95/240000)+(F95/95)+(S95/600))*800/4+((E95/240000)*(F95/95))*800/2)*(H95/1.0))/(800/4+((S95/600))*800/2+((E95/240000)*(F95/95)*(S95/600))*800)*(H95/1.0)*5500)/J95,-1),"")</f>
        <v/>
      </c>
    </row>
    <row r="96">
      <c r="B96" s="7" t="inlineStr">
        <is>
          <t xml:space="preserve">  ↳ AsianTwinPlasma</t>
        </is>
      </c>
      <c r="C96" s="7" t="inlineStr">
        <is>
          <t>Armament@PRIMARY</t>
        </is>
      </c>
      <c r="L96" s="6" t="n">
        <v>16000</v>
      </c>
      <c r="M96" s="6" t="n">
        <v>25</v>
      </c>
      <c r="N96" s="6" t="n">
        <v>2</v>
      </c>
      <c r="O96" s="6" t="n">
        <v>5</v>
      </c>
      <c r="P96" s="6" t="n">
        <v>7777</v>
      </c>
      <c r="Q96" s="6" t="n">
        <v>1.125</v>
      </c>
      <c r="R96">
        <f>M96+IF(MAX(N96-1,0)&gt;0,IF(ISBLANK(O96),5*MAX(N96-1,0),IF(ISNUMBER(O96),O96*MAX(N96-1,0),SUM(IFERROR(VALUE(TEXTSPLIT(O96,",")),0)))),0)</f>
        <v/>
      </c>
      <c r="S96">
        <f>IFERROR(L96*MAX(N96,1)/R96*IF(ISBLANK(K95),1,K95),0)</f>
        <v/>
      </c>
      <c r="AB96" s="7" t="inlineStr">
        <is>
          <t>^Warhead_CannonHE_Medium, ^Warhead_CannonHE_Heavy</t>
        </is>
      </c>
    </row>
    <row r="97">
      <c r="B97" s="7" t="inlineStr">
        <is>
          <t xml:space="preserve">  ↳ AsianTwinPlasma_elite</t>
        </is>
      </c>
      <c r="C97" s="7" t="inlineStr">
        <is>
          <t>Armament@ELITE</t>
        </is>
      </c>
      <c r="L97" s="6" t="n">
        <v>16000</v>
      </c>
      <c r="M97" s="6" t="n">
        <v>25</v>
      </c>
      <c r="N97" s="6" t="n">
        <v>4</v>
      </c>
      <c r="O97" s="6" t="n">
        <v>5</v>
      </c>
      <c r="P97" s="6" t="n">
        <v>8888</v>
      </c>
      <c r="Q97" s="6" t="n">
        <v>1.125</v>
      </c>
      <c r="R97">
        <f>M97+IF(MAX(N97-1,0)&gt;0,IF(ISBLANK(O97),5*MAX(N97-1,0),IF(ISNUMBER(O97),O97*MAX(N97-1,0),SUM(IFERROR(VALUE(TEXTSPLIT(O97,",")),0)))),0)</f>
        <v/>
      </c>
      <c r="S97">
        <f>IFERROR(L97*MAX(N97,1)/R97*IF(ISBLANK(K95),1,K95),0)</f>
        <v/>
      </c>
      <c r="AB97" s="7" t="inlineStr">
        <is>
          <t>^Warhead_CannonHE_Medium, ^Warhead_CannonHE_Heavy</t>
        </is>
      </c>
    </row>
    <row r="98">
      <c r="A98" t="inlineStr">
        <is>
          <t>redalert2mod</t>
        </is>
      </c>
      <c r="B98" t="inlineStr">
        <is>
          <t>oldqtnk.steel</t>
        </is>
      </c>
      <c r="C98" t="inlineStr">
        <is>
          <t>Beta Quantum Tank</t>
        </is>
      </c>
      <c r="D98" s="6" t="inlineStr">
        <is>
          <t>MainBattleTank</t>
        </is>
      </c>
      <c r="E98" s="6" t="n">
        <v>112500</v>
      </c>
      <c r="F98" s="6" t="n">
        <v>80</v>
      </c>
      <c r="G98" t="inlineStr">
        <is>
          <t>Heavy</t>
        </is>
      </c>
      <c r="H98" s="6" t="n">
        <v>1</v>
      </c>
      <c r="I98" s="6" t="n">
        <v>1</v>
      </c>
      <c r="J98" s="6" t="n">
        <v>1</v>
      </c>
      <c r="P98">
        <f>MAX(P99)</f>
        <v/>
      </c>
      <c r="S98">
        <f>S99</f>
        <v/>
      </c>
      <c r="T98">
        <f>(E98/100000+F98/100+(P98/1000)*J98/5+S98/200)*200*I98*H98</f>
        <v/>
      </c>
      <c r="U98">
        <f>((E98*F98/25000)+((P98/1000)*J98*S98/2.5))*I98*H98</f>
        <v/>
      </c>
      <c r="V98">
        <f>(E98*F98*(P98/1000)*J98*S98*I98*H98)/12500000</f>
        <v/>
      </c>
      <c r="W98">
        <f>IFERROR((((E98/240000)+(F98/95)+(S98/600)+((P98/5500)*J98))*800/4+(((E98/240000)*(F98/95))+(((P98/5500)*J98)*(S98/600)))*800/2+((E98/240000)*(F98/95)*((P98/5500)*J98)*(S98/600))*800)*(H98/1.0)/3,"")</f>
        <v/>
      </c>
      <c r="X98" s="6" t="n">
        <v>2400</v>
      </c>
      <c r="Y98">
        <f>IFERROR(W98-X98,"")</f>
        <v/>
      </c>
      <c r="Z98">
        <f>IFERROR(ABS(Y98)/MAX(X98,1),"")</f>
        <v/>
      </c>
      <c r="AA98">
        <f>IFERROR(ROUND(((3*X98-(((E98/240000)+(F98/95)+(S98/600))*800/4+((E98/240000)*(F98/95))*800/2)*(H98/1.0))/(800/4+((S98/600))*800/2+((E98/240000)*(F98/95)*(S98/600))*800)*(H98/1.0)*5500)/J98,-1),"")</f>
        <v/>
      </c>
    </row>
    <row r="99">
      <c r="B99" s="7" t="inlineStr">
        <is>
          <t xml:space="preserve">  ↳ SteelQuantumCannon_elite</t>
        </is>
      </c>
      <c r="C99" s="7" t="inlineStr">
        <is>
          <t>Armament</t>
        </is>
      </c>
      <c r="L99" s="6" t="n">
        <v>60000</v>
      </c>
      <c r="M99" s="6" t="n">
        <v>65</v>
      </c>
      <c r="N99" s="6" t="n">
        <v>1</v>
      </c>
      <c r="O99" s="6" t="n"/>
      <c r="P99" s="6" t="n">
        <v>7000</v>
      </c>
      <c r="Q99" s="6" t="n">
        <v>1</v>
      </c>
      <c r="R99">
        <f>M99+IF(MAX(N99-1,0)&gt;0,IF(ISBLANK(O99),5*MAX(N99-1,0),IF(ISNUMBER(O99),O99*MAX(N99-1,0),SUM(IFERROR(VALUE(TEXTSPLIT(O99,",")),0)))),0)</f>
        <v/>
      </c>
      <c r="S99">
        <f>IFERROR(L99*MAX(N99,1)/R99*IF(ISBLANK(K98),1,K98),0)</f>
        <v/>
      </c>
      <c r="AB99" s="7" t="inlineStr">
        <is>
          <t>^Warhead_Tesla_Heavy, ^Warhead_Laser_Heavy, ^Warhead_Railgun_Heavy</t>
        </is>
      </c>
    </row>
    <row r="100">
      <c r="A100" t="inlineStr">
        <is>
          <t>redalert2mod</t>
        </is>
      </c>
      <c r="B100" t="inlineStr">
        <is>
          <t>steelconsortium_mako</t>
        </is>
      </c>
      <c r="C100" t="inlineStr">
        <is>
          <t>Mako</t>
        </is>
      </c>
      <c r="D100" s="6" t="inlineStr">
        <is>
          <t>MainBattleTank</t>
        </is>
      </c>
      <c r="E100" s="6" t="n">
        <v>95000</v>
      </c>
      <c r="F100" s="6" t="n">
        <v>85</v>
      </c>
      <c r="G100" t="inlineStr">
        <is>
          <t>Heavy</t>
        </is>
      </c>
      <c r="H100" s="6" t="n">
        <v>1</v>
      </c>
      <c r="I100" s="6" t="n">
        <v>1</v>
      </c>
      <c r="J100" s="6" t="n">
        <v>0.75</v>
      </c>
      <c r="P100">
        <f>MAX(P101,P102,P103,P104)</f>
        <v/>
      </c>
      <c r="S100">
        <f>S101+S102+S103+S104</f>
        <v/>
      </c>
      <c r="T100">
        <f>(E100/100000+F100/100+(P100/1000)*J100/5+S100/200)*200*I100*H100</f>
        <v/>
      </c>
      <c r="U100">
        <f>((E100*F100/25000)+((P100/1000)*J100*S100/2.5))*I100*H100</f>
        <v/>
      </c>
      <c r="V100">
        <f>(E100*F100*(P100/1000)*J100*S100*I100*H100)/12500000</f>
        <v/>
      </c>
      <c r="W100">
        <f>IFERROR((((E100/240000)+(F100/95)+(S100/600)+((P100/5500)*J100))*800/4+(((E100/240000)*(F100/95))+(((P100/5500)*J100)*(S100/600)))*800/2+((E100/240000)*(F100/95)*((P100/5500)*J100)*(S100/600))*800)*(H100/1.0)/3,"")</f>
        <v/>
      </c>
      <c r="X100" s="6" t="n">
        <v>900</v>
      </c>
      <c r="Y100">
        <f>IFERROR(W100-X100,"")</f>
        <v/>
      </c>
      <c r="Z100">
        <f>IFERROR(ABS(Y100)/MAX(X100,1),"")</f>
        <v/>
      </c>
      <c r="AA100">
        <f>IFERROR(ROUND(((3*X100-(((E100/240000)+(F100/95)+(S100/600))*800/4+((E100/240000)*(F100/95))*800/2)*(H100/1.0))/(800/4+((S100/600))*800/2+((E100/240000)*(F100/95)*(S100/600))*800)*(H100/1.0)*5500)/J100,-1),"")</f>
        <v/>
      </c>
    </row>
    <row r="101">
      <c r="B101" s="7" t="inlineStr">
        <is>
          <t xml:space="preserve">  ↳ SteelMakoGun</t>
        </is>
      </c>
      <c r="C101" s="7" t="inlineStr">
        <is>
          <t>Armament@PRIMARY</t>
        </is>
      </c>
      <c r="L101" s="6" t="n">
        <v>8000</v>
      </c>
      <c r="M101" s="6" t="n">
        <v>25</v>
      </c>
      <c r="N101" s="6" t="n">
        <v>1</v>
      </c>
      <c r="O101" s="6" t="n"/>
      <c r="P101" s="6" t="n">
        <v>6050</v>
      </c>
      <c r="Q101" s="6" t="n">
        <v>1</v>
      </c>
      <c r="R101">
        <f>M101+IF(MAX(N101-1,0)&gt;0,IF(ISBLANK(O101),5*MAX(N101-1,0),IF(ISNUMBER(O101),O101*MAX(N101-1,0),SUM(IFERROR(VALUE(TEXTSPLIT(O101,",")),0)))),0)</f>
        <v/>
      </c>
      <c r="S101">
        <f>IFERROR(L101*MAX(N101,1)/R101*IF(ISBLANK(K100),1,K100),0)</f>
        <v/>
      </c>
      <c r="AB101" s="7" t="inlineStr">
        <is>
          <t>^Warhead_Demolition_Light, ^Warhead_Railgun_Heavy, ^Warhead_CannonHE_Medium</t>
        </is>
      </c>
    </row>
    <row r="102">
      <c r="B102" s="7" t="inlineStr">
        <is>
          <t xml:space="preserve">  ↳ SteelMakoGun_elite</t>
        </is>
      </c>
      <c r="C102" s="7" t="inlineStr">
        <is>
          <t>Armament@ELITE</t>
        </is>
      </c>
      <c r="L102" s="6" t="n">
        <v>8000</v>
      </c>
      <c r="M102" s="6" t="n">
        <v>25</v>
      </c>
      <c r="N102" s="6" t="n">
        <v>2</v>
      </c>
      <c r="O102" s="6" t="n">
        <v>3</v>
      </c>
      <c r="P102" s="6" t="n">
        <v>7050</v>
      </c>
      <c r="Q102" s="6" t="n">
        <v>1</v>
      </c>
      <c r="R102">
        <f>M102+IF(MAX(N102-1,0)&gt;0,IF(ISBLANK(O102),5*MAX(N102-1,0),IF(ISNUMBER(O102),O102*MAX(N102-1,0),SUM(IFERROR(VALUE(TEXTSPLIT(O102,",")),0)))),0)</f>
        <v/>
      </c>
      <c r="S102">
        <f>IFERROR(L102*MAX(N102,1)/R102*IF(ISBLANK(K100),1,K100),0)</f>
        <v/>
      </c>
      <c r="AB102" s="7" t="inlineStr">
        <is>
          <t>^Warhead_Demolition_Light, ^Warhead_Railgun_Heavy, ^Warhead_CannonHE_Medium</t>
        </is>
      </c>
    </row>
    <row r="103">
      <c r="B103" s="7" t="inlineStr">
        <is>
          <t xml:space="preserve">  ↳ SteelMakoGun_EMP</t>
        </is>
      </c>
      <c r="C103" s="7" t="inlineStr">
        <is>
          <t>Armament@UpgradePRIMARY</t>
        </is>
      </c>
      <c r="L103" s="6" t="n">
        <v>12000</v>
      </c>
      <c r="M103" s="6" t="n">
        <v>25</v>
      </c>
      <c r="N103" s="6" t="n">
        <v>1</v>
      </c>
      <c r="O103" s="6" t="n"/>
      <c r="P103" s="6" t="n">
        <v>6050</v>
      </c>
      <c r="Q103" s="6" t="n">
        <v>1</v>
      </c>
      <c r="R103">
        <f>M103+IF(MAX(N103-1,0)&gt;0,IF(ISBLANK(O103),5*MAX(N103-1,0),IF(ISNUMBER(O103),O103*MAX(N103-1,0),SUM(IFERROR(VALUE(TEXTSPLIT(O103,",")),0)))),0)</f>
        <v/>
      </c>
      <c r="S103">
        <f>IFERROR(L103*MAX(N103,1)/R103*IF(ISBLANK(K100),1,K100),0)</f>
        <v/>
      </c>
      <c r="AB103" s="7" t="inlineStr">
        <is>
          <t>^Warhead_Demolition_Light, ^Warhead_Railgun_Heavy, ^Warhead_CannonHE_Medium</t>
        </is>
      </c>
    </row>
    <row r="104">
      <c r="B104" s="7" t="inlineStr">
        <is>
          <t xml:space="preserve">  ↳ SteelMakoGun_EMP_elite</t>
        </is>
      </c>
      <c r="C104" s="7" t="inlineStr">
        <is>
          <t>Armament@UpgradeELITE</t>
        </is>
      </c>
      <c r="L104" s="6" t="n">
        <v>12000</v>
      </c>
      <c r="M104" s="6" t="n">
        <v>25</v>
      </c>
      <c r="N104" s="6" t="n">
        <v>2</v>
      </c>
      <c r="O104" s="6" t="n">
        <v>3</v>
      </c>
      <c r="P104" s="6" t="n">
        <v>7050</v>
      </c>
      <c r="Q104" s="6" t="n">
        <v>1</v>
      </c>
      <c r="R104">
        <f>M104+IF(MAX(N104-1,0)&gt;0,IF(ISBLANK(O104),5*MAX(N104-1,0),IF(ISNUMBER(O104),O104*MAX(N104-1,0),SUM(IFERROR(VALUE(TEXTSPLIT(O104,",")),0)))),0)</f>
        <v/>
      </c>
      <c r="S104">
        <f>IFERROR(L104*MAX(N104,1)/R104*IF(ISBLANK(K100),1,K100),0)</f>
        <v/>
      </c>
      <c r="AB104" s="7" t="inlineStr">
        <is>
          <t>^Warhead_Demolition_Light, ^Warhead_Railgun_Heavy, ^Warhead_CannonHE_Medium</t>
        </is>
      </c>
    </row>
    <row r="105">
      <c r="A105" t="inlineStr">
        <is>
          <t>redalert2mod</t>
        </is>
      </c>
      <c r="B105" t="inlineStr">
        <is>
          <t>steelconsortium_quantumtank</t>
        </is>
      </c>
      <c r="C105" t="inlineStr">
        <is>
          <t>Quantum Tank</t>
        </is>
      </c>
      <c r="D105" s="6" t="inlineStr">
        <is>
          <t>MainBattleTank</t>
        </is>
      </c>
      <c r="E105" s="6" t="n">
        <v>100000</v>
      </c>
      <c r="F105" s="6" t="n">
        <v>100</v>
      </c>
      <c r="G105" t="inlineStr">
        <is>
          <t>Heavy</t>
        </is>
      </c>
      <c r="H105" s="6" t="n">
        <v>0.8462</v>
      </c>
      <c r="I105" s="6" t="n">
        <v>1</v>
      </c>
      <c r="J105" s="6" t="n">
        <v>1</v>
      </c>
      <c r="P105">
        <f>MAX(P106,P107,P108)</f>
        <v/>
      </c>
      <c r="S105">
        <f>S106+S107+S108</f>
        <v/>
      </c>
      <c r="T105">
        <f>(E105/100000+F105/100+(P105/1000)*J105/5+S105/200)*200*I105*H105</f>
        <v/>
      </c>
      <c r="U105">
        <f>((E105*F105/25000)+((P105/1000)*J105*S105/2.5))*I105*H105</f>
        <v/>
      </c>
      <c r="V105">
        <f>(E105*F105*(P105/1000)*J105*S105*I105*H105)/12500000</f>
        <v/>
      </c>
      <c r="W105">
        <f>IFERROR((((E105/240000)+(F105/95)+(S105/600)+((P105/5500)*J105))*800/4+(((E105/240000)*(F105/95))+(((P105/5500)*J105)*(S105/600)))*800/2+((E105/240000)*(F105/95)*((P105/5500)*J105)*(S105/600))*800)*(H105/1.0)/3,"")</f>
        <v/>
      </c>
      <c r="X105" s="6" t="n">
        <v>1600</v>
      </c>
      <c r="Y105">
        <f>IFERROR(W105-X105,"")</f>
        <v/>
      </c>
      <c r="Z105">
        <f>IFERROR(ABS(Y105)/MAX(X105,1),"")</f>
        <v/>
      </c>
      <c r="AA105">
        <f>IFERROR(ROUND(((3*X105-(((E105/240000)+(F105/95)+(S105/600))*800/4+((E105/240000)*(F105/95))*800/2)*(H105/1.0))/(800/4+((S105/600))*800/2+((E105/240000)*(F105/95)*(S105/600))*800)*(H105/1.0)*5500)/J105,-1),"")</f>
        <v/>
      </c>
    </row>
    <row r="106">
      <c r="B106" s="7" t="inlineStr">
        <is>
          <t xml:space="preserve">  ↳ SteelQuantumCannon</t>
        </is>
      </c>
      <c r="C106" s="7" t="inlineStr">
        <is>
          <t>Armament</t>
        </is>
      </c>
      <c r="L106" s="6" t="n">
        <v>24000</v>
      </c>
      <c r="M106" s="6" t="n">
        <v>65</v>
      </c>
      <c r="N106" s="6" t="n">
        <v>1</v>
      </c>
      <c r="O106" s="6" t="n"/>
      <c r="P106" s="6" t="n">
        <v>6000</v>
      </c>
      <c r="Q106" s="6" t="n">
        <v>1.25</v>
      </c>
      <c r="R106">
        <f>M106+IF(MAX(N106-1,0)&gt;0,IF(ISBLANK(O106),5*MAX(N106-1,0),IF(ISNUMBER(O106),O106*MAX(N106-1,0),SUM(IFERROR(VALUE(TEXTSPLIT(O106,",")),0)))),0)</f>
        <v/>
      </c>
      <c r="S106">
        <f>IFERROR(L106*MAX(N106,1)/R106*IF(ISBLANK(K105),1,K105),0)</f>
        <v/>
      </c>
      <c r="AB106" s="7" t="inlineStr">
        <is>
          <t>^Warhead_Laser_Heavy, ^Warhead_Railgun_Heavy</t>
        </is>
      </c>
    </row>
    <row r="107">
      <c r="B107" s="7" t="inlineStr">
        <is>
          <t xml:space="preserve">  ↳ SteelQuantumCannon_EMP</t>
        </is>
      </c>
      <c r="C107" s="7" t="inlineStr">
        <is>
          <t>Armament@Upgrade</t>
        </is>
      </c>
      <c r="L107" s="6" t="n">
        <v>48000</v>
      </c>
      <c r="M107" s="6" t="n">
        <v>65</v>
      </c>
      <c r="N107" s="6" t="n">
        <v>1</v>
      </c>
      <c r="O107" s="6" t="n"/>
      <c r="P107" s="6" t="n">
        <v>6000</v>
      </c>
      <c r="Q107" s="6" t="n">
        <v>1</v>
      </c>
      <c r="R107">
        <f>M107+IF(MAX(N107-1,0)&gt;0,IF(ISBLANK(O107),5*MAX(N107-1,0),IF(ISNUMBER(O107),O107*MAX(N107-1,0),SUM(IFERROR(VALUE(TEXTSPLIT(O107,",")),0)))),0)</f>
        <v/>
      </c>
      <c r="S107">
        <f>IFERROR(L107*MAX(N107,1)/R107*IF(ISBLANK(K105),1,K105),0)</f>
        <v/>
      </c>
      <c r="AB107" s="7" t="inlineStr">
        <is>
          <t>^Warhead_Tesla_Heavy, ^Warhead_Laser_Heavy, ^Warhead_Railgun_Heavy</t>
        </is>
      </c>
    </row>
    <row r="108">
      <c r="B108" s="7" t="inlineStr">
        <is>
          <t xml:space="preserve">  ↳ SteelQuantumCannon_elite</t>
        </is>
      </c>
      <c r="C108" s="7" t="inlineStr">
        <is>
          <t>Armament@elite</t>
        </is>
      </c>
      <c r="L108" s="6" t="n">
        <v>60000</v>
      </c>
      <c r="M108" s="6" t="n">
        <v>65</v>
      </c>
      <c r="N108" s="6" t="n">
        <v>1</v>
      </c>
      <c r="O108" s="6" t="n"/>
      <c r="P108" s="6" t="n">
        <v>7000</v>
      </c>
      <c r="Q108" s="6" t="n">
        <v>1</v>
      </c>
      <c r="R108">
        <f>M108+IF(MAX(N108-1,0)&gt;0,IF(ISBLANK(O108),5*MAX(N108-1,0),IF(ISNUMBER(O108),O108*MAX(N108-1,0),SUM(IFERROR(VALUE(TEXTSPLIT(O108,",")),0)))),0)</f>
        <v/>
      </c>
      <c r="S108">
        <f>IFERROR(L108*MAX(N108,1)/R108*IF(ISBLANK(K105),1,K105),0)</f>
        <v/>
      </c>
      <c r="AB108" s="7" t="inlineStr">
        <is>
          <t>^Warhead_Tesla_Heavy, ^Warhead_Laser_Heavy, ^Warhead_Railgun_Heavy</t>
        </is>
      </c>
    </row>
    <row r="109">
      <c r="A109" t="inlineStr">
        <is>
          <t>redalert2mod</t>
        </is>
      </c>
      <c r="B109" t="inlineStr">
        <is>
          <t>latinsyndicate_smokertank</t>
        </is>
      </c>
      <c r="C109" t="inlineStr">
        <is>
          <t>Smoker Tank</t>
        </is>
      </c>
      <c r="D109" s="6" t="inlineStr">
        <is>
          <t>MainBattleTank</t>
        </is>
      </c>
      <c r="E109" s="6" t="n">
        <v>260000</v>
      </c>
      <c r="F109" s="6" t="n">
        <v>95</v>
      </c>
      <c r="G109" t="inlineStr">
        <is>
          <t>Heavy</t>
        </is>
      </c>
      <c r="H109" s="6" t="n">
        <v>1</v>
      </c>
      <c r="I109" s="6" t="n">
        <v>1</v>
      </c>
      <c r="J109" s="6" t="n">
        <v>1</v>
      </c>
      <c r="K109" t="n">
        <v>0.005</v>
      </c>
      <c r="P109">
        <f>MAX(P110,P111,P112,P113,P114,P115)</f>
        <v/>
      </c>
      <c r="S109">
        <f>S110+S111+S112+S113+S114+S115</f>
        <v/>
      </c>
      <c r="T109">
        <f>(E109/100000+F109/100+(P109/1000)*J109/5+S109/200)*200*I109*H109</f>
        <v/>
      </c>
      <c r="U109">
        <f>((E109*F109/25000)+((P109/1000)*J109*S109/2.5))*I109*H109</f>
        <v/>
      </c>
      <c r="V109">
        <f>(E109*F109*(P109/1000)*J109*S109*I109*H109)/12500000</f>
        <v/>
      </c>
      <c r="W109">
        <f>IFERROR((((E109/240000)+(F109/95)+(S109/600)+((P109/5500)*J109))*800/4+(((E109/240000)*(F109/95))+(((P109/5500)*J109)*(S109/600)))*800/2+((E109/240000)*(F109/95)*((P109/5500)*J109)*(S109/600))*800)*(H109/1.0)/3,"")</f>
        <v/>
      </c>
      <c r="X109" s="6" t="n">
        <v>1800</v>
      </c>
      <c r="Y109">
        <f>IFERROR(W109-X109,"")</f>
        <v/>
      </c>
      <c r="Z109">
        <f>IFERROR(ABS(Y109)/MAX(X109,1),"")</f>
        <v/>
      </c>
      <c r="AA109">
        <f>IFERROR(ROUND(((3*X109-(((E109/240000)+(F109/95)+(S109/600))*800/4+((E109/240000)*(F109/95))*800/2)*(H109/1.0))/(800/4+((S109/600))*800/2+((E109/240000)*(F109/95)*(S109/600))*800)*(H109/1.0)*5500)/J109,-1),"")</f>
        <v/>
      </c>
    </row>
    <row r="110">
      <c r="B110" s="7" t="inlineStr">
        <is>
          <t xml:space="preserve">  ↳ LatinSmokerCannon</t>
        </is>
      </c>
      <c r="C110" s="7" t="inlineStr">
        <is>
          <t>Armament</t>
        </is>
      </c>
      <c r="L110" s="6" t="n">
        <v>12000</v>
      </c>
      <c r="M110" s="6" t="n">
        <v>65</v>
      </c>
      <c r="N110" s="6" t="n">
        <v>1</v>
      </c>
      <c r="O110" s="6" t="n"/>
      <c r="P110" s="6" t="n">
        <v>6550</v>
      </c>
      <c r="Q110" s="6" t="n">
        <v>1.125</v>
      </c>
      <c r="R110">
        <f>M110+IF(MAX(N110-1,0)&gt;0,IF(ISBLANK(O110),5*MAX(N110-1,0),IF(ISNUMBER(O110),O110*MAX(N110-1,0),SUM(IFERROR(VALUE(TEXTSPLIT(O110,",")),0)))),0)</f>
        <v/>
      </c>
      <c r="S110">
        <f>IFERROR(L110*MAX(N110,1)/R110*IF(ISBLANK(K109),1,K109),0)</f>
        <v/>
      </c>
      <c r="AB110" s="7" t="inlineStr">
        <is>
          <t>^Warhead_CannonHE_Heavy, ^Warhead_CannonHE_Medium</t>
        </is>
      </c>
    </row>
    <row r="111">
      <c r="B111" s="7" t="inlineStr">
        <is>
          <t xml:space="preserve">  ↳ LatinSmokerCannon_elite</t>
        </is>
      </c>
      <c r="C111" s="7" t="inlineStr">
        <is>
          <t>Armament@elite</t>
        </is>
      </c>
      <c r="L111" s="6" t="n">
        <v>12000</v>
      </c>
      <c r="M111" s="6" t="n">
        <v>65</v>
      </c>
      <c r="N111" s="6" t="n">
        <v>2</v>
      </c>
      <c r="O111" s="6" t="n">
        <v>3</v>
      </c>
      <c r="P111" s="6" t="n">
        <v>7550</v>
      </c>
      <c r="Q111" s="6" t="n">
        <v>1.125</v>
      </c>
      <c r="R111">
        <f>M111+IF(MAX(N111-1,0)&gt;0,IF(ISBLANK(O111),5*MAX(N111-1,0),IF(ISNUMBER(O111),O111*MAX(N111-1,0),SUM(IFERROR(VALUE(TEXTSPLIT(O111,",")),0)))),0)</f>
        <v/>
      </c>
      <c r="S111">
        <f>IFERROR(L111*MAX(N111,1)/R111*IF(ISBLANK(K109),1,K109),0)</f>
        <v/>
      </c>
      <c r="AB111" s="7" t="inlineStr">
        <is>
          <t>^Warhead_CannonHE_Heavy, ^Warhead_CannonHE_Medium</t>
        </is>
      </c>
    </row>
    <row r="112">
      <c r="B112" s="7" t="inlineStr">
        <is>
          <t xml:space="preserve">  ↳ RA2GrenadePack</t>
        </is>
      </c>
      <c r="C112" s="7" t="inlineStr">
        <is>
          <t>Armament@GrenadePack</t>
        </is>
      </c>
      <c r="L112" s="6" t="n">
        <v>6000</v>
      </c>
      <c r="M112" s="6" t="n">
        <v>110</v>
      </c>
      <c r="N112" s="6" t="n">
        <v>4</v>
      </c>
      <c r="O112" s="6" t="n">
        <v>2</v>
      </c>
      <c r="P112" s="6" t="n">
        <v>6550</v>
      </c>
      <c r="Q112" s="6" t="n">
        <v>1</v>
      </c>
      <c r="R112">
        <f>M112+IF(MAX(N112-1,0)&gt;0,IF(ISBLANK(O112),5*MAX(N112-1,0),IF(ISNUMBER(O112),O112*MAX(N112-1,0),SUM(IFERROR(VALUE(TEXTSPLIT(O112,",")),0)))),0)</f>
        <v/>
      </c>
      <c r="S112">
        <f>IFERROR(L112*MAX(N112,1)/R112*IF(ISBLANK(K109),1,K109),0)</f>
        <v/>
      </c>
      <c r="AB112" s="7" t="inlineStr">
        <is>
          <t>^Warhead_MissileAP_Heavy, ^Warhead_Concussion_Light, ^Warhead_Flak_Medium</t>
        </is>
      </c>
    </row>
    <row r="113">
      <c r="B113" s="7" t="inlineStr">
        <is>
          <t xml:space="preserve">  ↳ RA2GrenadePack_elite</t>
        </is>
      </c>
      <c r="C113" s="7" t="inlineStr">
        <is>
          <t>Armament@GrenadePackE</t>
        </is>
      </c>
      <c r="L113" s="6" t="n">
        <v>6000</v>
      </c>
      <c r="M113" s="6" t="n">
        <v>110</v>
      </c>
      <c r="N113" s="6" t="n">
        <v>8</v>
      </c>
      <c r="O113" s="6" t="n">
        <v>2</v>
      </c>
      <c r="P113" s="6" t="n">
        <v>7550</v>
      </c>
      <c r="Q113" s="6" t="n">
        <v>1</v>
      </c>
      <c r="R113">
        <f>M113+IF(MAX(N113-1,0)&gt;0,IF(ISBLANK(O113),5*MAX(N113-1,0),IF(ISNUMBER(O113),O113*MAX(N113-1,0),SUM(IFERROR(VALUE(TEXTSPLIT(O113,",")),0)))),0)</f>
        <v/>
      </c>
      <c r="S113">
        <f>IFERROR(L113*MAX(N113,1)/R113*IF(ISBLANK(K109),1,K109),0)</f>
        <v/>
      </c>
      <c r="AB113" s="7" t="inlineStr">
        <is>
          <t>^Warhead_MissileAP_Heavy, ^Warhead_Concussion_Light, ^Warhead_Flak_Medium</t>
        </is>
      </c>
    </row>
    <row r="114">
      <c r="B114" s="7" t="inlineStr">
        <is>
          <t xml:space="preserve">  ↳ LatinSmokerRocket</t>
        </is>
      </c>
      <c r="C114" s="7" t="inlineStr">
        <is>
          <t>Armament@AA</t>
        </is>
      </c>
      <c r="L114" s="6" t="n">
        <v>24000</v>
      </c>
      <c r="M114" s="6" t="n">
        <v>116</v>
      </c>
      <c r="N114" s="6" t="n">
        <v>1</v>
      </c>
      <c r="O114" s="6" t="n"/>
      <c r="P114" s="6" t="n">
        <v>6550</v>
      </c>
      <c r="Q114" s="6" t="n">
        <v>1</v>
      </c>
      <c r="R114">
        <f>M114+IF(MAX(N114-1,0)&gt;0,IF(ISBLANK(O114),5*MAX(N114-1,0),IF(ISNUMBER(O114),O114*MAX(N114-1,0),SUM(IFERROR(VALUE(TEXTSPLIT(O114,",")),0)))),0)</f>
        <v/>
      </c>
      <c r="S114">
        <f>IFERROR(L114*MAX(N114,1)/R114*IF(ISBLANK(K109),1,K109),0)</f>
        <v/>
      </c>
      <c r="AB114" s="7" t="inlineStr">
        <is>
          <t>^Warhead_MissileAP_Medium</t>
        </is>
      </c>
    </row>
    <row r="115">
      <c r="B115" s="7" t="inlineStr">
        <is>
          <t xml:space="preserve">  ↳ LatinSmokerRocket_elite</t>
        </is>
      </c>
      <c r="C115" s="7" t="inlineStr">
        <is>
          <t>Armament@AAE</t>
        </is>
      </c>
      <c r="L115" s="6" t="n">
        <v>48000</v>
      </c>
      <c r="M115" s="6" t="n">
        <v>116</v>
      </c>
      <c r="N115" s="6" t="n">
        <v>1</v>
      </c>
      <c r="O115" s="6" t="n"/>
      <c r="P115" s="6" t="n">
        <v>7550</v>
      </c>
      <c r="Q115" s="6" t="n">
        <v>1</v>
      </c>
      <c r="R115">
        <f>M115+IF(MAX(N115-1,0)&gt;0,IF(ISBLANK(O115),5*MAX(N115-1,0),IF(ISNUMBER(O115),O115*MAX(N115-1,0),SUM(IFERROR(VALUE(TEXTSPLIT(O115,",")),0)))),0)</f>
        <v/>
      </c>
      <c r="S115">
        <f>IFERROR(L115*MAX(N115,1)/R115*IF(ISBLANK(K109),1,K109),0)</f>
        <v/>
      </c>
      <c r="AB115" s="7" t="inlineStr">
        <is>
          <t>^Warhead_MissileAP_Medium</t>
        </is>
      </c>
    </row>
    <row r="116">
      <c r="A116" t="inlineStr">
        <is>
          <t>redalert2mod</t>
        </is>
      </c>
      <c r="B116" t="inlineStr">
        <is>
          <t>assault.nax</t>
        </is>
      </c>
      <c r="C116" t="inlineStr">
        <is>
          <t>Imperial Assault Tank</t>
        </is>
      </c>
      <c r="D116" s="6" t="inlineStr">
        <is>
          <t>MainBattleTank</t>
        </is>
      </c>
      <c r="E116" s="6" t="n">
        <v>130000</v>
      </c>
      <c r="F116" s="6" t="n">
        <v>100</v>
      </c>
      <c r="G116" t="inlineStr">
        <is>
          <t>Heavy</t>
        </is>
      </c>
      <c r="H116" s="6" t="n">
        <v>1</v>
      </c>
      <c r="I116" s="6" t="n">
        <v>1</v>
      </c>
      <c r="J116" s="6" t="n">
        <v>1</v>
      </c>
      <c r="K116" t="n">
        <v>0.012</v>
      </c>
      <c r="P116">
        <f>MAX(P117,P118,P119)</f>
        <v/>
      </c>
      <c r="S116">
        <f>S117+S118+S119</f>
        <v/>
      </c>
      <c r="T116">
        <f>(E116/100000+F116/100+(P116/1000)*J116/5+S116/200)*200*I116*H116</f>
        <v/>
      </c>
      <c r="U116">
        <f>((E116*F116/25000)+((P116/1000)*J116*S116/2.5))*I116*H116</f>
        <v/>
      </c>
      <c r="V116">
        <f>(E116*F116*(P116/1000)*J116*S116*I116*H116)/12500000</f>
        <v/>
      </c>
      <c r="W116">
        <f>IFERROR((((E116/240000)+(F116/95)+(S116/600)+((P116/5500)*J116))*800/4+(((E116/240000)*(F116/95))+(((P116/5500)*J116)*(S116/600)))*800/2+((E116/240000)*(F116/95)*((P116/5500)*J116)*(S116/600))*800)*(H116/1.0)/3,"")</f>
        <v/>
      </c>
      <c r="X116" s="6" t="n">
        <v>900</v>
      </c>
      <c r="Y116">
        <f>IFERROR(W116-X116,"")</f>
        <v/>
      </c>
      <c r="Z116">
        <f>IFERROR(ABS(Y116)/MAX(X116,1),"")</f>
        <v/>
      </c>
      <c r="AA116">
        <f>IFERROR(ROUND(((3*X116-(((E116/240000)+(F116/95)+(S116/600))*800/4+((E116/240000)*(F116/95))*800/2)*(H116/1.0))/(800/4+((S116/600))*800/2+((E116/240000)*(F116/95)*(S116/600))*800)*(H116/1.0)*5500)/J116,-1),"")</f>
        <v/>
      </c>
    </row>
    <row r="117">
      <c r="B117" s="7" t="inlineStr">
        <is>
          <t xml:space="preserve">  ↳ Nax120mmAssault</t>
        </is>
      </c>
      <c r="C117" s="7" t="inlineStr">
        <is>
          <t>Armament</t>
        </is>
      </c>
      <c r="L117" s="6" t="n">
        <v>10000</v>
      </c>
      <c r="M117" s="6" t="n">
        <v>28</v>
      </c>
      <c r="N117" s="6" t="n">
        <v>1</v>
      </c>
      <c r="O117" s="6" t="n"/>
      <c r="P117" s="6" t="n">
        <v>5200</v>
      </c>
      <c r="Q117" s="6" t="n">
        <v>1</v>
      </c>
      <c r="R117">
        <f>M117+IF(MAX(N117-1,0)&gt;0,IF(ISBLANK(O117),5*MAX(N117-1,0),IF(ISNUMBER(O117),O117*MAX(N117-1,0),SUM(IFERROR(VALUE(TEXTSPLIT(O117,",")),0)))),0)</f>
        <v/>
      </c>
      <c r="S117">
        <f>IFERROR(L117*MAX(N117,1)/R117*IF(ISBLANK(K116),1,K116),0)</f>
        <v/>
      </c>
      <c r="AB117" s="7" t="inlineStr">
        <is>
          <t>^Warhead_CannonHE_Medium</t>
        </is>
      </c>
    </row>
    <row r="118">
      <c r="B118" s="7" t="inlineStr">
        <is>
          <t xml:space="preserve">  ↳ Nax120mmAssault_elite</t>
        </is>
      </c>
      <c r="C118" s="7" t="inlineStr">
        <is>
          <t>Armament@elite</t>
        </is>
      </c>
      <c r="L118" s="6" t="n">
        <v>10000</v>
      </c>
      <c r="M118" s="6" t="n">
        <v>28</v>
      </c>
      <c r="N118" s="6" t="n">
        <v>2</v>
      </c>
      <c r="O118" s="6" t="n">
        <v>3</v>
      </c>
      <c r="P118" s="6" t="n">
        <v>6200</v>
      </c>
      <c r="Q118" s="6" t="n">
        <v>1</v>
      </c>
      <c r="R118">
        <f>M118+IF(MAX(N118-1,0)&gt;0,IF(ISBLANK(O118),5*MAX(N118-1,0),IF(ISNUMBER(O118),O118*MAX(N118-1,0),SUM(IFERROR(VALUE(TEXTSPLIT(O118,",")),0)))),0)</f>
        <v/>
      </c>
      <c r="S118">
        <f>IFERROR(L118*MAX(N118,1)/R118*IF(ISBLANK(K116),1,K116),0)</f>
        <v/>
      </c>
      <c r="AB118" s="7" t="inlineStr">
        <is>
          <t>^Warhead_CannonHE_Medium</t>
        </is>
      </c>
    </row>
    <row r="119">
      <c r="B119" s="7" t="inlineStr">
        <is>
          <t xml:space="preserve">  ↳ SyndicateFireballLauncher</t>
        </is>
      </c>
      <c r="C119" s="7" t="inlineStr">
        <is>
          <t>Armament@Flam</t>
        </is>
      </c>
      <c r="L119" s="6" t="n">
        <v>6000</v>
      </c>
      <c r="M119" s="6" t="n">
        <v>44</v>
      </c>
      <c r="N119" s="6" t="n">
        <v>4</v>
      </c>
      <c r="O119" s="6" t="n">
        <v>4</v>
      </c>
      <c r="P119" s="6" t="n">
        <v>5555</v>
      </c>
      <c r="Q119" s="6" t="n">
        <v>1</v>
      </c>
      <c r="R119">
        <f>M119+IF(MAX(N119-1,0)&gt;0,IF(ISBLANK(O119),5*MAX(N119-1,0),IF(ISNUMBER(O119),O119*MAX(N119-1,0),SUM(IFERROR(VALUE(TEXTSPLIT(O119,",")),0)))),0)</f>
        <v/>
      </c>
      <c r="S119">
        <f>IFERROR(L119*MAX(N119,1)/R119*IF(ISBLANK(K116),1,K116),0)</f>
        <v/>
      </c>
      <c r="AB119" s="7" t="inlineStr">
        <is>
          <t>^Warhead_Flame_Light, ^Warhead_Flame_Medium, ^Warhead_Flame_Heavy</t>
        </is>
      </c>
    </row>
    <row r="120">
      <c r="A120" t="inlineStr">
        <is>
          <t>redalert2mod</t>
        </is>
      </c>
      <c r="B120" t="inlineStr">
        <is>
          <t>naxis_kingtigerheavytank</t>
        </is>
      </c>
      <c r="C120" t="inlineStr">
        <is>
          <t>King Tiger Heavy Tank</t>
        </is>
      </c>
      <c r="D120" s="6" t="inlineStr">
        <is>
          <t>MainBattleTank</t>
        </is>
      </c>
      <c r="E120" s="6" t="n">
        <v>200000</v>
      </c>
      <c r="F120" s="6" t="n">
        <v>100</v>
      </c>
      <c r="G120" t="inlineStr">
        <is>
          <t>Heavy</t>
        </is>
      </c>
      <c r="H120" s="6" t="n">
        <v>1</v>
      </c>
      <c r="I120" s="6" t="n">
        <v>1</v>
      </c>
      <c r="J120" s="6" t="n">
        <v>1</v>
      </c>
      <c r="P120">
        <f>MAX(P121,P122)</f>
        <v/>
      </c>
      <c r="S120">
        <f>S121+S122</f>
        <v/>
      </c>
      <c r="T120">
        <f>(E120/100000+F120/100+(P120/1000)*J120/5+S120/200)*200*I120*H120</f>
        <v/>
      </c>
      <c r="U120">
        <f>((E120*F120/25000)+((P120/1000)*J120*S120/2.5))*I120*H120</f>
        <v/>
      </c>
      <c r="V120">
        <f>(E120*F120*(P120/1000)*J120*S120*I120*H120)/12500000</f>
        <v/>
      </c>
      <c r="W120">
        <f>IFERROR((((E120/240000)+(F120/95)+(S120/600)+((P120/5500)*J120))*800/4+(((E120/240000)*(F120/95))+(((P120/5500)*J120)*(S120/600)))*800/2+((E120/240000)*(F120/95)*((P120/5500)*J120)*(S120/600))*800)*(H120/1.0)/3,"")</f>
        <v/>
      </c>
      <c r="X120" s="6" t="n">
        <v>2000</v>
      </c>
      <c r="Y120">
        <f>IFERROR(W120-X120,"")</f>
        <v/>
      </c>
      <c r="Z120">
        <f>IFERROR(ABS(Y120)/MAX(X120,1),"")</f>
        <v/>
      </c>
      <c r="AA120">
        <f>IFERROR(ROUND(((3*X120-(((E120/240000)+(F120/95)+(S120/600))*800/4+((E120/240000)*(F120/95))*800/2)*(H120/1.0))/(800/4+((S120/600))*800/2+((E120/240000)*(F120/95)*(S120/600))*800)*(H120/1.0)*5500)/J120,-1),"")</f>
        <v/>
      </c>
    </row>
    <row r="121">
      <c r="B121" s="7" t="inlineStr">
        <is>
          <t xml:space="preserve">  ↳ KingNaxTigerCannon</t>
        </is>
      </c>
      <c r="C121" s="7" t="inlineStr">
        <is>
          <t>Armament</t>
        </is>
      </c>
      <c r="L121" s="6" t="n">
        <v>20000</v>
      </c>
      <c r="M121" s="6" t="n">
        <v>50</v>
      </c>
      <c r="N121" s="6" t="n">
        <v>1</v>
      </c>
      <c r="O121" s="6" t="n"/>
      <c r="P121" s="6" t="n">
        <v>5000</v>
      </c>
      <c r="Q121" s="6" t="n">
        <v>1</v>
      </c>
      <c r="R121">
        <f>M121+IF(MAX(N121-1,0)&gt;0,IF(ISBLANK(O121),5*MAX(N121-1,0),IF(ISNUMBER(O121),O121*MAX(N121-1,0),SUM(IFERROR(VALUE(TEXTSPLIT(O121,",")),0)))),0)</f>
        <v/>
      </c>
      <c r="S121">
        <f>IFERROR(L121*MAX(N121,1)/R121*IF(ISBLANK(K120),1,K120),0)</f>
        <v/>
      </c>
      <c r="AB121" s="7" t="inlineStr">
        <is>
          <t>^Warhead_CannonHE_Medium</t>
        </is>
      </c>
    </row>
    <row r="122">
      <c r="B122" s="7" t="inlineStr">
        <is>
          <t xml:space="preserve">  ↳ KingNaxTigerCannon_elite</t>
        </is>
      </c>
      <c r="C122" s="7" t="inlineStr">
        <is>
          <t>Armament@elite</t>
        </is>
      </c>
      <c r="L122" s="6" t="n">
        <v>20000</v>
      </c>
      <c r="M122" s="6" t="n">
        <v>50</v>
      </c>
      <c r="N122" s="6" t="n">
        <v>2</v>
      </c>
      <c r="O122" s="6" t="n">
        <v>3</v>
      </c>
      <c r="P122" s="6" t="n">
        <v>6000</v>
      </c>
      <c r="Q122" s="6" t="n">
        <v>1</v>
      </c>
      <c r="R122">
        <f>M122+IF(MAX(N122-1,0)&gt;0,IF(ISBLANK(O122),5*MAX(N122-1,0),IF(ISNUMBER(O122),O122*MAX(N122-1,0),SUM(IFERROR(VALUE(TEXTSPLIT(O122,",")),0)))),0)</f>
        <v/>
      </c>
      <c r="S122">
        <f>IFERROR(L122*MAX(N122,1)/R122*IF(ISBLANK(K120),1,K120),0)</f>
        <v/>
      </c>
      <c r="AB122" s="7" t="inlineStr">
        <is>
          <t>^Warhead_CannonHE_Medium</t>
        </is>
      </c>
    </row>
    <row r="123">
      <c r="A123" t="inlineStr">
        <is>
          <t>redalert2mod</t>
        </is>
      </c>
      <c r="B123" t="inlineStr">
        <is>
          <t>tiger.nax</t>
        </is>
      </c>
      <c r="C123" t="inlineStr">
        <is>
          <t>Tiger Heavy Tank</t>
        </is>
      </c>
      <c r="D123" s="6" t="inlineStr">
        <is>
          <t>MainBattleTank</t>
        </is>
      </c>
      <c r="E123" s="6" t="n">
        <v>100000</v>
      </c>
      <c r="F123" s="6" t="n">
        <v>100</v>
      </c>
      <c r="G123" t="inlineStr">
        <is>
          <t>Heavy</t>
        </is>
      </c>
      <c r="H123" s="6" t="n">
        <v>1</v>
      </c>
      <c r="I123" s="6" t="n">
        <v>1</v>
      </c>
      <c r="J123" s="6" t="n">
        <v>1</v>
      </c>
      <c r="P123">
        <f>MAX(P124,P125)</f>
        <v/>
      </c>
      <c r="S123">
        <f>S124+S125</f>
        <v/>
      </c>
      <c r="T123">
        <f>(E123/100000+F123/100+(P123/1000)*J123/5+S123/200)*200*I123*H123</f>
        <v/>
      </c>
      <c r="U123">
        <f>((E123*F123/25000)+((P123/1000)*J123*S123/2.5))*I123*H123</f>
        <v/>
      </c>
      <c r="V123">
        <f>(E123*F123*(P123/1000)*J123*S123*I123*H123)/12500000</f>
        <v/>
      </c>
      <c r="W123">
        <f>IFERROR((((E123/240000)+(F123/95)+(S123/600)+((P123/5500)*J123))*800/4+(((E123/240000)*(F123/95))+(((P123/5500)*J123)*(S123/600)))*800/2+((E123/240000)*(F123/95)*((P123/5500)*J123)*(S123/600))*800)*(H123/1.0)/3,"")</f>
        <v/>
      </c>
      <c r="X123" s="6" t="n">
        <v>800</v>
      </c>
      <c r="Y123">
        <f>IFERROR(W123-X123,"")</f>
        <v/>
      </c>
      <c r="Z123">
        <f>IFERROR(ABS(Y123)/MAX(X123,1),"")</f>
        <v/>
      </c>
      <c r="AA123">
        <f>IFERROR(ROUND(((3*X123-(((E123/240000)+(F123/95)+(S123/600))*800/4+((E123/240000)*(F123/95))*800/2)*(H123/1.0))/(800/4+((S123/600))*800/2+((E123/240000)*(F123/95)*(S123/600))*800)*(H123/1.0)*5500)/J123,-1),"")</f>
        <v/>
      </c>
    </row>
    <row r="124">
      <c r="B124" s="7" t="inlineStr">
        <is>
          <t xml:space="preserve">  ↳ NaxTigerCannon</t>
        </is>
      </c>
      <c r="C124" s="7" t="inlineStr">
        <is>
          <t>Armament</t>
        </is>
      </c>
      <c r="L124" s="6" t="n">
        <v>10000</v>
      </c>
      <c r="M124" s="6" t="n">
        <v>50</v>
      </c>
      <c r="N124" s="6" t="n">
        <v>1</v>
      </c>
      <c r="O124" s="6" t="n"/>
      <c r="P124" s="6" t="n">
        <v>5000</v>
      </c>
      <c r="Q124" s="6" t="n">
        <v>1</v>
      </c>
      <c r="R124">
        <f>M124+IF(MAX(N124-1,0)&gt;0,IF(ISBLANK(O124),5*MAX(N124-1,0),IF(ISNUMBER(O124),O124*MAX(N124-1,0),SUM(IFERROR(VALUE(TEXTSPLIT(O124,",")),0)))),0)</f>
        <v/>
      </c>
      <c r="S124">
        <f>IFERROR(L124*MAX(N124,1)/R124*IF(ISBLANK(K123),1,K123),0)</f>
        <v/>
      </c>
      <c r="AB124" s="7" t="inlineStr">
        <is>
          <t>^Warhead_CannonHE_Medium</t>
        </is>
      </c>
    </row>
    <row r="125">
      <c r="B125" s="7" t="inlineStr">
        <is>
          <t xml:space="preserve">  ↳ NaxTigerCannon_elite</t>
        </is>
      </c>
      <c r="C125" s="7" t="inlineStr">
        <is>
          <t>Armament@elite</t>
        </is>
      </c>
      <c r="L125" s="6" t="n">
        <v>10000</v>
      </c>
      <c r="M125" s="6" t="n">
        <v>50</v>
      </c>
      <c r="N125" s="6" t="n">
        <v>2</v>
      </c>
      <c r="O125" s="6" t="n">
        <v>3</v>
      </c>
      <c r="P125" s="6" t="n">
        <v>6000</v>
      </c>
      <c r="Q125" s="6" t="n">
        <v>1</v>
      </c>
      <c r="R125">
        <f>M125+IF(MAX(N125-1,0)&gt;0,IF(ISBLANK(O125),5*MAX(N125-1,0),IF(ISNUMBER(O125),O125*MAX(N125-1,0),SUM(IFERROR(VALUE(TEXTSPLIT(O125,",")),0)))),0)</f>
        <v/>
      </c>
      <c r="S125">
        <f>IFERROR(L125*MAX(N125,1)/R125*IF(ISBLANK(K123),1,K123),0)</f>
        <v/>
      </c>
      <c r="AB125" s="7" t="inlineStr">
        <is>
          <t>^Warhead_CannonHE_Medium</t>
        </is>
      </c>
    </row>
    <row r="126">
      <c r="A126" t="inlineStr">
        <is>
          <t>redalert2mod</t>
        </is>
      </c>
      <c r="B126" t="inlineStr">
        <is>
          <t>schwarzermond_lunartiger</t>
        </is>
      </c>
      <c r="C126" t="inlineStr">
        <is>
          <t>Lunar Tiger</t>
        </is>
      </c>
      <c r="D126" s="6" t="inlineStr">
        <is>
          <t>MainBattleTank</t>
        </is>
      </c>
      <c r="E126" s="6" t="n">
        <v>160000</v>
      </c>
      <c r="F126" s="6" t="n">
        <v>80</v>
      </c>
      <c r="G126" t="inlineStr">
        <is>
          <t>Heavy</t>
        </is>
      </c>
      <c r="H126" s="6" t="n">
        <v>0.6846</v>
      </c>
      <c r="I126" s="6" t="n">
        <v>1</v>
      </c>
      <c r="J126" s="6" t="n">
        <v>1</v>
      </c>
      <c r="P126">
        <f>MAX(P127,P128,P129,P130)</f>
        <v/>
      </c>
      <c r="S126">
        <f>S127+S128+S129+S130</f>
        <v/>
      </c>
      <c r="T126">
        <f>(E126/100000+F126/100+(P126/1000)*J126/5+S126/200)*200*I126*H126</f>
        <v/>
      </c>
      <c r="U126">
        <f>((E126*F126/25000)+((P126/1000)*J126*S126/2.5))*I126*H126</f>
        <v/>
      </c>
      <c r="V126">
        <f>(E126*F126*(P126/1000)*J126*S126*I126*H126)/12500000</f>
        <v/>
      </c>
      <c r="W126">
        <f>IFERROR((((E126/240000)+(F126/95)+(S126/600)+((P126/5500)*J126))*800/4+(((E126/240000)*(F126/95))+(((P126/5500)*J126)*(S126/600)))*800/2+((E126/240000)*(F126/95)*((P126/5500)*J126)*(S126/600))*800)*(H126/1.0)/3,"")</f>
        <v/>
      </c>
      <c r="X126" s="6" t="n">
        <v>950</v>
      </c>
      <c r="Y126">
        <f>IFERROR(W126-X126,"")</f>
        <v/>
      </c>
      <c r="Z126">
        <f>IFERROR(ABS(Y126)/MAX(X126,1),"")</f>
        <v/>
      </c>
      <c r="AA126">
        <f>IFERROR(ROUND(((3*X126-(((E126/240000)+(F126/95)+(S126/600))*800/4+((E126/240000)*(F126/95))*800/2)*(H126/1.0))/(800/4+((S126/600))*800/2+((E126/240000)*(F126/95)*(S126/600))*800)*(H126/1.0)*5500)/J126,-1),"")</f>
        <v/>
      </c>
    </row>
    <row r="127">
      <c r="B127" s="7" t="inlineStr">
        <is>
          <t xml:space="preserve">  ↳ LunarTigerCannon</t>
        </is>
      </c>
      <c r="C127" s="7" t="inlineStr">
        <is>
          <t>Armament</t>
        </is>
      </c>
      <c r="L127" s="6" t="n">
        <v>16000</v>
      </c>
      <c r="M127" s="6" t="n">
        <v>80</v>
      </c>
      <c r="N127" s="6" t="n">
        <v>1</v>
      </c>
      <c r="O127" s="6" t="n"/>
      <c r="P127" s="6" t="n">
        <v>5105</v>
      </c>
      <c r="Q127" s="6" t="n">
        <v>1</v>
      </c>
      <c r="R127">
        <f>M127+IF(MAX(N127-1,0)&gt;0,IF(ISBLANK(O127),5*MAX(N127-1,0),IF(ISNUMBER(O127),O127*MAX(N127-1,0),SUM(IFERROR(VALUE(TEXTSPLIT(O127,",")),0)))),0)</f>
        <v/>
      </c>
      <c r="S127">
        <f>IFERROR(L127*MAX(N127,1)/R127*IF(ISBLANK(K126),1,K126),0)</f>
        <v/>
      </c>
      <c r="AB127" s="7" t="inlineStr">
        <is>
          <t>^Warhead_CannonHE_Medium</t>
        </is>
      </c>
    </row>
    <row r="128">
      <c r="B128" s="7" t="inlineStr">
        <is>
          <t xml:space="preserve">  ↳ LunarTigerCannon_elite</t>
        </is>
      </c>
      <c r="C128" s="7" t="inlineStr">
        <is>
          <t>Armament@elite</t>
        </is>
      </c>
      <c r="L128" s="6" t="n">
        <v>16000</v>
      </c>
      <c r="M128" s="6" t="n">
        <v>80</v>
      </c>
      <c r="N128" s="6" t="n">
        <v>2</v>
      </c>
      <c r="O128" s="6" t="n">
        <v>3</v>
      </c>
      <c r="P128" s="6" t="n">
        <v>6105</v>
      </c>
      <c r="Q128" s="6" t="n">
        <v>1</v>
      </c>
      <c r="R128">
        <f>M128+IF(MAX(N128-1,0)&gt;0,IF(ISBLANK(O128),5*MAX(N128-1,0),IF(ISNUMBER(O128),O128*MAX(N128-1,0),SUM(IFERROR(VALUE(TEXTSPLIT(O128,",")),0)))),0)</f>
        <v/>
      </c>
      <c r="S128">
        <f>IFERROR(L128*MAX(N128,1)/R128*IF(ISBLANK(K126),1,K126),0)</f>
        <v/>
      </c>
      <c r="AB128" s="7" t="inlineStr">
        <is>
          <t>^Warhead_CannonHE_Medium</t>
        </is>
      </c>
    </row>
    <row r="129">
      <c r="B129" s="7" t="inlineStr">
        <is>
          <t xml:space="preserve">  ↳ Lunar_GreenTigerCannon</t>
        </is>
      </c>
      <c r="C129" s="7" t="inlineStr">
        <is>
          <t>Armament@-upgrade</t>
        </is>
      </c>
      <c r="L129" s="6" t="n">
        <v>20000</v>
      </c>
      <c r="M129" s="6" t="n">
        <v>80</v>
      </c>
      <c r="N129" s="6" t="n">
        <v>1</v>
      </c>
      <c r="O129" s="6" t="n"/>
      <c r="P129" s="6" t="n">
        <v>5105</v>
      </c>
      <c r="Q129" s="6" t="n">
        <v>1.125</v>
      </c>
      <c r="R129">
        <f>M129+IF(MAX(N129-1,0)&gt;0,IF(ISBLANK(O129),5*MAX(N129-1,0),IF(ISNUMBER(O129),O129*MAX(N129-1,0),SUM(IFERROR(VALUE(TEXTSPLIT(O129,",")),0)))),0)</f>
        <v/>
      </c>
      <c r="S129">
        <f>IFERROR(L129*MAX(N129,1)/R129*IF(ISBLANK(K126),1,K126),0)</f>
        <v/>
      </c>
      <c r="AB129" s="7" t="inlineStr">
        <is>
          <t>^Warhead_Tesla_Heavy, ^Warhead_CannonHE_Medium</t>
        </is>
      </c>
    </row>
    <row r="130">
      <c r="B130" s="7" t="inlineStr">
        <is>
          <t xml:space="preserve">  ↳ Lunar_GreenTigerCannon_elite</t>
        </is>
      </c>
      <c r="C130" s="7" t="inlineStr">
        <is>
          <t>Armament@elite-upgrade</t>
        </is>
      </c>
      <c r="L130" s="6" t="n">
        <v>20000</v>
      </c>
      <c r="M130" s="6" t="n">
        <v>80</v>
      </c>
      <c r="N130" s="6" t="n">
        <v>2</v>
      </c>
      <c r="O130" s="6" t="n">
        <v>3</v>
      </c>
      <c r="P130" s="6" t="n">
        <v>6105</v>
      </c>
      <c r="Q130" s="6" t="n">
        <v>1.125</v>
      </c>
      <c r="R130">
        <f>M130+IF(MAX(N130-1,0)&gt;0,IF(ISBLANK(O130),5*MAX(N130-1,0),IF(ISNUMBER(O130),O130*MAX(N130-1,0),SUM(IFERROR(VALUE(TEXTSPLIT(O130,",")),0)))),0)</f>
        <v/>
      </c>
      <c r="S130">
        <f>IFERROR(L130*MAX(N130,1)/R130*IF(ISBLANK(K126),1,K126),0)</f>
        <v/>
      </c>
      <c r="AB130" s="7" t="inlineStr">
        <is>
          <t>^Warhead_Tesla_Heavy, ^Warhead_CannonHE_Medium</t>
        </is>
      </c>
    </row>
    <row r="131">
      <c r="A131" t="inlineStr">
        <is>
          <t>redalert2mod</t>
        </is>
      </c>
      <c r="B131" t="inlineStr">
        <is>
          <t>futuretech_cannondroid</t>
        </is>
      </c>
      <c r="C131" t="inlineStr">
        <is>
          <t>Cannon Droid</t>
        </is>
      </c>
      <c r="D131" s="6" t="inlineStr">
        <is>
          <t>MainBattleTank</t>
        </is>
      </c>
      <c r="E131" s="6" t="n">
        <v>80000</v>
      </c>
      <c r="F131" s="6" t="n">
        <v>35</v>
      </c>
      <c r="G131" t="inlineStr">
        <is>
          <t>Plate</t>
        </is>
      </c>
      <c r="H131" s="6" t="n">
        <v>0.5305</v>
      </c>
      <c r="I131" s="6" t="n">
        <v>1</v>
      </c>
      <c r="J131" s="6" t="n">
        <v>1</v>
      </c>
      <c r="P131">
        <f>MAX(P132,P133)</f>
        <v/>
      </c>
      <c r="S131">
        <f>S132+S133</f>
        <v/>
      </c>
      <c r="T131">
        <f>(E131/100000+F131/100+(P131/1000)*J131/5+S131/200)*200*I131*H131</f>
        <v/>
      </c>
      <c r="U131">
        <f>((E131*F131/25000)+((P131/1000)*J131*S131/2.5))*I131*H131</f>
        <v/>
      </c>
      <c r="V131">
        <f>(E131*F131*(P131/1000)*J131*S131*I131*H131)/12500000</f>
        <v/>
      </c>
      <c r="W131">
        <f>IFERROR((((E131/50000)+(F131/50)+(S131/1000)+((P131/5000)*J131))*800/4+(((E131/50000)*(F131/50))+(((P131/5000)*J131)*(S131/1000)))*800/2+((E131/50000)*(F131/50)*((P131/5000)*J131)*(S131/1000))*800)*(H131/0.75)/3,"")</f>
        <v/>
      </c>
      <c r="X131" s="6" t="n">
        <v>525</v>
      </c>
      <c r="Y131">
        <f>IFERROR(W131-X131,"")</f>
        <v/>
      </c>
      <c r="Z131">
        <f>IFERROR(ABS(Y131)/MAX(X131,1),"")</f>
        <v/>
      </c>
      <c r="AA131">
        <f>IFERROR(ROUND(((3*X131-(((E131/50000)+(F131/50)+(S131/1000))*800/4+((E131/50000)*(F131/50))*800/2)*(H131/0.75))/(800/4+((S131/1000))*800/2+((E131/50000)*(F131/50)*(S131/1000))*800)*(H131/0.75)*5000)/J131,-1),"")</f>
        <v/>
      </c>
    </row>
    <row r="132">
      <c r="B132" s="7" t="inlineStr">
        <is>
          <t xml:space="preserve">  ↳ CannonAttackRobotGun</t>
        </is>
      </c>
      <c r="C132" s="7" t="inlineStr">
        <is>
          <t>Armament@PRIMARY</t>
        </is>
      </c>
      <c r="L132" s="6" t="n">
        <v>8000</v>
      </c>
      <c r="M132" s="6" t="n">
        <v>25</v>
      </c>
      <c r="N132" s="6" t="n">
        <v>1</v>
      </c>
      <c r="O132" s="6" t="n"/>
      <c r="P132" s="6" t="n">
        <v>6000</v>
      </c>
      <c r="Q132" s="6" t="n">
        <v>1.125</v>
      </c>
      <c r="R132">
        <f>M132+IF(MAX(N132-1,0)&gt;0,IF(ISBLANK(O132),5*MAX(N132-1,0),IF(ISNUMBER(O132),O132*MAX(N132-1,0),SUM(IFERROR(VALUE(TEXTSPLIT(O132,",")),0)))),0)</f>
        <v/>
      </c>
      <c r="S132">
        <f>IFERROR(L132*MAX(N132,1)/R132*IF(ISBLANK(K131),1,K131),0)</f>
        <v/>
      </c>
      <c r="AB132" s="7" t="inlineStr">
        <is>
          <t>^Warhead_Railgun_Heavy, ^Warhead_CannonHE_Medium</t>
        </is>
      </c>
    </row>
    <row r="133">
      <c r="B133" s="7" t="inlineStr">
        <is>
          <t xml:space="preserve">  ↳ CannonAttackRobotGun_elite</t>
        </is>
      </c>
      <c r="C133" s="7" t="inlineStr">
        <is>
          <t>Armament@ELITE</t>
        </is>
      </c>
      <c r="L133" s="6" t="n">
        <v>8000</v>
      </c>
      <c r="M133" s="6" t="n">
        <v>25</v>
      </c>
      <c r="N133" s="6" t="n">
        <v>2</v>
      </c>
      <c r="O133" s="6" t="n">
        <v>3</v>
      </c>
      <c r="P133" s="6" t="n">
        <v>7000</v>
      </c>
      <c r="Q133" s="6" t="n">
        <v>1.125</v>
      </c>
      <c r="R133">
        <f>M133+IF(MAX(N133-1,0)&gt;0,IF(ISBLANK(O133),5*MAX(N133-1,0),IF(ISNUMBER(O133),O133*MAX(N133-1,0),SUM(IFERROR(VALUE(TEXTSPLIT(O133,",")),0)))),0)</f>
        <v/>
      </c>
      <c r="S133">
        <f>IFERROR(L133*MAX(N133,1)/R133*IF(ISBLANK(K131),1,K131),0)</f>
        <v/>
      </c>
      <c r="AB133" s="7" t="inlineStr">
        <is>
          <t>^Warhead_Railgun_Heavy, ^Warhead_CannonHE_Medium</t>
        </is>
      </c>
    </row>
    <row r="134">
      <c r="A134" t="inlineStr">
        <is>
          <t>redalert2mod</t>
        </is>
      </c>
      <c r="B134" t="inlineStr">
        <is>
          <t>futuretech_guardiantank</t>
        </is>
      </c>
      <c r="C134" t="inlineStr">
        <is>
          <t>Guardian Tank</t>
        </is>
      </c>
      <c r="D134" s="6" t="inlineStr">
        <is>
          <t>MainBattleTank</t>
        </is>
      </c>
      <c r="E134" s="6" t="n">
        <v>115000</v>
      </c>
      <c r="F134" s="6" t="n">
        <v>85</v>
      </c>
      <c r="G134" t="inlineStr">
        <is>
          <t>Heavy</t>
        </is>
      </c>
      <c r="H134" s="6" t="n">
        <v>0.8639</v>
      </c>
      <c r="I134" s="6" t="n">
        <v>1</v>
      </c>
      <c r="J134" s="6" t="n">
        <v>1</v>
      </c>
      <c r="P134">
        <f>MAX(P135,P136)</f>
        <v/>
      </c>
      <c r="S134">
        <f>S135+S136</f>
        <v/>
      </c>
      <c r="T134">
        <f>(E134/100000+F134/100+(P134/1000)*J134/5+S134/200)*200*I134*H134</f>
        <v/>
      </c>
      <c r="U134">
        <f>((E134*F134/25000)+((P134/1000)*J134*S134/2.5))*I134*H134</f>
        <v/>
      </c>
      <c r="V134">
        <f>(E134*F134*(P134/1000)*J134*S134*I134*H134)/12500000</f>
        <v/>
      </c>
      <c r="W134">
        <f>IFERROR((((E134/240000)+(F134/95)+(S134/600)+((P134/5500)*J134))*800/4+(((E134/240000)*(F134/95))+(((P134/5500)*J134)*(S134/600)))*800/2+((E134/240000)*(F134/95)*((P134/5500)*J134)*(S134/600))*800)*(H134/1.0)/3,"")</f>
        <v/>
      </c>
      <c r="X134" s="6" t="n">
        <v>850</v>
      </c>
      <c r="Y134">
        <f>IFERROR(W134-X134,"")</f>
        <v/>
      </c>
      <c r="Z134">
        <f>IFERROR(ABS(Y134)/MAX(X134,1),"")</f>
        <v/>
      </c>
      <c r="AA134">
        <f>IFERROR(ROUND(((3*X134-(((E134/240000)+(F134/95)+(S134/600))*800/4+((E134/240000)*(F134/95))*800/2)*(H134/1.0))/(800/4+((S134/600))*800/2+((E134/240000)*(F134/95)*(S134/600))*800)*(H134/1.0)*5500)/J134,-1),"")</f>
        <v/>
      </c>
    </row>
    <row r="135">
      <c r="B135" s="7" t="inlineStr">
        <is>
          <t xml:space="preserve">  ↳ GuardianTankCannon</t>
        </is>
      </c>
      <c r="C135" s="7" t="inlineStr">
        <is>
          <t>Armament</t>
        </is>
      </c>
      <c r="L135" s="6" t="n">
        <v>12000</v>
      </c>
      <c r="M135" s="6" t="n">
        <v>85</v>
      </c>
      <c r="N135" s="6" t="n">
        <v>1</v>
      </c>
      <c r="O135" s="6" t="n"/>
      <c r="P135" s="6" t="n">
        <v>7820</v>
      </c>
      <c r="Q135" s="6" t="n">
        <v>1</v>
      </c>
      <c r="R135">
        <f>M135+IF(MAX(N135-1,0)&gt;0,IF(ISBLANK(O135),5*MAX(N135-1,0),IF(ISNUMBER(O135),O135*MAX(N135-1,0),SUM(IFERROR(VALUE(TEXTSPLIT(O135,",")),0)))),0)</f>
        <v/>
      </c>
      <c r="S135">
        <f>IFERROR(L135*MAX(N135,1)/R135*IF(ISBLANK(K134),1,K134),0)</f>
        <v/>
      </c>
      <c r="AB135" s="7" t="inlineStr">
        <is>
          <t>^Warhead_CannonHE_Medium</t>
        </is>
      </c>
    </row>
    <row r="136">
      <c r="B136" s="7" t="inlineStr">
        <is>
          <t xml:space="preserve">  ↳ GuardianTankCannon_elite</t>
        </is>
      </c>
      <c r="C136" s="7" t="inlineStr">
        <is>
          <t>Armament@elite</t>
        </is>
      </c>
      <c r="L136" s="6" t="n">
        <v>12000</v>
      </c>
      <c r="M136" s="6" t="n">
        <v>85</v>
      </c>
      <c r="N136" s="6" t="n">
        <v>2</v>
      </c>
      <c r="O136" s="6" t="n">
        <v>3</v>
      </c>
      <c r="P136" s="6" t="n">
        <v>8820</v>
      </c>
      <c r="Q136" s="6" t="n">
        <v>1</v>
      </c>
      <c r="R136">
        <f>M136+IF(MAX(N136-1,0)&gt;0,IF(ISBLANK(O136),5*MAX(N136-1,0),IF(ISNUMBER(O136),O136*MAX(N136-1,0),SUM(IFERROR(VALUE(TEXTSPLIT(O136,",")),0)))),0)</f>
        <v/>
      </c>
      <c r="S136">
        <f>IFERROR(L136*MAX(N136,1)/R136*IF(ISBLANK(K134),1,K134),0)</f>
        <v/>
      </c>
      <c r="AB136" s="7" t="inlineStr">
        <is>
          <t>^Warhead_CannonHE_Medium</t>
        </is>
      </c>
    </row>
    <row r="137">
      <c r="B137" s="7" t="inlineStr">
        <is>
          <t xml:space="preserve">  ↳ Future_MBT_DebuffLaser</t>
        </is>
      </c>
      <c r="C137" s="7" t="inlineStr">
        <is>
          <t>Armament@debuff</t>
        </is>
      </c>
      <c r="M137" s="6" t="n">
        <v>4</v>
      </c>
      <c r="N137" s="6" t="n">
        <v>1</v>
      </c>
      <c r="O137" s="6" t="n"/>
      <c r="P137" s="6" t="n">
        <v>7820</v>
      </c>
      <c r="Q137" s="6" t="n">
        <v>1</v>
      </c>
      <c r="R137">
        <f>M137+IF(MAX(N137-1,0)&gt;0,IF(ISBLANK(O137),5*MAX(N137-1,0),IF(ISNUMBER(O137),O137*MAX(N137-1,0),SUM(IFERROR(VALUE(TEXTSPLIT(O137,",")),0)))),0)</f>
        <v/>
      </c>
      <c r="S137">
        <f>IFERROR(L137*MAX(N137,1)/R137*IF(ISBLANK(K134),1,K134),0)</f>
        <v/>
      </c>
      <c r="AB137" s="7" t="inlineStr"/>
    </row>
    <row r="138">
      <c r="B138" s="7" t="inlineStr">
        <is>
          <t xml:space="preserve">  ↳ Future_MBT_DebuffLaser_elite</t>
        </is>
      </c>
      <c r="C138" s="7" t="inlineStr">
        <is>
          <t>Armament@debuffelite</t>
        </is>
      </c>
      <c r="M138" s="6" t="n">
        <v>4</v>
      </c>
      <c r="N138" s="6" t="n">
        <v>1</v>
      </c>
      <c r="O138" s="6" t="n"/>
      <c r="P138" s="6" t="n">
        <v>8820</v>
      </c>
      <c r="Q138" s="6" t="n">
        <v>1</v>
      </c>
      <c r="R138">
        <f>M138+IF(MAX(N138-1,0)&gt;0,IF(ISBLANK(O138),5*MAX(N138-1,0),IF(ISNUMBER(O138),O138*MAX(N138-1,0),SUM(IFERROR(VALUE(TEXTSPLIT(O138,",")),0)))),0)</f>
        <v/>
      </c>
      <c r="S138">
        <f>IFERROR(L138*MAX(N138,1)/R138*IF(ISBLANK(K134),1,K134),0)</f>
        <v/>
      </c>
      <c r="AB138" s="7" t="inlineStr">
        <is>
          <t>Future_MBT_DebuffLaser</t>
        </is>
      </c>
    </row>
    <row r="139">
      <c r="A139" t="inlineStr">
        <is>
          <t>redalert2mod</t>
        </is>
      </c>
      <c r="B139" t="inlineStr">
        <is>
          <t>tkm_abrams</t>
        </is>
      </c>
      <c r="C139" t="inlineStr">
        <is>
          <t>Abrams</t>
        </is>
      </c>
      <c r="D139" s="6" t="inlineStr">
        <is>
          <t>MainBattleTank</t>
        </is>
      </c>
      <c r="E139" s="6" t="n">
        <v>120000</v>
      </c>
      <c r="F139" s="6" t="n">
        <v>80</v>
      </c>
      <c r="G139" t="inlineStr">
        <is>
          <t>Heavy</t>
        </is>
      </c>
      <c r="H139" s="6" t="n">
        <v>0.7082000000000001</v>
      </c>
      <c r="I139" s="6" t="n">
        <v>1</v>
      </c>
      <c r="J139" s="6" t="n">
        <v>1</v>
      </c>
      <c r="P139">
        <f>MAX(P140)</f>
        <v/>
      </c>
      <c r="S139">
        <f>S140</f>
        <v/>
      </c>
      <c r="T139">
        <f>(E139/100000+F139/100+(P139/1000)*J139/5+S139/200)*200*I139*H139</f>
        <v/>
      </c>
      <c r="U139">
        <f>((E139*F139/25000)+((P139/1000)*J139*S139/2.5))*I139*H139</f>
        <v/>
      </c>
      <c r="V139">
        <f>(E139*F139*(P139/1000)*J139*S139*I139*H139)/12500000</f>
        <v/>
      </c>
      <c r="W139">
        <f>IFERROR((((E139/240000)+(F139/95)+(S139/600)+((P139/5500)*J139))*800/4+(((E139/240000)*(F139/95))+(((P139/5500)*J139)*(S139/600)))*800/2+((E139/240000)*(F139/95)*((P139/5500)*J139)*(S139/600))*800)*(H139/1.0)/3,"")</f>
        <v/>
      </c>
      <c r="X139" s="6" t="n">
        <v>1000</v>
      </c>
      <c r="Y139">
        <f>IFERROR(W139-X139,"")</f>
        <v/>
      </c>
      <c r="Z139">
        <f>IFERROR(ABS(Y139)/MAX(X139,1),"")</f>
        <v/>
      </c>
      <c r="AA139">
        <f>IFERROR(ROUND(((3*X139-(((E139/240000)+(F139/95)+(S139/600))*800/4+((E139/240000)*(F139/95))*800/2)*(H139/1.0))/(800/4+((S139/600))*800/2+((E139/240000)*(F139/95)*(S139/600))*800)*(H139/1.0)*5500)/J139,-1),"")</f>
        <v/>
      </c>
    </row>
    <row r="140">
      <c r="B140" s="7" t="inlineStr">
        <is>
          <t xml:space="preserve">  ↳ tkmrh120gun</t>
        </is>
      </c>
      <c r="C140" s="7" t="inlineStr">
        <is>
          <t>Armament@cannon</t>
        </is>
      </c>
      <c r="L140" s="6" t="n">
        <v>12000</v>
      </c>
      <c r="M140" s="6" t="n">
        <v>46</v>
      </c>
      <c r="N140" s="6" t="n">
        <v>1</v>
      </c>
      <c r="O140" s="6" t="n"/>
      <c r="P140" s="6" t="n">
        <v>5672</v>
      </c>
      <c r="Q140" s="6" t="n">
        <v>1</v>
      </c>
      <c r="R140">
        <f>M140+IF(MAX(N140-1,0)&gt;0,IF(ISBLANK(O140),5*MAX(N140-1,0),IF(ISNUMBER(O140),O140*MAX(N140-1,0),SUM(IFERROR(VALUE(TEXTSPLIT(O140,",")),0)))),0)</f>
        <v/>
      </c>
      <c r="S140">
        <f>IFERROR(L140*MAX(N140,1)/R140*IF(ISBLANK(K139),1,K139),0)</f>
        <v/>
      </c>
      <c r="AB140" s="7" t="inlineStr">
        <is>
          <t>^Warhead_CannonHE_Medium</t>
        </is>
      </c>
    </row>
    <row r="141">
      <c r="A141" t="inlineStr">
        <is>
          <t>redalert2mod</t>
        </is>
      </c>
      <c r="B141" t="inlineStr">
        <is>
          <t>tkm_t72m</t>
        </is>
      </c>
      <c r="C141" t="inlineStr">
        <is>
          <t>T-72M</t>
        </is>
      </c>
      <c r="D141" s="6" t="inlineStr">
        <is>
          <t>MainBattleTank</t>
        </is>
      </c>
      <c r="E141" s="6" t="n">
        <v>100000</v>
      </c>
      <c r="F141" s="6" t="n">
        <v>80</v>
      </c>
      <c r="G141" t="inlineStr">
        <is>
          <t>Heavy</t>
        </is>
      </c>
      <c r="H141" s="6" t="n">
        <v>0.7082000000000001</v>
      </c>
      <c r="I141" s="6" t="n">
        <v>1</v>
      </c>
      <c r="J141" s="6" t="n">
        <v>1</v>
      </c>
      <c r="P141">
        <f>MAX(P142,P143,P144)</f>
        <v/>
      </c>
      <c r="S141">
        <f>S142+S143+S144</f>
        <v/>
      </c>
      <c r="T141">
        <f>(E141/100000+F141/100+(P141/1000)*J141/5+S141/200)*200*I141*H141</f>
        <v/>
      </c>
      <c r="U141">
        <f>((E141*F141/25000)+((P141/1000)*J141*S141/2.5))*I141*H141</f>
        <v/>
      </c>
      <c r="V141">
        <f>(E141*F141*(P141/1000)*J141*S141*I141*H141)/12500000</f>
        <v/>
      </c>
      <c r="W141">
        <f>IFERROR((((E141/240000)+(F141/95)+(S141/600)+((P141/5500)*J141))*800/4+(((E141/240000)*(F141/95))+(((P141/5500)*J141)*(S141/600)))*800/2+((E141/240000)*(F141/95)*((P141/5500)*J141)*(S141/600))*800)*(H141/1.0)/3,"")</f>
        <v/>
      </c>
      <c r="X141" s="6" t="n">
        <v>900</v>
      </c>
      <c r="Y141">
        <f>IFERROR(W141-X141,"")</f>
        <v/>
      </c>
      <c r="Z141">
        <f>IFERROR(ABS(Y141)/MAX(X141,1),"")</f>
        <v/>
      </c>
      <c r="AA141">
        <f>IFERROR(ROUND(((3*X141-(((E141/240000)+(F141/95)+(S141/600))*800/4+((E141/240000)*(F141/95))*800/2)*(H141/1.0))/(800/4+((S141/600))*800/2+((E141/240000)*(F141/95)*(S141/600))*800)*(H141/1.0)*5500)/J141,-1),"")</f>
        <v/>
      </c>
    </row>
    <row r="142">
      <c r="B142" s="7" t="inlineStr">
        <is>
          <t xml:space="preserve">  ↳ TKMPDLaser</t>
        </is>
      </c>
      <c r="C142" s="7" t="inlineStr">
        <is>
          <t>Armament@pointdefense</t>
        </is>
      </c>
      <c r="L142" s="6" t="n">
        <v>1</v>
      </c>
      <c r="M142" s="6" t="n">
        <v>25</v>
      </c>
      <c r="N142" s="6" t="n">
        <v>1</v>
      </c>
      <c r="O142" s="6" t="n"/>
      <c r="P142" s="6" t="n">
        <v>5000</v>
      </c>
      <c r="Q142" s="6" t="n">
        <v>1</v>
      </c>
      <c r="R142">
        <f>M142+IF(MAX(N142-1,0)&gt;0,IF(ISBLANK(O142),5*MAX(N142-1,0),IF(ISNUMBER(O142),O142*MAX(N142-1,0),SUM(IFERROR(VALUE(TEXTSPLIT(O142,",")),0)))),0)</f>
        <v/>
      </c>
      <c r="S142">
        <f>IFERROR(L142*MAX(N142,1)/R142*IF(ISBLANK(K141),1,K141),0)</f>
        <v/>
      </c>
      <c r="AB142" s="7" t="inlineStr">
        <is>
          <t>PDLaser</t>
        </is>
      </c>
    </row>
    <row r="143">
      <c r="B143" s="7" t="inlineStr">
        <is>
          <t xml:space="preserve">  ↳ tkm2a46gun</t>
        </is>
      </c>
      <c r="C143" s="7" t="inlineStr">
        <is>
          <t>Armament</t>
        </is>
      </c>
      <c r="L143" s="6" t="n">
        <v>10000</v>
      </c>
      <c r="M143" s="6" t="n">
        <v>42</v>
      </c>
      <c r="N143" s="6" t="n">
        <v>1</v>
      </c>
      <c r="O143" s="6" t="n"/>
      <c r="P143" s="6" t="n">
        <v>6196</v>
      </c>
      <c r="Q143" s="6" t="n">
        <v>1</v>
      </c>
      <c r="R143">
        <f>M143+IF(MAX(N143-1,0)&gt;0,IF(ISBLANK(O143),5*MAX(N143-1,0),IF(ISNUMBER(O143),O143*MAX(N143-1,0),SUM(IFERROR(VALUE(TEXTSPLIT(O143,",")),0)))),0)</f>
        <v/>
      </c>
      <c r="S143">
        <f>IFERROR(L143*MAX(N143,1)/R143*IF(ISBLANK(K141),1,K141),0)</f>
        <v/>
      </c>
      <c r="AB143" s="7" t="inlineStr">
        <is>
          <t>^Warhead_CannonHE_Medium</t>
        </is>
      </c>
    </row>
    <row r="144">
      <c r="B144" s="7" t="inlineStr">
        <is>
          <t xml:space="preserve">  ↳ tkmkord</t>
        </is>
      </c>
      <c r="C144" s="7" t="inlineStr">
        <is>
          <t>Armament@machinegun</t>
        </is>
      </c>
      <c r="L144" s="6" t="n">
        <v>2000</v>
      </c>
      <c r="M144" s="6" t="n">
        <v>10</v>
      </c>
      <c r="N144" s="6" t="n">
        <v>1</v>
      </c>
      <c r="O144" s="6" t="n"/>
      <c r="P144" s="6" t="n">
        <v>6195</v>
      </c>
      <c r="Q144" s="6" t="n">
        <v>1</v>
      </c>
      <c r="R144">
        <f>M144+IF(MAX(N144-1,0)&gt;0,IF(ISBLANK(O144),5*MAX(N144-1,0),IF(ISNUMBER(O144),O144*MAX(N144-1,0),SUM(IFERROR(VALUE(TEXTSPLIT(O144,",")),0)))),0)</f>
        <v/>
      </c>
      <c r="S144">
        <f>IFERROR(L144*MAX(N144,1)/R144*IF(ISBLANK(K141),1,K141),0)</f>
        <v/>
      </c>
      <c r="AB144" s="7" t="inlineStr">
        <is>
          <t>^Warhead_Bullet_Medium</t>
        </is>
      </c>
    </row>
    <row r="145">
      <c r="A145" t="inlineStr">
        <is>
          <t>redalert2mod</t>
        </is>
      </c>
      <c r="B145" t="inlineStr">
        <is>
          <t>tkm_technicaltank</t>
        </is>
      </c>
      <c r="C145" t="inlineStr">
        <is>
          <t>Technical Tank</t>
        </is>
      </c>
      <c r="D145" s="6" t="inlineStr">
        <is>
          <t>MainBattleTank</t>
        </is>
      </c>
      <c r="E145" s="6" t="n">
        <v>70000</v>
      </c>
      <c r="F145" s="6" t="n">
        <v>110</v>
      </c>
      <c r="G145" t="inlineStr">
        <is>
          <t>Heavy</t>
        </is>
      </c>
      <c r="H145" s="6" t="n">
        <v>0.9016</v>
      </c>
      <c r="I145" s="6" t="n">
        <v>1</v>
      </c>
      <c r="J145" s="6" t="n">
        <v>1</v>
      </c>
      <c r="P145">
        <f>MAX(P146,P147)</f>
        <v/>
      </c>
      <c r="S145">
        <f>S146+S147</f>
        <v/>
      </c>
      <c r="T145">
        <f>(E145/100000+F145/100+(P145/1000)*J145/5+S145/200)*200*I145*H145</f>
        <v/>
      </c>
      <c r="U145">
        <f>((E145*F145/25000)+((P145/1000)*J145*S145/2.5))*I145*H145</f>
        <v/>
      </c>
      <c r="V145">
        <f>(E145*F145*(P145/1000)*J145*S145*I145*H145)/12500000</f>
        <v/>
      </c>
      <c r="W145">
        <f>IFERROR((((E145/240000)+(F145/95)+(S145/600)+((P145/5500)*J145))*800/4+(((E145/240000)*(F145/95))+(((P145/5500)*J145)*(S145/600)))*800/2+((E145/240000)*(F145/95)*((P145/5500)*J145)*(S145/600))*800)*(H145/1.0)/3,"")</f>
        <v/>
      </c>
      <c r="X145" s="6" t="n">
        <v>700</v>
      </c>
      <c r="Y145">
        <f>IFERROR(W145-X145,"")</f>
        <v/>
      </c>
      <c r="Z145">
        <f>IFERROR(ABS(Y145)/MAX(X145,1),"")</f>
        <v/>
      </c>
      <c r="AA145">
        <f>IFERROR(ROUND(((3*X145-(((E145/240000)+(F145/95)+(S145/600))*800/4+((E145/240000)*(F145/95))*800/2)*(H145/1.0))/(800/4+((S145/600))*800/2+((E145/240000)*(F145/95)*(S145/600))*800)*(H145/1.0)*5500)/J145,-1),"")</f>
        <v/>
      </c>
    </row>
    <row r="146">
      <c r="B146" s="7" t="inlineStr">
        <is>
          <t xml:space="preserve">  ↳ tkmltgun</t>
        </is>
      </c>
      <c r="C146" s="7" t="inlineStr">
        <is>
          <t>Armament@cannon</t>
        </is>
      </c>
      <c r="L146" s="6" t="n">
        <v>8000</v>
      </c>
      <c r="M146" s="6" t="n">
        <v>42</v>
      </c>
      <c r="N146" s="6" t="n">
        <v>1</v>
      </c>
      <c r="O146" s="6" t="n"/>
      <c r="P146" s="6" t="n">
        <v>5316</v>
      </c>
      <c r="Q146" s="6" t="n">
        <v>1</v>
      </c>
      <c r="R146">
        <f>M146+IF(MAX(N146-1,0)&gt;0,IF(ISBLANK(O146),5*MAX(N146-1,0),IF(ISNUMBER(O146),O146*MAX(N146-1,0),SUM(IFERROR(VALUE(TEXTSPLIT(O146,",")),0)))),0)</f>
        <v/>
      </c>
      <c r="S146">
        <f>IFERROR(L146*MAX(N146,1)/R146*IF(ISBLANK(K145),1,K145),0)</f>
        <v/>
      </c>
      <c r="AB146" s="7" t="inlineStr">
        <is>
          <t>^Warhead_CannonHE_Medium</t>
        </is>
      </c>
    </row>
    <row r="147">
      <c r="B147" s="7" t="inlineStr">
        <is>
          <t xml:space="preserve">  ↳ tkmtwinrocketstechnicaltank</t>
        </is>
      </c>
      <c r="C147" s="7" t="inlineStr">
        <is>
          <t>Armament@missiles</t>
        </is>
      </c>
      <c r="L147" s="6" t="n">
        <v>18000</v>
      </c>
      <c r="M147" s="6" t="n">
        <v>64</v>
      </c>
      <c r="N147" s="6" t="n">
        <v>2</v>
      </c>
      <c r="O147" s="6" t="n"/>
      <c r="P147" s="6" t="n">
        <v>5243</v>
      </c>
      <c r="Q147" s="6" t="n">
        <v>0.75</v>
      </c>
      <c r="R147">
        <f>M147+IF(MAX(N147-1,0)&gt;0,IF(ISBLANK(O147),5*MAX(N147-1,0),IF(ISNUMBER(O147),O147*MAX(N147-1,0),SUM(IFERROR(VALUE(TEXTSPLIT(O147,",")),0)))),0)</f>
        <v/>
      </c>
      <c r="S147">
        <f>IFERROR(L147*MAX(N147,1)/R147*IF(ISBLANK(K145),1,K145),0)</f>
        <v/>
      </c>
      <c r="AB147" s="7" t="inlineStr">
        <is>
          <t>^Warhead_MissileAP_Light</t>
        </is>
      </c>
    </row>
    <row r="148">
      <c r="A148" t="inlineStr">
        <is>
          <t>redalert2mod</t>
        </is>
      </c>
      <c r="B148" t="inlineStr">
        <is>
          <t>tkm_trenchtank</t>
        </is>
      </c>
      <c r="C148" t="inlineStr">
        <is>
          <t>Trench Tank</t>
        </is>
      </c>
      <c r="D148" s="6" t="inlineStr">
        <is>
          <t>MainBattleTank</t>
        </is>
      </c>
      <c r="E148" s="6" t="n">
        <v>200000</v>
      </c>
      <c r="F148" s="6" t="n">
        <v>65</v>
      </c>
      <c r="G148" t="inlineStr">
        <is>
          <t>Heavy</t>
        </is>
      </c>
      <c r="H148" s="6" t="n">
        <v>0.4955</v>
      </c>
      <c r="I148" s="6" t="n">
        <v>1</v>
      </c>
      <c r="J148" s="6" t="n">
        <v>1</v>
      </c>
      <c r="P148">
        <f>MAX(P149)</f>
        <v/>
      </c>
      <c r="S148">
        <f>S149</f>
        <v/>
      </c>
      <c r="T148">
        <f>(E148/100000+F148/100+(P148/1000)*J148/5+S148/200)*200*I148*H148</f>
        <v/>
      </c>
      <c r="U148">
        <f>((E148*F148/25000)+((P148/1000)*J148*S148/2.5))*I148*H148</f>
        <v/>
      </c>
      <c r="V148">
        <f>(E148*F148*(P148/1000)*J148*S148*I148*H148)/12500000</f>
        <v/>
      </c>
      <c r="W148">
        <f>IFERROR((((E148/240000)+(F148/95)+(S148/600)+((P148/5500)*J148))*800/4+(((E148/240000)*(F148/95))+(((P148/5500)*J148)*(S148/600)))*800/2+((E148/240000)*(F148/95)*((P148/5500)*J148)*(S148/600))*800)*(H148/1.0)/3,"")</f>
        <v/>
      </c>
      <c r="X148" s="6" t="n">
        <v>2500</v>
      </c>
      <c r="Y148">
        <f>IFERROR(W148-X148,"")</f>
        <v/>
      </c>
      <c r="Z148">
        <f>IFERROR(ABS(Y148)/MAX(X148,1),"")</f>
        <v/>
      </c>
      <c r="AA148">
        <f>IFERROR(ROUND(((3*X148-(((E148/240000)+(F148/95)+(S148/600))*800/4+((E148/240000)*(F148/95))*800/2)*(H148/1.0))/(800/4+((S148/600))*800/2+((E148/240000)*(F148/95)*(S148/600))*800)*(H148/1.0)*5500)/J148,-1),"")</f>
        <v/>
      </c>
    </row>
    <row r="149">
      <c r="B149" s="7" t="inlineStr">
        <is>
          <t xml:space="preserve">  ↳ tkmtrenchcannon</t>
        </is>
      </c>
      <c r="C149" s="7" t="inlineStr">
        <is>
          <t>Armament</t>
        </is>
      </c>
      <c r="L149" s="6" t="n">
        <v>40000</v>
      </c>
      <c r="M149" s="6" t="n">
        <v>75</v>
      </c>
      <c r="N149" s="6" t="n">
        <v>1</v>
      </c>
      <c r="O149" s="6" t="n"/>
      <c r="P149" s="6" t="n">
        <v>9237</v>
      </c>
      <c r="Q149" s="6" t="n">
        <v>1.125</v>
      </c>
      <c r="R149">
        <f>M149+IF(MAX(N149-1,0)&gt;0,IF(ISBLANK(O149),5*MAX(N149-1,0),IF(ISNUMBER(O149),O149*MAX(N149-1,0),SUM(IFERROR(VALUE(TEXTSPLIT(O149,",")),0)))),0)</f>
        <v/>
      </c>
      <c r="S149">
        <f>IFERROR(L149*MAX(N149,1)/R149*IF(ISBLANK(K148),1,K148),0)</f>
        <v/>
      </c>
      <c r="AB149" s="7" t="inlineStr">
        <is>
          <t>^Warhead_Concussion_Medium, ^Warhead_CannonHE_Heavy</t>
        </is>
      </c>
    </row>
    <row r="150">
      <c r="A150" t="inlineStr">
        <is>
          <t>d2k</t>
        </is>
      </c>
      <c r="B150" t="inlineStr">
        <is>
          <t>ordos_combatautoguntank</t>
        </is>
      </c>
      <c r="C150" t="inlineStr">
        <is>
          <t>Combat Autogun Tank</t>
        </is>
      </c>
      <c r="D150" s="6" t="inlineStr">
        <is>
          <t>MainBattleTank</t>
        </is>
      </c>
      <c r="E150" s="6" t="n">
        <v>95000</v>
      </c>
      <c r="F150" s="6" t="n">
        <v>80</v>
      </c>
      <c r="G150" t="inlineStr">
        <is>
          <t>Heavy</t>
        </is>
      </c>
      <c r="H150" s="6" t="n">
        <v>0.7020999999999999</v>
      </c>
      <c r="I150" s="6" t="n">
        <v>1</v>
      </c>
      <c r="J150" s="6" t="n">
        <v>1</v>
      </c>
      <c r="K150" t="n">
        <v>0.0025</v>
      </c>
      <c r="P150">
        <f>MAX(P151)</f>
        <v/>
      </c>
      <c r="S150">
        <f>S151</f>
        <v/>
      </c>
      <c r="T150">
        <f>(E150/100000+F150/100+(P150/1000)*J150/5+S150/200)*200*I150*H150</f>
        <v/>
      </c>
      <c r="U150">
        <f>((E150*F150/25000)+((P150/1000)*J150*S150/2.5))*I150*H150</f>
        <v/>
      </c>
      <c r="V150">
        <f>(E150*F150*(P150/1000)*J150*S150*I150*H150)/12500000</f>
        <v/>
      </c>
      <c r="W150">
        <f>IFERROR((((E150/240000)+(F150/95)+(S150/600)+((P150/5500)*J150))*800/4+(((E150/240000)*(F150/95))+(((P150/5500)*J150)*(S150/600)))*800/2+((E150/240000)*(F150/95)*((P150/5500)*J150)*(S150/600))*800)*(H150/1.0)/3,"")</f>
        <v/>
      </c>
      <c r="X150" s="6" t="n">
        <v>1500</v>
      </c>
      <c r="Y150">
        <f>IFERROR(W150-X150,"")</f>
        <v/>
      </c>
      <c r="Z150">
        <f>IFERROR(ABS(Y150)/MAX(X150,1),"")</f>
        <v/>
      </c>
      <c r="AA150">
        <f>IFERROR(ROUND(((3*X150-(((E150/240000)+(F150/95)+(S150/600))*800/4+((E150/240000)*(F150/95))*800/2)*(H150/1.0))/(800/4+((S150/600))*800/2+((E150/240000)*(F150/95)*(S150/600))*800)*(H150/1.0)*5500)/J150,-1),"")</f>
        <v/>
      </c>
    </row>
    <row r="151">
      <c r="B151" s="7" t="inlineStr">
        <is>
          <t xml:space="preserve">  ↳ autogun_tank_small</t>
        </is>
      </c>
      <c r="C151" s="7" t="inlineStr">
        <is>
          <t>Armament</t>
        </is>
      </c>
      <c r="L151" s="6" t="n">
        <v>12000</v>
      </c>
      <c r="M151" s="6" t="n">
        <v>24</v>
      </c>
      <c r="N151" s="6" t="n">
        <v>4</v>
      </c>
      <c r="O151" s="6" t="n">
        <v>2</v>
      </c>
      <c r="P151" s="6" t="n">
        <v>6220</v>
      </c>
      <c r="Q151" s="6" t="n">
        <v>1.25</v>
      </c>
      <c r="R151">
        <f>M151+IF(MAX(N151-1,0)&gt;0,IF(ISBLANK(O151),5*MAX(N151-1,0),IF(ISNUMBER(O151),O151*MAX(N151-1,0),SUM(IFERROR(VALUE(TEXTSPLIT(O151,",")),0)))),0)</f>
        <v/>
      </c>
      <c r="S151">
        <f>IFERROR(L151*MAX(N151,1)/R151*IF(ISBLANK(K150),1,K150),0)</f>
        <v/>
      </c>
      <c r="AB151" s="7" t="inlineStr">
        <is>
          <t>^Warhead_CannonHE_Heavy, ^Warhead_MissileAP_Heavy</t>
        </is>
      </c>
    </row>
    <row r="152">
      <c r="A152" t="inlineStr">
        <is>
          <t>d2k</t>
        </is>
      </c>
      <c r="B152" t="inlineStr">
        <is>
          <t>ordos_heavycombattank</t>
        </is>
      </c>
      <c r="C152" t="inlineStr">
        <is>
          <t>Ordos Heavy Combat Tank</t>
        </is>
      </c>
      <c r="D152" s="6" t="inlineStr">
        <is>
          <t>MainBattleTank</t>
        </is>
      </c>
      <c r="E152" s="6" t="n">
        <v>115000</v>
      </c>
      <c r="F152" s="6" t="n">
        <v>75</v>
      </c>
      <c r="G152" t="inlineStr">
        <is>
          <t>Heavy</t>
        </is>
      </c>
      <c r="H152" s="6" t="n">
        <v>1</v>
      </c>
      <c r="I152" s="6" t="n">
        <v>1</v>
      </c>
      <c r="J152" s="6" t="n">
        <v>1</v>
      </c>
      <c r="P152">
        <f>MAX(P153,P154)</f>
        <v/>
      </c>
      <c r="S152">
        <f>S153+S154</f>
        <v/>
      </c>
      <c r="T152">
        <f>(E152/100000+F152/100+(P152/1000)*J152/5+S152/200)*200*I152*H152</f>
        <v/>
      </c>
      <c r="U152">
        <f>((E152*F152/25000)+((P152/1000)*J152*S152/2.5))*I152*H152</f>
        <v/>
      </c>
      <c r="V152">
        <f>(E152*F152*(P152/1000)*J152*S152*I152*H152)/12500000</f>
        <v/>
      </c>
      <c r="W152">
        <f>IFERROR((((E152/240000)+(F152/95)+(S152/600)+((P152/5500)*J152))*800/4+(((E152/240000)*(F152/95))+(((P152/5500)*J152)*(S152/600)))*800/2+((E152/240000)*(F152/95)*((P152/5500)*J152)*(S152/600))*800)*(H152/1.0)/3,"")</f>
        <v/>
      </c>
      <c r="X152" s="6" t="n">
        <v>950</v>
      </c>
      <c r="Y152">
        <f>IFERROR(W152-X152,"")</f>
        <v/>
      </c>
      <c r="Z152">
        <f>IFERROR(ABS(Y152)/MAX(X152,1),"")</f>
        <v/>
      </c>
      <c r="AA152">
        <f>IFERROR(ROUND(((3*X152-(((E152/240000)+(F152/95)+(S152/600))*800/4+((E152/240000)*(F152/95))*800/2)*(H152/1.0))/(800/4+((S152/600))*800/2+((E152/240000)*(F152/95)*(S152/600))*800)*(H152/1.0)*5500)/J152,-1),"")</f>
        <v/>
      </c>
    </row>
    <row r="153">
      <c r="B153" s="7" t="inlineStr">
        <is>
          <t xml:space="preserve">  ↳ HeavyOrdosCombatTankCannon</t>
        </is>
      </c>
      <c r="C153" s="7" t="inlineStr">
        <is>
          <t>Armament</t>
        </is>
      </c>
      <c r="L153" s="6" t="n">
        <v>10000</v>
      </c>
      <c r="M153" s="6" t="n">
        <v>40</v>
      </c>
      <c r="N153" s="6" t="n">
        <v>1</v>
      </c>
      <c r="O153" s="6" t="n"/>
      <c r="P153" s="6" t="n">
        <v>6000</v>
      </c>
      <c r="Q153" s="6" t="n">
        <v>1</v>
      </c>
      <c r="R153">
        <f>M153+IF(MAX(N153-1,0)&gt;0,IF(ISBLANK(O153),5*MAX(N153-1,0),IF(ISNUMBER(O153),O153*MAX(N153-1,0),SUM(IFERROR(VALUE(TEXTSPLIT(O153,",")),0)))),0)</f>
        <v/>
      </c>
      <c r="S153">
        <f>IFERROR(L153*MAX(N153,1)/R153*IF(ISBLANK(K152),1,K152),0)</f>
        <v/>
      </c>
      <c r="AB153" s="7" t="inlineStr">
        <is>
          <t>^Warhead_CannonHE_Medium</t>
        </is>
      </c>
    </row>
    <row r="154">
      <c r="B154" s="7" t="inlineStr">
        <is>
          <t xml:space="preserve">  ↳ HeavyOrdosCombatTankRockets</t>
        </is>
      </c>
      <c r="C154" s="7" t="inlineStr">
        <is>
          <t>Armament@Rockets</t>
        </is>
      </c>
      <c r="L154" s="6" t="n">
        <v>10000</v>
      </c>
      <c r="M154" s="6" t="n">
        <v>70</v>
      </c>
      <c r="N154" s="6" t="n">
        <v>2</v>
      </c>
      <c r="O154" s="6" t="n">
        <v>10</v>
      </c>
      <c r="P154" s="6" t="n">
        <v>6000</v>
      </c>
      <c r="Q154" s="6" t="n">
        <v>1.25</v>
      </c>
      <c r="R154">
        <f>M154+IF(MAX(N154-1,0)&gt;0,IF(ISBLANK(O154),5*MAX(N154-1,0),IF(ISNUMBER(O154),O154*MAX(N154-1,0),SUM(IFERROR(VALUE(TEXTSPLIT(O154,",")),0)))),0)</f>
        <v/>
      </c>
      <c r="S154">
        <f>IFERROR(L154*MAX(N154,1)/R154*IF(ISBLANK(K152),1,K152),0)</f>
        <v/>
      </c>
      <c r="AB154" s="7" t="inlineStr">
        <is>
          <t>^Warhead_MissileHE_Heavy</t>
        </is>
      </c>
    </row>
    <row r="155">
      <c r="A155" t="inlineStr">
        <is>
          <t>d2k</t>
        </is>
      </c>
      <c r="B155" t="inlineStr">
        <is>
          <t>ixian_heavykodatank</t>
        </is>
      </c>
      <c r="C155" t="inlineStr">
        <is>
          <t>Heavy Koda Tank</t>
        </is>
      </c>
      <c r="D155" s="6" t="inlineStr">
        <is>
          <t>MainBattleTank</t>
        </is>
      </c>
      <c r="E155" s="6" t="n">
        <v>95000</v>
      </c>
      <c r="F155" s="6" t="n">
        <v>58</v>
      </c>
      <c r="G155" t="inlineStr">
        <is>
          <t>Heavy</t>
        </is>
      </c>
      <c r="H155" s="6" t="n">
        <v>0.8919</v>
      </c>
      <c r="I155" s="6" t="n">
        <v>1</v>
      </c>
      <c r="J155" s="6" t="n">
        <v>1</v>
      </c>
      <c r="P155">
        <f>MAX(P156)</f>
        <v/>
      </c>
      <c r="S155">
        <f>S156</f>
        <v/>
      </c>
      <c r="T155">
        <f>(E155/100000+F155/100+(P155/1000)*J155/5+S155/200)*200*I155*H155</f>
        <v/>
      </c>
      <c r="U155">
        <f>((E155*F155/25000)+((P155/1000)*J155*S155/2.5))*I155*H155</f>
        <v/>
      </c>
      <c r="V155">
        <f>(E155*F155*(P155/1000)*J155*S155*I155*H155)/12500000</f>
        <v/>
      </c>
      <c r="W155">
        <f>IFERROR((((E155/240000)+(F155/95)+(S155/600)+((P155/5500)*J155))*800/4+(((E155/240000)*(F155/95))+(((P155/5500)*J155)*(S155/600)))*800/2+((E155/240000)*(F155/95)*((P155/5500)*J155)*(S155/600))*800)*(H155/1.0)/3,"")</f>
        <v/>
      </c>
      <c r="X155" s="6" t="n">
        <v>1100</v>
      </c>
      <c r="Y155">
        <f>IFERROR(W155-X155,"")</f>
        <v/>
      </c>
      <c r="Z155">
        <f>IFERROR(ABS(Y155)/MAX(X155,1),"")</f>
        <v/>
      </c>
      <c r="AA155">
        <f>IFERROR(ROUND(((3*X155-(((E155/240000)+(F155/95)+(S155/600))*800/4+((E155/240000)*(F155/95))*800/2)*(H155/1.0))/(800/4+((S155/600))*800/2+((E155/240000)*(F155/95)*(S155/600))*800)*(H155/1.0)*5500)/J155,-1),"")</f>
        <v/>
      </c>
    </row>
    <row r="156">
      <c r="B156" s="7" t="inlineStr">
        <is>
          <t xml:space="preserve">  ↳ HeavyIxianCombatTankCannon</t>
        </is>
      </c>
      <c r="C156" s="7" t="inlineStr">
        <is>
          <t>Armament</t>
        </is>
      </c>
      <c r="L156" s="6" t="n">
        <v>18000</v>
      </c>
      <c r="M156" s="6" t="n">
        <v>40</v>
      </c>
      <c r="N156" s="6" t="n">
        <v>1</v>
      </c>
      <c r="O156" s="6" t="n"/>
      <c r="P156" s="6" t="n">
        <v>6000</v>
      </c>
      <c r="Q156" s="6" t="n">
        <v>1</v>
      </c>
      <c r="R156">
        <f>M156+IF(MAX(N156-1,0)&gt;0,IF(ISBLANK(O156),5*MAX(N156-1,0),IF(ISNUMBER(O156),O156*MAX(N156-1,0),SUM(IFERROR(VALUE(TEXTSPLIT(O156,",")),0)))),0)</f>
        <v/>
      </c>
      <c r="S156">
        <f>IFERROR(L156*MAX(N156,1)/R156*IF(ISBLANK(K155),1,K155),0)</f>
        <v/>
      </c>
      <c r="AB156" s="7" t="inlineStr">
        <is>
          <t>^Warhead_CannonHE_Heavy, ^Warhead_CannonAP_Light, ^Warhead_CannonHE_Medium</t>
        </is>
      </c>
    </row>
    <row r="157">
      <c r="A157" t="inlineStr">
        <is>
          <t>d2k</t>
        </is>
      </c>
      <c r="B157" t="inlineStr">
        <is>
          <t>ixian_kodatank</t>
        </is>
      </c>
      <c r="C157" t="inlineStr">
        <is>
          <t>Koda Tank</t>
        </is>
      </c>
      <c r="D157" s="6" t="inlineStr">
        <is>
          <t>MainBattleTank</t>
        </is>
      </c>
      <c r="E157" s="6" t="n">
        <v>65000</v>
      </c>
      <c r="F157" s="6" t="n">
        <v>65</v>
      </c>
      <c r="G157" t="inlineStr">
        <is>
          <t>Heavy</t>
        </is>
      </c>
      <c r="H157" s="6" t="n">
        <v>0.8919</v>
      </c>
      <c r="I157" s="6" t="n">
        <v>1</v>
      </c>
      <c r="J157" s="6" t="n">
        <v>1</v>
      </c>
      <c r="P157">
        <f>MAX(P158)</f>
        <v/>
      </c>
      <c r="S157">
        <f>S158</f>
        <v/>
      </c>
      <c r="T157">
        <f>(E157/100000+F157/100+(P157/1000)*J157/5+S157/200)*200*I157*H157</f>
        <v/>
      </c>
      <c r="U157">
        <f>((E157*F157/25000)+((P157/1000)*J157*S157/2.5))*I157*H157</f>
        <v/>
      </c>
      <c r="V157">
        <f>(E157*F157*(P157/1000)*J157*S157*I157*H157)/12500000</f>
        <v/>
      </c>
      <c r="W157">
        <f>IFERROR((((E157/240000)+(F157/95)+(S157/600)+((P157/5500)*J157))*800/4+(((E157/240000)*(F157/95))+(((P157/5500)*J157)*(S157/600)))*800/2+((E157/240000)*(F157/95)*((P157/5500)*J157)*(S157/600))*800)*(H157/1.0)/3,"")</f>
        <v/>
      </c>
      <c r="X157" s="6" t="n">
        <v>800</v>
      </c>
      <c r="Y157">
        <f>IFERROR(W157-X157,"")</f>
        <v/>
      </c>
      <c r="Z157">
        <f>IFERROR(ABS(Y157)/MAX(X157,1),"")</f>
        <v/>
      </c>
      <c r="AA157">
        <f>IFERROR(ROUND(((3*X157-(((E157/240000)+(F157/95)+(S157/600))*800/4+((E157/240000)*(F157/95))*800/2)*(H157/1.0))/(800/4+((S157/600))*800/2+((E157/240000)*(F157/95)*(S157/600))*800)*(H157/1.0)*5500)/J157,-1),"")</f>
        <v/>
      </c>
    </row>
    <row r="158">
      <c r="B158" s="7" t="inlineStr">
        <is>
          <t xml:space="preserve">  ↳ IxianCombatTankCannon</t>
        </is>
      </c>
      <c r="C158" s="7" t="inlineStr">
        <is>
          <t>Armament</t>
        </is>
      </c>
      <c r="L158" s="6" t="n">
        <v>12000</v>
      </c>
      <c r="M158" s="6" t="n">
        <v>35</v>
      </c>
      <c r="N158" s="6" t="n">
        <v>1</v>
      </c>
      <c r="O158" s="6" t="n"/>
      <c r="P158" s="6" t="n">
        <v>5555</v>
      </c>
      <c r="Q158" s="6" t="n">
        <v>1</v>
      </c>
      <c r="R158">
        <f>M158+IF(MAX(N158-1,0)&gt;0,IF(ISBLANK(O158),5*MAX(N158-1,0),IF(ISNUMBER(O158),O158*MAX(N158-1,0),SUM(IFERROR(VALUE(TEXTSPLIT(O158,",")),0)))),0)</f>
        <v/>
      </c>
      <c r="S158">
        <f>IFERROR(L158*MAX(N158,1)/R158*IF(ISBLANK(K157),1,K157),0)</f>
        <v/>
      </c>
      <c r="AB158" s="7" t="inlineStr">
        <is>
          <t>^Warhead_CannonHE_Heavy, ^Warhead_CannonAP_Light, ^Warhead_CannonHE_Medium</t>
        </is>
      </c>
    </row>
    <row r="159">
      <c r="A159" t="inlineStr">
        <is>
          <t>d2k</t>
        </is>
      </c>
      <c r="B159" t="inlineStr">
        <is>
          <t>ixian_mongoose</t>
        </is>
      </c>
      <c r="C159" t="inlineStr">
        <is>
          <t>Mongoose</t>
        </is>
      </c>
      <c r="D159" s="6" t="inlineStr">
        <is>
          <t>MainBattleTank</t>
        </is>
      </c>
      <c r="E159" s="6" t="n">
        <v>75000</v>
      </c>
      <c r="F159" s="6" t="n">
        <v>75</v>
      </c>
      <c r="G159" t="inlineStr">
        <is>
          <t>Heavy</t>
        </is>
      </c>
      <c r="H159" s="6" t="n">
        <v>1</v>
      </c>
      <c r="I159" s="6" t="n">
        <v>1</v>
      </c>
      <c r="J159" s="6" t="n">
        <v>1</v>
      </c>
      <c r="P159">
        <f>MAX(P160)</f>
        <v/>
      </c>
      <c r="S159">
        <f>S160</f>
        <v/>
      </c>
      <c r="T159">
        <f>(E159/100000+F159/100+(P159/1000)*J159/5+S159/200)*200*I159*H159</f>
        <v/>
      </c>
      <c r="U159">
        <f>((E159*F159/25000)+((P159/1000)*J159*S159/2.5))*I159*H159</f>
        <v/>
      </c>
      <c r="V159">
        <f>(E159*F159*(P159/1000)*J159*S159*I159*H159)/12500000</f>
        <v/>
      </c>
      <c r="W159">
        <f>IFERROR((((E159/240000)+(F159/95)+(S159/600)+((P159/5500)*J159))*800/4+(((E159/240000)*(F159/95))+(((P159/5500)*J159)*(S159/600)))*800/2+((E159/240000)*(F159/95)*((P159/5500)*J159)*(S159/600))*800)*(H159/1.0)/3,"")</f>
        <v/>
      </c>
      <c r="X159" s="6" t="n">
        <v>1300</v>
      </c>
      <c r="Y159">
        <f>IFERROR(W159-X159,"")</f>
        <v/>
      </c>
      <c r="Z159">
        <f>IFERROR(ABS(Y159)/MAX(X159,1),"")</f>
        <v/>
      </c>
      <c r="AA159">
        <f>IFERROR(ROUND(((3*X159-(((E159/240000)+(F159/95)+(S159/600))*800/4+((E159/240000)*(F159/95))*800/2)*(H159/1.0))/(800/4+((S159/600))*800/2+((E159/240000)*(F159/95)*(S159/600))*800)*(H159/1.0)*5500)/J159,-1),"")</f>
        <v/>
      </c>
    </row>
    <row r="160">
      <c r="B160" s="7" t="inlineStr">
        <is>
          <t xml:space="preserve">  ↳ MongooseRocket</t>
        </is>
      </c>
      <c r="C160" s="7" t="inlineStr">
        <is>
          <t>Armament@primary</t>
        </is>
      </c>
      <c r="L160" s="6" t="n">
        <v>32000</v>
      </c>
      <c r="M160" s="6" t="n">
        <v>64</v>
      </c>
      <c r="N160" s="6" t="n">
        <v>1</v>
      </c>
      <c r="O160" s="6" t="n"/>
      <c r="P160" s="6" t="n">
        <v>6183</v>
      </c>
      <c r="Q160" s="6" t="n">
        <v>1.25</v>
      </c>
      <c r="R160">
        <f>M160+IF(MAX(N160-1,0)&gt;0,IF(ISBLANK(O160),5*MAX(N160-1,0),IF(ISNUMBER(O160),O160*MAX(N160-1,0),SUM(IFERROR(VALUE(TEXTSPLIT(O160,",")),0)))),0)</f>
        <v/>
      </c>
      <c r="S160">
        <f>IFERROR(L160*MAX(N160,1)/R160*IF(ISBLANK(K159),1,K159),0)</f>
        <v/>
      </c>
      <c r="AB160" s="7" t="inlineStr">
        <is>
          <t>^Warhead_MissileAP_Heavy</t>
        </is>
      </c>
    </row>
    <row r="161">
      <c r="A161" t="inlineStr">
        <is>
          <t>d2k</t>
        </is>
      </c>
      <c r="B161" t="inlineStr">
        <is>
          <t>combat_tank.atreides</t>
        </is>
      </c>
      <c r="C161" t="inlineStr">
        <is>
          <t>Combat Tank</t>
        </is>
      </c>
      <c r="D161" s="6" t="inlineStr">
        <is>
          <t>MainBattleTank</t>
        </is>
      </c>
      <c r="E161" s="6" t="n">
        <v>100000</v>
      </c>
      <c r="F161" s="6" t="n">
        <v>75</v>
      </c>
      <c r="G161" t="inlineStr">
        <is>
          <t>Heavy</t>
        </is>
      </c>
      <c r="H161" s="6" t="n">
        <v>0.8919</v>
      </c>
      <c r="I161" s="6" t="n">
        <v>1</v>
      </c>
      <c r="J161" s="6" t="n">
        <v>1</v>
      </c>
      <c r="P161">
        <f>MAX(P162)</f>
        <v/>
      </c>
      <c r="S161">
        <f>S162</f>
        <v/>
      </c>
      <c r="T161">
        <f>(E161/100000+F161/100+(P161/1000)*J161/5+S161/200)*200*I161*H161</f>
        <v/>
      </c>
      <c r="U161">
        <f>((E161*F161/25000)+((P161/1000)*J161*S161/2.5))*I161*H161</f>
        <v/>
      </c>
      <c r="V161">
        <f>(E161*F161*(P161/1000)*J161*S161*I161*H161)/12500000</f>
        <v/>
      </c>
      <c r="W161">
        <f>IFERROR((((E161/240000)+(F161/95)+(S161/600)+((P161/5500)*J161))*800/4+(((E161/240000)*(F161/95))+(((P161/5500)*J161)*(S161/600)))*800/2+((E161/240000)*(F161/95)*((P161/5500)*J161)*(S161/600))*800)*(H161/1.0)/3,"")</f>
        <v/>
      </c>
      <c r="X161" s="6" t="n">
        <v>600</v>
      </c>
      <c r="Y161">
        <f>IFERROR(W161-X161,"")</f>
        <v/>
      </c>
      <c r="Z161">
        <f>IFERROR(ABS(Y161)/MAX(X161,1),"")</f>
        <v/>
      </c>
      <c r="AA161">
        <f>IFERROR(ROUND(((3*X161-(((E161/240000)+(F161/95)+(S161/600))*800/4+((E161/240000)*(F161/95))*800/2)*(H161/1.0))/(800/4+((S161/600))*800/2+((E161/240000)*(F161/95)*(S161/600))*800)*(H161/1.0)*5500)/J161,-1),"")</f>
        <v/>
      </c>
    </row>
    <row r="162">
      <c r="B162" s="7" t="inlineStr">
        <is>
          <t xml:space="preserve">  ↳ 80mm_A</t>
        </is>
      </c>
      <c r="C162" s="7" t="inlineStr">
        <is>
          <t>Armament</t>
        </is>
      </c>
      <c r="L162" s="6" t="n">
        <v>8000</v>
      </c>
      <c r="M162" s="6" t="n">
        <v>25</v>
      </c>
      <c r="N162" s="6" t="n">
        <v>1</v>
      </c>
      <c r="O162" s="6" t="n"/>
      <c r="P162" s="6" t="n">
        <v>5120</v>
      </c>
      <c r="Q162" s="6" t="n">
        <v>1</v>
      </c>
      <c r="R162">
        <f>M162+IF(MAX(N162-1,0)&gt;0,IF(ISBLANK(O162),5*MAX(N162-1,0),IF(ISNUMBER(O162),O162*MAX(N162-1,0),SUM(IFERROR(VALUE(TEXTSPLIT(O162,",")),0)))),0)</f>
        <v/>
      </c>
      <c r="S162">
        <f>IFERROR(L162*MAX(N162,1)/R162*IF(ISBLANK(K161),1,K161),0)</f>
        <v/>
      </c>
      <c r="AB162" s="7" t="inlineStr">
        <is>
          <t>^Warhead_CannonHE_Medium</t>
        </is>
      </c>
    </row>
    <row r="163">
      <c r="A163" t="inlineStr">
        <is>
          <t>d2k</t>
        </is>
      </c>
      <c r="B163" t="inlineStr">
        <is>
          <t>combat_tank.harkonnen</t>
        </is>
      </c>
      <c r="C163" t="inlineStr">
        <is>
          <t>Harkonnen Combat Tank</t>
        </is>
      </c>
      <c r="D163" s="6" t="inlineStr">
        <is>
          <t>MainBattleTank</t>
        </is>
      </c>
      <c r="E163" s="6" t="n">
        <v>70000</v>
      </c>
      <c r="F163" s="6" t="n">
        <v>65</v>
      </c>
      <c r="G163" t="inlineStr">
        <is>
          <t>Heavy</t>
        </is>
      </c>
      <c r="H163" s="6" t="n">
        <v>0.8919</v>
      </c>
      <c r="I163" s="6" t="n">
        <v>1</v>
      </c>
      <c r="J163" s="6" t="n">
        <v>1</v>
      </c>
      <c r="P163">
        <f>MAX(P164)</f>
        <v/>
      </c>
      <c r="S163">
        <f>S164</f>
        <v/>
      </c>
      <c r="T163">
        <f>(E163/100000+F163/100+(P163/1000)*J163/5+S163/200)*200*I163*H163</f>
        <v/>
      </c>
      <c r="U163">
        <f>((E163*F163/25000)+((P163/1000)*J163*S163/2.5))*I163*H163</f>
        <v/>
      </c>
      <c r="V163">
        <f>(E163*F163*(P163/1000)*J163*S163*I163*H163)/12500000</f>
        <v/>
      </c>
      <c r="W163">
        <f>IFERROR((((E163/240000)+(F163/95)+(S163/600)+((P163/5500)*J163))*800/4+(((E163/240000)*(F163/95))+(((P163/5500)*J163)*(S163/600)))*800/2+((E163/240000)*(F163/95)*((P163/5500)*J163)*(S163/600))*800)*(H163/1.0)/3,"")</f>
        <v/>
      </c>
      <c r="X163" s="6" t="n">
        <v>600</v>
      </c>
      <c r="Y163">
        <f>IFERROR(W163-X163,"")</f>
        <v/>
      </c>
      <c r="Z163">
        <f>IFERROR(ABS(Y163)/MAX(X163,1),"")</f>
        <v/>
      </c>
      <c r="AA163">
        <f>IFERROR(ROUND(((3*X163-(((E163/240000)+(F163/95)+(S163/600))*800/4+((E163/240000)*(F163/95))*800/2)*(H163/1.0))/(800/4+((S163/600))*800/2+((E163/240000)*(F163/95)*(S163/600))*800)*(H163/1.0)*5500)/J163,-1),"")</f>
        <v/>
      </c>
    </row>
    <row r="164">
      <c r="B164" s="7" t="inlineStr">
        <is>
          <t xml:space="preserve">  ↳ 80mm_H</t>
        </is>
      </c>
      <c r="C164" s="7" t="inlineStr">
        <is>
          <t>Armament</t>
        </is>
      </c>
      <c r="L164" s="6" t="n">
        <v>8000</v>
      </c>
      <c r="M164" s="6" t="n">
        <v>55</v>
      </c>
      <c r="N164" s="6" t="n">
        <v>1</v>
      </c>
      <c r="O164" s="6" t="n"/>
      <c r="P164" s="6" t="n">
        <v>5120</v>
      </c>
      <c r="Q164" s="6" t="n">
        <v>1</v>
      </c>
      <c r="R164">
        <f>M164+IF(MAX(N164-1,0)&gt;0,IF(ISBLANK(O164),5*MAX(N164-1,0),IF(ISNUMBER(O164),O164*MAX(N164-1,0),SUM(IFERROR(VALUE(TEXTSPLIT(O164,",")),0)))),0)</f>
        <v/>
      </c>
      <c r="S164">
        <f>IFERROR(L164*MAX(N164,1)/R164*IF(ISBLANK(K163),1,K163),0)</f>
        <v/>
      </c>
      <c r="AB164" s="7" t="inlineStr">
        <is>
          <t>^Warhead_CannonHE_Medium</t>
        </is>
      </c>
    </row>
    <row r="165">
      <c r="A165" t="inlineStr">
        <is>
          <t>starcraft</t>
        </is>
      </c>
      <c r="B165" t="inlineStr">
        <is>
          <t>protoss_dragoon</t>
        </is>
      </c>
      <c r="C165" t="inlineStr">
        <is>
          <t>Dragoon</t>
        </is>
      </c>
      <c r="D165" s="6" t="inlineStr">
        <is>
          <t>MainBattleTank</t>
        </is>
      </c>
      <c r="E165" s="6" t="n">
        <v>75000</v>
      </c>
      <c r="F165" s="6" t="n">
        <v>80</v>
      </c>
      <c r="G165" t="inlineStr">
        <is>
          <t>Heavy</t>
        </is>
      </c>
      <c r="H165" s="6" t="n">
        <v>1</v>
      </c>
      <c r="I165" s="6" t="n">
        <v>1</v>
      </c>
      <c r="J165" s="6" t="n">
        <v>1</v>
      </c>
      <c r="K165" t="n">
        <v>0.005</v>
      </c>
      <c r="P165">
        <f>MAX(P166)</f>
        <v/>
      </c>
      <c r="S165">
        <f>S166</f>
        <v/>
      </c>
      <c r="T165">
        <f>(E165/100000+F165/100+(P165/1000)*J165/5+S165/200)*200*I165*H165</f>
        <v/>
      </c>
      <c r="U165">
        <f>((E165*F165/25000)+((P165/1000)*J165*S165/2.5))*I165*H165</f>
        <v/>
      </c>
      <c r="V165">
        <f>(E165*F165*(P165/1000)*J165*S165*I165*H165)/12500000</f>
        <v/>
      </c>
      <c r="W165">
        <f>IFERROR((((E165/240000)+(F165/95)+(S165/600)+((P165/5500)*J165))*800/4+(((E165/240000)*(F165/95))+(((P165/5500)*J165)*(S165/600)))*800/2+((E165/240000)*(F165/95)*((P165/5500)*J165)*(S165/600))*800)*(H165/1.0)/3,"")</f>
        <v/>
      </c>
      <c r="X165" s="6" t="n">
        <v>1200</v>
      </c>
      <c r="Y165">
        <f>IFERROR(W165-X165,"")</f>
        <v/>
      </c>
      <c r="Z165">
        <f>IFERROR(ABS(Y165)/MAX(X165,1),"")</f>
        <v/>
      </c>
      <c r="AA165">
        <f>IFERROR(ROUND(((3*X165-(((E165/240000)+(F165/95)+(S165/600))*800/4+((E165/240000)*(F165/95))*800/2)*(H165/1.0))/(800/4+((S165/600))*800/2+((E165/240000)*(F165/95)*(S165/600))*800)*(H165/1.0)*5500)/J165,-1),"")</f>
        <v/>
      </c>
    </row>
    <row r="166">
      <c r="B166" s="7" t="inlineStr">
        <is>
          <t xml:space="preserve">  ↳ DragoonCannon</t>
        </is>
      </c>
      <c r="C166" s="7" t="inlineStr">
        <is>
          <t>Armament</t>
        </is>
      </c>
      <c r="L166" s="6" t="n">
        <v>40000</v>
      </c>
      <c r="M166" s="6" t="n">
        <v>40</v>
      </c>
      <c r="N166" s="6" t="n">
        <v>1</v>
      </c>
      <c r="O166" s="6" t="n"/>
      <c r="P166" s="6" t="n">
        <v>5000</v>
      </c>
      <c r="Q166" s="6" t="n">
        <v>1</v>
      </c>
      <c r="R166">
        <f>M166+IF(MAX(N166-1,0)&gt;0,IF(ISBLANK(O166),5*MAX(N166-1,0),IF(ISNUMBER(O166),O166*MAX(N166-1,0),SUM(IFERROR(VALUE(TEXTSPLIT(O166,",")),0)))),0)</f>
        <v/>
      </c>
      <c r="S166">
        <f>IFERROR(L166*MAX(N166,1)/R166*IF(ISBLANK(K165),1,K165),0)</f>
        <v/>
      </c>
      <c r="AB166" s="7" t="inlineStr">
        <is>
          <t>PhotonCannon</t>
        </is>
      </c>
    </row>
    <row r="167">
      <c r="A167" t="inlineStr">
        <is>
          <t>starcraft</t>
        </is>
      </c>
      <c r="B167" t="inlineStr">
        <is>
          <t>terran_matador</t>
        </is>
      </c>
      <c r="C167" t="inlineStr">
        <is>
          <t>Matador</t>
        </is>
      </c>
      <c r="D167" s="6" t="inlineStr">
        <is>
          <t>MainBattleTank</t>
        </is>
      </c>
      <c r="E167" s="6" t="n">
        <v>100000</v>
      </c>
      <c r="F167" s="6" t="n">
        <v>100</v>
      </c>
      <c r="G167" t="inlineStr">
        <is>
          <t>Medium</t>
        </is>
      </c>
      <c r="H167" s="6" t="n">
        <v>1</v>
      </c>
      <c r="I167" s="6" t="n">
        <v>1</v>
      </c>
      <c r="J167" s="6" t="n">
        <v>1</v>
      </c>
      <c r="P167">
        <f>MAX(P168,P169)</f>
        <v/>
      </c>
      <c r="S167">
        <f>S168+S169</f>
        <v/>
      </c>
      <c r="T167">
        <f>(E167/100000+F167/100+(P167/1000)*J167/5+S167/200)*200*I167*H167</f>
        <v/>
      </c>
      <c r="U167">
        <f>((E167*F167/25000)+((P167/1000)*J167*S167/2.5))*I167*H167</f>
        <v/>
      </c>
      <c r="V167">
        <f>(E167*F167*(P167/1000)*J167*S167*I167*H167)/12500000</f>
        <v/>
      </c>
      <c r="W167">
        <f>IFERROR((((E167/240000)+(F167/95)+(S167/600)+((P167/5500)*J167))*800/4+(((E167/240000)*(F167/95))+(((P167/5500)*J167)*(S167/600)))*800/2+((E167/240000)*(F167/95)*((P167/5500)*J167)*(S167/600))*800)*(H167/1.0)/3,"")</f>
        <v/>
      </c>
      <c r="X167" s="6" t="n">
        <v>1700</v>
      </c>
      <c r="Y167">
        <f>IFERROR(W167-X167,"")</f>
        <v/>
      </c>
      <c r="Z167">
        <f>IFERROR(ABS(Y167)/MAX(X167,1),"")</f>
        <v/>
      </c>
      <c r="AA167">
        <f>IFERROR(ROUND(((3*X167-(((E167/240000)+(F167/95)+(S167/600))*800/4+((E167/240000)*(F167/95))*800/2)*(H167/1.0))/(800/4+((S167/600))*800/2+((E167/240000)*(F167/95)*(S167/600))*800)*(H167/1.0)*5500)/J167,-1),"")</f>
        <v/>
      </c>
    </row>
    <row r="168">
      <c r="B168" s="7" t="inlineStr">
        <is>
          <t xml:space="preserve">  ↳ MatadorFlamer</t>
        </is>
      </c>
      <c r="C168" s="7" t="inlineStr">
        <is>
          <t>Armament</t>
        </is>
      </c>
      <c r="L168" s="6" t="n">
        <v>6000</v>
      </c>
      <c r="M168" s="6" t="n">
        <v>18</v>
      </c>
      <c r="N168" s="6" t="n">
        <v>13</v>
      </c>
      <c r="O168" s="6" t="n">
        <v>2</v>
      </c>
      <c r="P168" s="6" t="n">
        <v>5938</v>
      </c>
      <c r="Q168" s="6" t="n">
        <v>1</v>
      </c>
      <c r="R168">
        <f>M168+IF(MAX(N168-1,0)&gt;0,IF(ISBLANK(O168),5*MAX(N168-1,0),IF(ISNUMBER(O168),O168*MAX(N168-1,0),SUM(IFERROR(VALUE(TEXTSPLIT(O168,",")),0)))),0)</f>
        <v/>
      </c>
      <c r="S168">
        <f>IFERROR(L168*MAX(N168,1)/R168*IF(ISBLANK(K167),1,K167),0)</f>
        <v/>
      </c>
      <c r="AB168" s="7" t="inlineStr">
        <is>
          <t>^Warhead_Flame_Light, ^Warhead_Flame_Medium, ^Warhead_Flame_Heavy</t>
        </is>
      </c>
    </row>
    <row r="169">
      <c r="B169" s="7" t="inlineStr">
        <is>
          <t xml:space="preserve">  ↳ MatadorLaser</t>
        </is>
      </c>
      <c r="C169" s="7" t="inlineStr">
        <is>
          <t>Armament@DEPLOYED</t>
        </is>
      </c>
      <c r="L169" s="6" t="n">
        <v>32000</v>
      </c>
      <c r="M169" s="6" t="n">
        <v>39</v>
      </c>
      <c r="N169" s="6" t="n">
        <v>1</v>
      </c>
      <c r="O169" s="6" t="n"/>
      <c r="P169" s="6" t="n">
        <v>6590</v>
      </c>
      <c r="Q169" s="6" t="n">
        <v>1.25</v>
      </c>
      <c r="R169">
        <f>M169+IF(MAX(N169-1,0)&gt;0,IF(ISBLANK(O169),5*MAX(N169-1,0),IF(ISNUMBER(O169),O169*MAX(N169-1,0),SUM(IFERROR(VALUE(TEXTSPLIT(O169,",")),0)))),0)</f>
        <v/>
      </c>
      <c r="S169">
        <f>IFERROR(L169*MAX(N169,1)/R169*IF(ISBLANK(K167),1,K167),0)</f>
        <v/>
      </c>
      <c r="AB169" s="7" t="inlineStr">
        <is>
          <t>^Warhead_Laser_Heavy</t>
        </is>
      </c>
    </row>
    <row r="170">
      <c r="A170" s="4" t="inlineStr">
        <is>
          <t>HighTechTank</t>
        </is>
      </c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</row>
    <row r="171">
      <c r="A171" t="inlineStr">
        <is>
          <t>tiberiandawn</t>
        </is>
      </c>
      <c r="B171" t="inlineStr">
        <is>
          <t>td_gdi_mammothtank</t>
        </is>
      </c>
      <c r="C171" t="inlineStr">
        <is>
          <t>GDI Mammoth Tank</t>
        </is>
      </c>
      <c r="D171" s="6" t="inlineStr">
        <is>
          <t>HighTechTank</t>
        </is>
      </c>
      <c r="E171" s="6" t="n">
        <v>225000</v>
      </c>
      <c r="F171" s="6" t="n">
        <v>60</v>
      </c>
      <c r="G171" t="inlineStr">
        <is>
          <t>Superheavy</t>
        </is>
      </c>
      <c r="H171" s="6" t="n">
        <v>0.75</v>
      </c>
      <c r="I171" s="6" t="n">
        <v>1</v>
      </c>
      <c r="J171" s="6" t="n">
        <v>1</v>
      </c>
      <c r="P171">
        <f>MAX(P172,P173,P174,P175)</f>
        <v/>
      </c>
      <c r="S171">
        <f>S172+S173+S174+S175</f>
        <v/>
      </c>
      <c r="T171">
        <f>(E171/100000+F171/100+(P171/1000)*J171/5+S171/200)*200*I171*H171</f>
        <v/>
      </c>
      <c r="U171">
        <f>((E171*F171/25000)+((P171/1000)*J171*S171/2.5))*I171*H171</f>
        <v/>
      </c>
      <c r="V171">
        <f>(E171*F171*(P171/1000)*J171*S171*I171*H171)/12500000</f>
        <v/>
      </c>
      <c r="W171">
        <f>IFERROR((((E171/700000)+(F171/65)+(S171/2000)+((P171/6500)*J171))*2000/4+(((E171/700000)*(F171/65))+(((P171/6500)*J171)*(S171/2000)))*2000/2+((E171/700000)*(F171/65)*((P171/6500)*J171)*(S171/2000))*2000)*(H171/0.75)/3,"")</f>
        <v/>
      </c>
      <c r="X171" s="6" t="n">
        <v>1600</v>
      </c>
      <c r="Y171">
        <f>IFERROR(W171-X171,"")</f>
        <v/>
      </c>
      <c r="Z171">
        <f>IFERROR(ABS(Y171)/MAX(X171,1),"")</f>
        <v/>
      </c>
      <c r="AA171">
        <f>IFERROR(ROUND(((3*X171-(((E171/700000)+(F171/65)+(S171/2000))*2000/4+((E171/700000)*(F171/65))*2000/2)*(H171/0.75))/(2000/4+((S171/2000))*2000/2+((E171/700000)*(F171/65)*(S171/2000))*2000)*(H171/0.75)*6500)/J171,-1),"")</f>
        <v/>
      </c>
    </row>
    <row r="172">
      <c r="B172" s="7" t="inlineStr">
        <is>
          <t xml:space="preserve">  ↳ 120mmDual</t>
        </is>
      </c>
      <c r="C172" s="7" t="inlineStr">
        <is>
          <t>Armament@PRIMARY</t>
        </is>
      </c>
      <c r="L172" s="6" t="n">
        <v>8000</v>
      </c>
      <c r="M172" s="6" t="n">
        <v>72</v>
      </c>
      <c r="N172" s="6" t="n">
        <v>2</v>
      </c>
      <c r="O172" s="6" t="n">
        <v>8</v>
      </c>
      <c r="P172" s="6" t="n">
        <v>6141</v>
      </c>
      <c r="Q172" s="6" t="n">
        <v>1.25</v>
      </c>
      <c r="R172">
        <f>M172+IF(MAX(N172-1,0)&gt;0,IF(ISBLANK(O172),5*MAX(N172-1,0),IF(ISNUMBER(O172),O172*MAX(N172-1,0),SUM(IFERROR(VALUE(TEXTSPLIT(O172,",")),0)))),0)</f>
        <v/>
      </c>
      <c r="S172">
        <f>IFERROR(L172*MAX(N172,1)/R172*IF(ISBLANK(K171),1,K171),0)</f>
        <v/>
      </c>
      <c r="AB172" s="7" t="inlineStr">
        <is>
          <t>^Warhead_CannonHE_Heavy</t>
        </is>
      </c>
    </row>
    <row r="173">
      <c r="B173" s="7" t="inlineStr">
        <is>
          <t xml:space="preserve">  ↳ 120mmDualHV</t>
        </is>
      </c>
      <c r="C173" s="7" t="inlineStr">
        <is>
          <t>Armament@HV</t>
        </is>
      </c>
      <c r="L173" s="6" t="n">
        <v>16000</v>
      </c>
      <c r="M173" s="6" t="n">
        <v>72</v>
      </c>
      <c r="N173" s="6" t="n">
        <v>2</v>
      </c>
      <c r="O173" s="6" t="n">
        <v>8</v>
      </c>
      <c r="P173" s="6" t="n">
        <v>6141</v>
      </c>
      <c r="Q173" s="6" t="n">
        <v>1.25</v>
      </c>
      <c r="R173">
        <f>M173+IF(MAX(N173-1,0)&gt;0,IF(ISBLANK(O173),5*MAX(N173-1,0),IF(ISNUMBER(O173),O173*MAX(N173-1,0),SUM(IFERROR(VALUE(TEXTSPLIT(O173,",")),0)))),0)</f>
        <v/>
      </c>
      <c r="S173">
        <f>IFERROR(L173*MAX(N173,1)/R173*IF(ISBLANK(K171),1,K171),0)</f>
        <v/>
      </c>
      <c r="AB173" s="7" t="inlineStr">
        <is>
          <t>^Warhead_CannonHE_Heavy</t>
        </is>
      </c>
    </row>
    <row r="174">
      <c r="B174" s="7" t="inlineStr">
        <is>
          <t xml:space="preserve">  ↳ MammothMissiles</t>
        </is>
      </c>
      <c r="C174" s="7" t="inlineStr">
        <is>
          <t>Armament@SECONDARY</t>
        </is>
      </c>
      <c r="L174" s="6" t="n">
        <v>8000</v>
      </c>
      <c r="M174" s="6" t="n">
        <v>68</v>
      </c>
      <c r="N174" s="6" t="n">
        <v>2</v>
      </c>
      <c r="O174" s="6" t="n">
        <v>12</v>
      </c>
      <c r="P174" s="6" t="n">
        <v>6141</v>
      </c>
      <c r="Q174" s="6" t="n">
        <v>1.25</v>
      </c>
      <c r="R174">
        <f>M174+IF(MAX(N174-1,0)&gt;0,IF(ISBLANK(O174),5*MAX(N174-1,0),IF(ISNUMBER(O174),O174*MAX(N174-1,0),SUM(IFERROR(VALUE(TEXTSPLIT(O174,",")),0)))),0)</f>
        <v/>
      </c>
      <c r="S174">
        <f>IFERROR(L174*MAX(N174,1)/R174*IF(ISBLANK(K171),1,K171),0)</f>
        <v/>
      </c>
      <c r="AB174" s="7" t="inlineStr">
        <is>
          <t>^Warhead_MissileAP_Heavy</t>
        </is>
      </c>
    </row>
    <row r="175">
      <c r="B175" s="7" t="inlineStr">
        <is>
          <t xml:space="preserve">  ↳ MammothMissilesAMT</t>
        </is>
      </c>
      <c r="C175" s="7" t="inlineStr">
        <is>
          <t>Armament@AdvancedMissileTargeting</t>
        </is>
      </c>
      <c r="L175" s="6" t="n">
        <v>8000</v>
      </c>
      <c r="M175" s="6" t="n">
        <v>68</v>
      </c>
      <c r="N175" s="6" t="n">
        <v>2</v>
      </c>
      <c r="O175" s="6" t="n">
        <v>12</v>
      </c>
      <c r="P175" s="6" t="n">
        <v>6141</v>
      </c>
      <c r="Q175" s="6" t="n">
        <v>1.25</v>
      </c>
      <c r="R175">
        <f>M175+IF(MAX(N175-1,0)&gt;0,IF(ISBLANK(O175),5*MAX(N175-1,0),IF(ISNUMBER(O175),O175*MAX(N175-1,0),SUM(IFERROR(VALUE(TEXTSPLIT(O175,",")),0)))),0)</f>
        <v/>
      </c>
      <c r="S175">
        <f>IFERROR(L175*MAX(N175,1)/R175*IF(ISBLANK(K171),1,K171),0)</f>
        <v/>
      </c>
      <c r="AB175" s="7" t="inlineStr">
        <is>
          <t>^Warhead_MissileAP_Heavy</t>
        </is>
      </c>
    </row>
    <row r="176">
      <c r="A176" t="inlineStr">
        <is>
          <t>tiberiandawn</t>
        </is>
      </c>
      <c r="B176" t="inlineStr">
        <is>
          <t>td_gdi_mammothtankmkiii</t>
        </is>
      </c>
      <c r="C176" t="inlineStr">
        <is>
          <t>Mammoth Tank Mk. III</t>
        </is>
      </c>
      <c r="D176" s="6" t="inlineStr">
        <is>
          <t>HighTechTank</t>
        </is>
      </c>
      <c r="E176" s="6" t="n">
        <v>500000</v>
      </c>
      <c r="F176" s="6" t="n">
        <v>55</v>
      </c>
      <c r="G176" t="inlineStr">
        <is>
          <t>Superheavy</t>
        </is>
      </c>
      <c r="H176" s="6" t="n">
        <v>0.3793</v>
      </c>
      <c r="I176" s="6" t="n">
        <v>1</v>
      </c>
      <c r="J176" s="6" t="n">
        <v>1</v>
      </c>
      <c r="P176">
        <f>MAX(P177,P178,P179,P180)</f>
        <v/>
      </c>
      <c r="S176">
        <f>S177+S178+S179+S180</f>
        <v/>
      </c>
      <c r="T176">
        <f>(E176/100000+F176/100+(P176/1000)*J176/5+S176/200)*200*I176*H176</f>
        <v/>
      </c>
      <c r="U176">
        <f>((E176*F176/25000)+((P176/1000)*J176*S176/2.5))*I176*H176</f>
        <v/>
      </c>
      <c r="V176">
        <f>(E176*F176*(P176/1000)*J176*S176*I176*H176)/12500000</f>
        <v/>
      </c>
      <c r="W176">
        <f>IFERROR((((E176/700000)+(F176/65)+(S176/2000)+((P176/6500)*J176))*2000/4+(((E176/700000)*(F176/65))+(((P176/6500)*J176)*(S176/2000)))*2000/2+((E176/700000)*(F176/65)*((P176/6500)*J176)*(S176/2000))*2000)*(H176/0.75)/3,"")</f>
        <v/>
      </c>
      <c r="X176" s="6" t="n">
        <v>3000</v>
      </c>
      <c r="Y176">
        <f>IFERROR(W176-X176,"")</f>
        <v/>
      </c>
      <c r="Z176">
        <f>IFERROR(ABS(Y176)/MAX(X176,1),"")</f>
        <v/>
      </c>
      <c r="AA176">
        <f>IFERROR(ROUND(((3*X176-(((E176/700000)+(F176/65)+(S176/2000))*2000/4+((E176/700000)*(F176/65))*2000/2)*(H176/0.75))/(2000/4+((S176/2000))*2000/2+((E176/700000)*(F176/65)*(S176/2000))*2000)*(H176/0.75)*6500)/J176,-1),"")</f>
        <v/>
      </c>
    </row>
    <row r="177">
      <c r="B177" s="7" t="inlineStr">
        <is>
          <t xml:space="preserve">  ↳ MammothTank3Cannons</t>
        </is>
      </c>
      <c r="C177" s="7" t="inlineStr">
        <is>
          <t>Armament@PRIMARY</t>
        </is>
      </c>
      <c r="L177" s="6" t="n">
        <v>12000</v>
      </c>
      <c r="M177" s="6" t="n">
        <v>102</v>
      </c>
      <c r="N177" s="6" t="n">
        <v>2</v>
      </c>
      <c r="O177" s="6" t="n">
        <v>8</v>
      </c>
      <c r="P177" s="6" t="n">
        <v>6340</v>
      </c>
      <c r="Q177" s="6" t="n">
        <v>1.25</v>
      </c>
      <c r="R177">
        <f>M177+IF(MAX(N177-1,0)&gt;0,IF(ISBLANK(O177),5*MAX(N177-1,0),IF(ISNUMBER(O177),O177*MAX(N177-1,0),SUM(IFERROR(VALUE(TEXTSPLIT(O177,",")),0)))),0)</f>
        <v/>
      </c>
      <c r="S177">
        <f>IFERROR(L177*MAX(N177,1)/R177*IF(ISBLANK(K176),1,K176),0)</f>
        <v/>
      </c>
      <c r="AB177" s="7" t="inlineStr">
        <is>
          <t>^Warhead_CannonHE_Heavy</t>
        </is>
      </c>
    </row>
    <row r="178">
      <c r="B178" s="7" t="inlineStr">
        <is>
          <t xml:space="preserve">  ↳ MammothTank3CannonsHV</t>
        </is>
      </c>
      <c r="C178" s="7" t="inlineStr">
        <is>
          <t>Armament@HV</t>
        </is>
      </c>
      <c r="L178" s="6" t="n">
        <v>24000</v>
      </c>
      <c r="M178" s="6" t="n">
        <v>102</v>
      </c>
      <c r="N178" s="6" t="n">
        <v>2</v>
      </c>
      <c r="O178" s="6" t="n">
        <v>8</v>
      </c>
      <c r="P178" s="6" t="n">
        <v>6340</v>
      </c>
      <c r="Q178" s="6" t="n">
        <v>1.25</v>
      </c>
      <c r="R178">
        <f>M178+IF(MAX(N178-1,0)&gt;0,IF(ISBLANK(O178),5*MAX(N178-1,0),IF(ISNUMBER(O178),O178*MAX(N178-1,0),SUM(IFERROR(VALUE(TEXTSPLIT(O178,",")),0)))),0)</f>
        <v/>
      </c>
      <c r="S178">
        <f>IFERROR(L178*MAX(N178,1)/R178*IF(ISBLANK(K176),1,K176),0)</f>
        <v/>
      </c>
      <c r="AB178" s="7" t="inlineStr">
        <is>
          <t>^Warhead_CannonHE_Heavy</t>
        </is>
      </c>
    </row>
    <row r="179">
      <c r="B179" s="7" t="inlineStr">
        <is>
          <t xml:space="preserve">  ↳ MammothTank3Missiles</t>
        </is>
      </c>
      <c r="C179" s="7" t="inlineStr">
        <is>
          <t>Armament@SECONDARY</t>
        </is>
      </c>
      <c r="L179" s="6" t="n">
        <v>12000</v>
      </c>
      <c r="M179" s="6" t="n">
        <v>98</v>
      </c>
      <c r="N179" s="6" t="n">
        <v>2</v>
      </c>
      <c r="O179" s="6" t="n">
        <v>12</v>
      </c>
      <c r="P179" s="6" t="n">
        <v>6340</v>
      </c>
      <c r="Q179" s="6" t="n">
        <v>1.25</v>
      </c>
      <c r="R179">
        <f>M179+IF(MAX(N179-1,0)&gt;0,IF(ISBLANK(O179),5*MAX(N179-1,0),IF(ISNUMBER(O179),O179*MAX(N179-1,0),SUM(IFERROR(VALUE(TEXTSPLIT(O179,",")),0)))),0)</f>
        <v/>
      </c>
      <c r="S179">
        <f>IFERROR(L179*MAX(N179,1)/R179*IF(ISBLANK(K176),1,K176),0)</f>
        <v/>
      </c>
      <c r="AB179" s="7" t="inlineStr">
        <is>
          <t>^Warhead_MissileAP_Heavy</t>
        </is>
      </c>
    </row>
    <row r="180">
      <c r="B180" s="7" t="inlineStr">
        <is>
          <t xml:space="preserve">  ↳ MammothTank3MissilesAMT</t>
        </is>
      </c>
      <c r="C180" s="7" t="inlineStr">
        <is>
          <t>Armament@AdvancedMissileTargeting</t>
        </is>
      </c>
      <c r="L180" s="6" t="n">
        <v>12000</v>
      </c>
      <c r="M180" s="6" t="n">
        <v>98</v>
      </c>
      <c r="N180" s="6" t="n">
        <v>2</v>
      </c>
      <c r="O180" s="6" t="n">
        <v>12</v>
      </c>
      <c r="P180" s="6" t="n">
        <v>6340</v>
      </c>
      <c r="Q180" s="6" t="n">
        <v>1.25</v>
      </c>
      <c r="R180">
        <f>M180+IF(MAX(N180-1,0)&gt;0,IF(ISBLANK(O180),5*MAX(N180-1,0),IF(ISNUMBER(O180),O180*MAX(N180-1,0),SUM(IFERROR(VALUE(TEXTSPLIT(O180,",")),0)))),0)</f>
        <v/>
      </c>
      <c r="S180">
        <f>IFERROR(L180*MAX(N180,1)/R180*IF(ISBLANK(K176),1,K176),0)</f>
        <v/>
      </c>
      <c r="AB180" s="7" t="inlineStr">
        <is>
          <t>^Warhead_MissileAP_Heavy</t>
        </is>
      </c>
    </row>
    <row r="181">
      <c r="A181" t="inlineStr">
        <is>
          <t>tiberiandawn</t>
        </is>
      </c>
      <c r="B181" t="inlineStr">
        <is>
          <t>td_nod_chemicalstealthtank</t>
        </is>
      </c>
      <c r="C181" t="inlineStr">
        <is>
          <t>Chemical Stealth Tank</t>
        </is>
      </c>
      <c r="D181" s="6" t="inlineStr">
        <is>
          <t>HighTechTank</t>
        </is>
      </c>
      <c r="E181" s="6" t="n">
        <v>90000</v>
      </c>
      <c r="F181" s="6" t="n">
        <v>120</v>
      </c>
      <c r="G181" t="inlineStr">
        <is>
          <t>Superheavy</t>
        </is>
      </c>
      <c r="H181" s="6" t="n">
        <v>0.75</v>
      </c>
      <c r="I181" s="6" t="n">
        <v>1</v>
      </c>
      <c r="J181" s="6" t="n">
        <v>1.25</v>
      </c>
      <c r="P181">
        <f>MAX(P182)</f>
        <v/>
      </c>
      <c r="S181">
        <f>S182</f>
        <v/>
      </c>
      <c r="T181">
        <f>(E181/100000+F181/100+(P181/1000)*J181/5+S181/200)*200*I181*H181</f>
        <v/>
      </c>
      <c r="U181">
        <f>((E181*F181/25000)+((P181/1000)*J181*S181/2.5))*I181*H181</f>
        <v/>
      </c>
      <c r="V181">
        <f>(E181*F181*(P181/1000)*J181*S181*I181*H181)/12500000</f>
        <v/>
      </c>
      <c r="W181">
        <f>IFERROR((((E181/700000)+(F181/65)+(S181/2000)+((P181/6500)*J181))*2000/4+(((E181/700000)*(F181/65))+(((P181/6500)*J181)*(S181/2000)))*2000/2+((E181/700000)*(F181/65)*((P181/6500)*J181)*(S181/2000))*2000)*(H181/0.75)/3,"")</f>
        <v/>
      </c>
      <c r="X181" s="6" t="n">
        <v>1800</v>
      </c>
      <c r="Y181">
        <f>IFERROR(W181-X181,"")</f>
        <v/>
      </c>
      <c r="Z181">
        <f>IFERROR(ABS(Y181)/MAX(X181,1),"")</f>
        <v/>
      </c>
      <c r="AA181">
        <f>IFERROR(ROUND(((3*X181-(((E181/700000)+(F181/65)+(S181/2000))*2000/4+((E181/700000)*(F181/65))*2000/2)*(H181/0.75))/(2000/4+((S181/2000))*2000/2+((E181/700000)*(F181/65)*(S181/2000))*2000)*(H181/0.75)*6500)/J181,-1),"")</f>
        <v/>
      </c>
    </row>
    <row r="182">
      <c r="B182" s="7" t="inlineStr">
        <is>
          <t xml:space="preserve">  ↳ ChemicalStealthTankMissiles</t>
        </is>
      </c>
      <c r="C182" s="7" t="inlineStr">
        <is>
          <t>Armament</t>
        </is>
      </c>
      <c r="L182" s="6" t="n">
        <v>30000</v>
      </c>
      <c r="M182" s="6" t="n">
        <v>60</v>
      </c>
      <c r="N182" s="6" t="n">
        <v>1</v>
      </c>
      <c r="O182" s="6" t="n"/>
      <c r="P182" s="6" t="n">
        <v>6962</v>
      </c>
      <c r="Q182" s="6" t="n">
        <v>1</v>
      </c>
      <c r="R182">
        <f>M182+IF(MAX(N182-1,0)&gt;0,IF(ISBLANK(O182),5*MAX(N182-1,0),IF(ISNUMBER(O182),O182*MAX(N182-1,0),SUM(IFERROR(VALUE(TEXTSPLIT(O182,",")),0)))),0)</f>
        <v/>
      </c>
      <c r="S182">
        <f>IFERROR(L182*MAX(N182,1)/R182*IF(ISBLANK(K181),1,K181),0)</f>
        <v/>
      </c>
      <c r="AB182" s="7" t="inlineStr">
        <is>
          <t>^ShrapnelWeapon, ^MediumChemicalWeapon, ^MediumMissile</t>
        </is>
      </c>
    </row>
    <row r="183">
      <c r="A183" t="inlineStr">
        <is>
          <t>redalert</t>
        </is>
      </c>
      <c r="B183" t="inlineStr">
        <is>
          <t>japan_hovercraftflametank</t>
        </is>
      </c>
      <c r="C183" t="inlineStr">
        <is>
          <t>Hovercraft Flametank</t>
        </is>
      </c>
      <c r="D183" s="6" t="inlineStr">
        <is>
          <t>HighTechTank</t>
        </is>
      </c>
      <c r="E183" s="6" t="n">
        <v>120000</v>
      </c>
      <c r="F183" s="6" t="n">
        <v>90</v>
      </c>
      <c r="G183" t="inlineStr">
        <is>
          <t>Superheavy</t>
        </is>
      </c>
      <c r="H183" s="6" t="n">
        <v>0.75</v>
      </c>
      <c r="I183" s="6" t="n">
        <v>1</v>
      </c>
      <c r="J183" s="6" t="n">
        <v>1</v>
      </c>
      <c r="P183">
        <f>MAX(P184,P185)</f>
        <v/>
      </c>
      <c r="S183">
        <f>S184+S185</f>
        <v/>
      </c>
      <c r="T183">
        <f>(E183/100000+F183/100+(P183/1000)*J183/5+S183/200)*200*I183*H183</f>
        <v/>
      </c>
      <c r="U183">
        <f>((E183*F183/25000)+((P183/1000)*J183*S183/2.5))*I183*H183</f>
        <v/>
      </c>
      <c r="V183">
        <f>(E183*F183*(P183/1000)*J183*S183*I183*H183)/12500000</f>
        <v/>
      </c>
      <c r="W183">
        <f>IFERROR((((E183/700000)+(F183/65)+(S183/2000)+((P183/6500)*J183))*2000/4+(((E183/700000)*(F183/65))+(((P183/6500)*J183)*(S183/2000)))*2000/2+((E183/700000)*(F183/65)*((P183/6500)*J183)*(S183/2000))*2000)*(H183/0.75)/3,"")</f>
        <v/>
      </c>
      <c r="X183" s="6" t="n">
        <v>1700</v>
      </c>
      <c r="Y183">
        <f>IFERROR(W183-X183,"")</f>
        <v/>
      </c>
      <c r="Z183">
        <f>IFERROR(ABS(Y183)/MAX(X183,1),"")</f>
        <v/>
      </c>
      <c r="AA183">
        <f>IFERROR(ROUND(((3*X183-(((E183/700000)+(F183/65)+(S183/2000))*2000/4+((E183/700000)*(F183/65))*2000/2)*(H183/0.75))/(2000/4+((S183/2000))*2000/2+((E183/700000)*(F183/65)*(S183/2000))*2000)*(H183/0.75)*6500)/J183,-1),"")</f>
        <v/>
      </c>
    </row>
    <row r="184">
      <c r="B184" s="7" t="inlineStr">
        <is>
          <t xml:space="preserve">  ↳ HeavyFlamer</t>
        </is>
      </c>
      <c r="C184" s="7" t="inlineStr">
        <is>
          <t>Armament</t>
        </is>
      </c>
      <c r="L184" s="6" t="n">
        <v>2000</v>
      </c>
      <c r="M184" s="6" t="n">
        <v>60</v>
      </c>
      <c r="N184" s="6" t="n">
        <v>30</v>
      </c>
      <c r="O184" s="6" t="n">
        <v>1</v>
      </c>
      <c r="P184" s="6" t="n">
        <v>6000</v>
      </c>
      <c r="Q184" s="6" t="n">
        <v>1</v>
      </c>
      <c r="R184">
        <f>M184+IF(MAX(N184-1,0)&gt;0,IF(ISBLANK(O184),5*MAX(N184-1,0),IF(ISNUMBER(O184),O184*MAX(N184-1,0),SUM(IFERROR(VALUE(TEXTSPLIT(O184,",")),0)))),0)</f>
        <v/>
      </c>
      <c r="S184">
        <f>IFERROR(L184*MAX(N184,1)/R184*IF(ISBLANK(K183),1,K183),0)</f>
        <v/>
      </c>
      <c r="AB184" s="7" t="inlineStr">
        <is>
          <t>^Warhead_Flame_Medium</t>
        </is>
      </c>
    </row>
    <row r="185">
      <c r="B185" s="7" t="inlineStr">
        <is>
          <t xml:space="preserve">  ↳ HeavyPlasmaFlamer</t>
        </is>
      </c>
      <c r="C185" s="7" t="inlineStr">
        <is>
          <t>Armament@Upgrade</t>
        </is>
      </c>
      <c r="L185" s="6" t="n">
        <v>4000</v>
      </c>
      <c r="M185" s="6" t="n">
        <v>60</v>
      </c>
      <c r="N185" s="6" t="n">
        <v>30</v>
      </c>
      <c r="O185" s="6" t="n">
        <v>1</v>
      </c>
      <c r="P185" s="6" t="n">
        <v>6000</v>
      </c>
      <c r="Q185" s="6" t="n">
        <v>1.25</v>
      </c>
      <c r="R185">
        <f>M185+IF(MAX(N185-1,0)&gt;0,IF(ISBLANK(O185),5*MAX(N185-1,0),IF(ISNUMBER(O185),O185*MAX(N185-1,0),SUM(IFERROR(VALUE(TEXTSPLIT(O185,",")),0)))),0)</f>
        <v/>
      </c>
      <c r="S185">
        <f>IFERROR(L185*MAX(N185,1)/R185*IF(ISBLANK(K183),1,K183),0)</f>
        <v/>
      </c>
      <c r="AB185" s="7" t="inlineStr">
        <is>
          <t>^Warhead_Chemical_Heavy, ^Warhead_Flame_Heavy</t>
        </is>
      </c>
    </row>
    <row r="186">
      <c r="A186" t="inlineStr">
        <is>
          <t>redalert</t>
        </is>
      </c>
      <c r="B186" t="inlineStr">
        <is>
          <t>japan_oitank</t>
        </is>
      </c>
      <c r="C186" t="inlineStr">
        <is>
          <t>O-I Tank</t>
        </is>
      </c>
      <c r="D186" s="6" t="inlineStr">
        <is>
          <t>HighTechTank</t>
        </is>
      </c>
      <c r="E186" s="6" t="n">
        <v>650000</v>
      </c>
      <c r="F186" s="6" t="n">
        <v>50</v>
      </c>
      <c r="G186" t="inlineStr">
        <is>
          <t>Superheavy</t>
        </is>
      </c>
      <c r="H186" s="6" t="n">
        <v>0.75</v>
      </c>
      <c r="I186" s="6" t="n">
        <v>1</v>
      </c>
      <c r="J186" s="6" t="n">
        <v>1</v>
      </c>
      <c r="P186">
        <f>MAX(P187,P188,P189,P190,P191,P192,P193,P194,P195,P196,P197,P198)</f>
        <v/>
      </c>
      <c r="S186">
        <f>S187+S188+S189+S190+S191+S192+S193+S194+S195+S196+S197+S198</f>
        <v/>
      </c>
      <c r="T186">
        <f>(E186/100000+F186/100+(P186/1000)*J186/5+S186/200)*200*I186*H186</f>
        <v/>
      </c>
      <c r="U186">
        <f>((E186*F186/25000)+((P186/1000)*J186*S186/2.5))*I186*H186</f>
        <v/>
      </c>
      <c r="V186">
        <f>(E186*F186*(P186/1000)*J186*S186*I186*H186)/12500000</f>
        <v/>
      </c>
      <c r="W186">
        <f>IFERROR((((E186/700000)+(F186/65)+(S186/2000)+((P186/6500)*J186))*2000/4+(((E186/700000)*(F186/65))+(((P186/6500)*J186)*(S186/2000)))*2000/2+((E186/700000)*(F186/65)*((P186/6500)*J186)*(S186/2000))*2000)*(H186/0.75)/3,"")</f>
        <v/>
      </c>
      <c r="X186" s="6" t="n">
        <v>7000</v>
      </c>
      <c r="Y186">
        <f>IFERROR(W186-X186,"")</f>
        <v/>
      </c>
      <c r="Z186">
        <f>IFERROR(ABS(Y186)/MAX(X186,1),"")</f>
        <v/>
      </c>
      <c r="AA186">
        <f>IFERROR(ROUND(((3*X186-(((E186/700000)+(F186/65)+(S186/2000))*2000/4+((E186/700000)*(F186/65))*2000/2)*(H186/0.75))/(2000/4+((S186/2000))*2000/2+((E186/700000)*(F186/65)*(S186/2000))*2000)*(H186/0.75)*6500)/J186,-1),"")</f>
        <v/>
      </c>
    </row>
    <row r="187">
      <c r="B187" s="7" t="inlineStr">
        <is>
          <t xml:space="preserve">  ↳ OIBigCannon</t>
        </is>
      </c>
      <c r="C187" s="7" t="inlineStr">
        <is>
          <t>Armament@MAIN</t>
        </is>
      </c>
      <c r="L187" s="6" t="n">
        <v>24000</v>
      </c>
      <c r="M187" s="6" t="n">
        <v>55</v>
      </c>
      <c r="N187" s="6" t="n">
        <v>1</v>
      </c>
      <c r="O187" s="6" t="n"/>
      <c r="P187" s="6" t="n">
        <v>5394</v>
      </c>
      <c r="Q187" s="6" t="n">
        <v>1.25</v>
      </c>
      <c r="R187">
        <f>M187+IF(MAX(N187-1,0)&gt;0,IF(ISBLANK(O187),5*MAX(N187-1,0),IF(ISNUMBER(O187),O187*MAX(N187-1,0),SUM(IFERROR(VALUE(TEXTSPLIT(O187,",")),0)))),0)</f>
        <v/>
      </c>
      <c r="S187">
        <f>IFERROR(L187*MAX(N187,1)/R187*IF(ISBLANK(K186),1,K186),0)</f>
        <v/>
      </c>
      <c r="AB187" s="7" t="inlineStr">
        <is>
          <t>^Warhead_CannonHE_Heavy</t>
        </is>
      </c>
    </row>
    <row r="188">
      <c r="B188" s="7" t="inlineStr">
        <is>
          <t xml:space="preserve">  ↳ OIBigPlasmaCannon</t>
        </is>
      </c>
      <c r="C188" s="7" t="inlineStr">
        <is>
          <t>Armament@Upgrade</t>
        </is>
      </c>
      <c r="L188" s="6" t="n">
        <v>24000</v>
      </c>
      <c r="M188" s="6" t="n">
        <v>55</v>
      </c>
      <c r="N188" s="6" t="n">
        <v>1</v>
      </c>
      <c r="O188" s="6" t="n"/>
      <c r="P188" s="6" t="n">
        <v>5394</v>
      </c>
      <c r="Q188" s="6" t="n">
        <v>1</v>
      </c>
      <c r="R188">
        <f>M188+IF(MAX(N188-1,0)&gt;0,IF(ISBLANK(O188),5*MAX(N188-1,0),IF(ISNUMBER(O188),O188*MAX(N188-1,0),SUM(IFERROR(VALUE(TEXTSPLIT(O188,",")),0)))),0)</f>
        <v/>
      </c>
      <c r="S188">
        <f>IFERROR(L188*MAX(N188,1)/R188*IF(ISBLANK(K186),1,K186),0)</f>
        <v/>
      </c>
      <c r="AB188" s="7" t="inlineStr">
        <is>
          <t>^Warhead_Tesla_Heavy, ^Warhead_Railgun_Heavy, ^Warhead_CannonHE_Heavy</t>
        </is>
      </c>
    </row>
    <row r="189">
      <c r="B189" s="7" t="inlineStr">
        <is>
          <t xml:space="preserve">  ↳ OISmallCannon</t>
        </is>
      </c>
      <c r="C189" s="7" t="inlineStr">
        <is>
          <t>Armament@PRIMARY</t>
        </is>
      </c>
      <c r="L189" s="6" t="n">
        <v>8000</v>
      </c>
      <c r="M189" s="6" t="n">
        <v>45</v>
      </c>
      <c r="N189" s="6" t="n">
        <v>1</v>
      </c>
      <c r="O189" s="6" t="n"/>
      <c r="P189" s="6" t="n">
        <v>5394</v>
      </c>
      <c r="Q189" s="6" t="n">
        <v>1</v>
      </c>
      <c r="R189">
        <f>M189+IF(MAX(N189-1,0)&gt;0,IF(ISBLANK(O189),5*MAX(N189-1,0),IF(ISNUMBER(O189),O189*MAX(N189-1,0),SUM(IFERROR(VALUE(TEXTSPLIT(O189,",")),0)))),0)</f>
        <v/>
      </c>
      <c r="S189">
        <f>IFERROR(L189*MAX(N189,1)/R189*IF(ISBLANK(K186),1,K186),0)</f>
        <v/>
      </c>
      <c r="AB189" s="7" t="inlineStr">
        <is>
          <t>^Warhead_CannonHE_Medium</t>
        </is>
      </c>
    </row>
    <row r="190">
      <c r="B190" s="7" t="inlineStr">
        <is>
          <t xml:space="preserve">  ↳ OISmallCannon</t>
        </is>
      </c>
      <c r="C190" s="7" t="inlineStr">
        <is>
          <t>Armament@SECONDARY</t>
        </is>
      </c>
      <c r="L190" s="6" t="n">
        <v>8000</v>
      </c>
      <c r="M190" s="6" t="n">
        <v>45</v>
      </c>
      <c r="N190" s="6" t="n">
        <v>1</v>
      </c>
      <c r="O190" s="6" t="n"/>
      <c r="P190" s="6" t="n">
        <v>5394</v>
      </c>
      <c r="Q190" s="6" t="n">
        <v>1</v>
      </c>
      <c r="R190">
        <f>M190+IF(MAX(N190-1,0)&gt;0,IF(ISBLANK(O190),5*MAX(N190-1,0),IF(ISNUMBER(O190),O190*MAX(N190-1,0),SUM(IFERROR(VALUE(TEXTSPLIT(O190,",")),0)))),0)</f>
        <v/>
      </c>
      <c r="S190">
        <f>IFERROR(L190*MAX(N190,1)/R190*IF(ISBLANK(K186),1,K186),0)</f>
        <v/>
      </c>
      <c r="AB190" s="7" t="inlineStr">
        <is>
          <t>^Warhead_CannonHE_Medium</t>
        </is>
      </c>
    </row>
    <row r="191">
      <c r="B191" s="7" t="inlineStr">
        <is>
          <t xml:space="preserve">  ↳ OISmallCannon</t>
        </is>
      </c>
      <c r="C191" s="7" t="inlineStr">
        <is>
          <t>Armament@Back</t>
        </is>
      </c>
      <c r="L191" s="6" t="n">
        <v>8000</v>
      </c>
      <c r="M191" s="6" t="n">
        <v>45</v>
      </c>
      <c r="N191" s="6" t="n">
        <v>1</v>
      </c>
      <c r="O191" s="6" t="n"/>
      <c r="P191" s="6" t="n">
        <v>5394</v>
      </c>
      <c r="Q191" s="6" t="n">
        <v>1</v>
      </c>
      <c r="R191">
        <f>M191+IF(MAX(N191-1,0)&gt;0,IF(ISBLANK(O191),5*MAX(N191-1,0),IF(ISNUMBER(O191),O191*MAX(N191-1,0),SUM(IFERROR(VALUE(TEXTSPLIT(O191,",")),0)))),0)</f>
        <v/>
      </c>
      <c r="S191">
        <f>IFERROR(L191*MAX(N191,1)/R191*IF(ISBLANK(K186),1,K186),0)</f>
        <v/>
      </c>
      <c r="AB191" s="7" t="inlineStr">
        <is>
          <t>^Warhead_CannonHE_Medium</t>
        </is>
      </c>
    </row>
    <row r="192">
      <c r="B192" s="7" t="inlineStr">
        <is>
          <t xml:space="preserve">  ↳ OISmallPlasmaCannon</t>
        </is>
      </c>
      <c r="C192" s="7" t="inlineStr">
        <is>
          <t>Armament@UpgradePRIMARY</t>
        </is>
      </c>
      <c r="L192" s="6" t="n">
        <v>8000</v>
      </c>
      <c r="M192" s="6" t="n">
        <v>45</v>
      </c>
      <c r="N192" s="6" t="n">
        <v>1</v>
      </c>
      <c r="O192" s="6" t="n"/>
      <c r="P192" s="6" t="n">
        <v>5394</v>
      </c>
      <c r="Q192" s="6" t="n">
        <v>1</v>
      </c>
      <c r="R192">
        <f>M192+IF(MAX(N192-1,0)&gt;0,IF(ISBLANK(O192),5*MAX(N192-1,0),IF(ISNUMBER(O192),O192*MAX(N192-1,0),SUM(IFERROR(VALUE(TEXTSPLIT(O192,",")),0)))),0)</f>
        <v/>
      </c>
      <c r="S192">
        <f>IFERROR(L192*MAX(N192,1)/R192*IF(ISBLANK(K186),1,K186),0)</f>
        <v/>
      </c>
      <c r="AB192" s="7" t="inlineStr">
        <is>
          <t>^HeavyChemicalWeapon, ^TeslaWeapon, ^RailgunWeapon, ^HeavyCannon</t>
        </is>
      </c>
    </row>
    <row r="193">
      <c r="B193" s="7" t="inlineStr">
        <is>
          <t xml:space="preserve">  ↳ OISmallPlasmaCannon</t>
        </is>
      </c>
      <c r="C193" s="7" t="inlineStr">
        <is>
          <t>Armament@UpgradeSECONDARY</t>
        </is>
      </c>
      <c r="L193" s="6" t="n">
        <v>8000</v>
      </c>
      <c r="M193" s="6" t="n">
        <v>45</v>
      </c>
      <c r="N193" s="6" t="n">
        <v>1</v>
      </c>
      <c r="O193" s="6" t="n"/>
      <c r="P193" s="6" t="n">
        <v>5394</v>
      </c>
      <c r="Q193" s="6" t="n">
        <v>1</v>
      </c>
      <c r="R193">
        <f>M193+IF(MAX(N193-1,0)&gt;0,IF(ISBLANK(O193),5*MAX(N193-1,0),IF(ISNUMBER(O193),O193*MAX(N193-1,0),SUM(IFERROR(VALUE(TEXTSPLIT(O193,",")),0)))),0)</f>
        <v/>
      </c>
      <c r="S193">
        <f>IFERROR(L193*MAX(N193,1)/R193*IF(ISBLANK(K186),1,K186),0)</f>
        <v/>
      </c>
      <c r="AB193" s="7" t="inlineStr">
        <is>
          <t>^HeavyChemicalWeapon, ^TeslaWeapon, ^RailgunWeapon, ^HeavyCannon</t>
        </is>
      </c>
    </row>
    <row r="194">
      <c r="B194" s="7" t="inlineStr">
        <is>
          <t xml:space="preserve">  ↳ OISmallPlasmaCannon</t>
        </is>
      </c>
      <c r="C194" s="7" t="inlineStr">
        <is>
          <t>Armament@UpgradeBack</t>
        </is>
      </c>
      <c r="L194" s="6" t="n">
        <v>8000</v>
      </c>
      <c r="M194" s="6" t="n">
        <v>45</v>
      </c>
      <c r="N194" s="6" t="n">
        <v>1</v>
      </c>
      <c r="O194" s="6" t="n"/>
      <c r="P194" s="6" t="n">
        <v>5394</v>
      </c>
      <c r="Q194" s="6" t="n">
        <v>1</v>
      </c>
      <c r="R194">
        <f>M194+IF(MAX(N194-1,0)&gt;0,IF(ISBLANK(O194),5*MAX(N194-1,0),IF(ISNUMBER(O194),O194*MAX(N194-1,0),SUM(IFERROR(VALUE(TEXTSPLIT(O194,",")),0)))),0)</f>
        <v/>
      </c>
      <c r="S194">
        <f>IFERROR(L194*MAX(N194,1)/R194*IF(ISBLANK(K186),1,K186),0)</f>
        <v/>
      </c>
      <c r="AB194" s="7" t="inlineStr">
        <is>
          <t>^HeavyChemicalWeapon, ^TeslaWeapon, ^RailgunWeapon, ^HeavyCannon</t>
        </is>
      </c>
    </row>
    <row r="195">
      <c r="B195" s="7" t="inlineStr">
        <is>
          <t xml:space="preserve">  ↳ OIFlamer</t>
        </is>
      </c>
      <c r="C195" s="7" t="inlineStr">
        <is>
          <t>Armament@PRIMARYFlame</t>
        </is>
      </c>
      <c r="L195" s="6" t="n">
        <v>2000</v>
      </c>
      <c r="M195" s="6" t="n">
        <v>60</v>
      </c>
      <c r="N195" s="6" t="n">
        <v>20</v>
      </c>
      <c r="O195" s="6" t="n">
        <v>1</v>
      </c>
      <c r="P195" s="6" t="n">
        <v>5394</v>
      </c>
      <c r="Q195" s="6" t="n">
        <v>1</v>
      </c>
      <c r="R195">
        <f>M195+IF(MAX(N195-1,0)&gt;0,IF(ISBLANK(O195),5*MAX(N195-1,0),IF(ISNUMBER(O195),O195*MAX(N195-1,0),SUM(IFERROR(VALUE(TEXTSPLIT(O195,",")),0)))),0)</f>
        <v/>
      </c>
      <c r="S195">
        <f>IFERROR(L195*MAX(N195,1)/R195*IF(ISBLANK(K186),1,K186),0)</f>
        <v/>
      </c>
      <c r="AB195" s="7" t="inlineStr">
        <is>
          <t>^Warhead_Flame_Medium</t>
        </is>
      </c>
    </row>
    <row r="196">
      <c r="B196" s="7" t="inlineStr">
        <is>
          <t xml:space="preserve">  ↳ OIFlamer</t>
        </is>
      </c>
      <c r="C196" s="7" t="inlineStr">
        <is>
          <t>Armament@SECONDARYFlame</t>
        </is>
      </c>
      <c r="L196" s="6" t="n">
        <v>2000</v>
      </c>
      <c r="M196" s="6" t="n">
        <v>60</v>
      </c>
      <c r="N196" s="6" t="n">
        <v>20</v>
      </c>
      <c r="O196" s="6" t="n">
        <v>1</v>
      </c>
      <c r="P196" s="6" t="n">
        <v>5394</v>
      </c>
      <c r="Q196" s="6" t="n">
        <v>1</v>
      </c>
      <c r="R196">
        <f>M196+IF(MAX(N196-1,0)&gt;0,IF(ISBLANK(O196),5*MAX(N196-1,0),IF(ISNUMBER(O196),O196*MAX(N196-1,0),SUM(IFERROR(VALUE(TEXTSPLIT(O196,",")),0)))),0)</f>
        <v/>
      </c>
      <c r="S196">
        <f>IFERROR(L196*MAX(N196,1)/R196*IF(ISBLANK(K186),1,K186),0)</f>
        <v/>
      </c>
      <c r="AB196" s="7" t="inlineStr">
        <is>
          <t>^Warhead_Flame_Medium</t>
        </is>
      </c>
    </row>
    <row r="197">
      <c r="B197" s="7" t="inlineStr">
        <is>
          <t xml:space="preserve">  ↳ OIPlasmaFlamer</t>
        </is>
      </c>
      <c r="C197" s="7" t="inlineStr">
        <is>
          <t>Armament@UpgradePRIMARYFlame</t>
        </is>
      </c>
      <c r="L197" s="6" t="n">
        <v>4000</v>
      </c>
      <c r="M197" s="6" t="n">
        <v>60</v>
      </c>
      <c r="N197" s="6" t="n">
        <v>20</v>
      </c>
      <c r="O197" s="6" t="n">
        <v>1</v>
      </c>
      <c r="P197" s="6" t="n">
        <v>5394</v>
      </c>
      <c r="Q197" s="6" t="n">
        <v>1.25</v>
      </c>
      <c r="R197">
        <f>M197+IF(MAX(N197-1,0)&gt;0,IF(ISBLANK(O197),5*MAX(N197-1,0),IF(ISNUMBER(O197),O197*MAX(N197-1,0),SUM(IFERROR(VALUE(TEXTSPLIT(O197,",")),0)))),0)</f>
        <v/>
      </c>
      <c r="S197">
        <f>IFERROR(L197*MAX(N197,1)/R197*IF(ISBLANK(K186),1,K186),0)</f>
        <v/>
      </c>
      <c r="AB197" s="7" t="inlineStr">
        <is>
          <t>^Warhead_Chemical_Heavy, ^Warhead_Flame_Heavy</t>
        </is>
      </c>
    </row>
    <row r="198">
      <c r="B198" s="7" t="inlineStr">
        <is>
          <t xml:space="preserve">  ↳ OIPlasmaFlamer</t>
        </is>
      </c>
      <c r="C198" s="7" t="inlineStr">
        <is>
          <t>Armament@UpgradeSECONDARYFlame</t>
        </is>
      </c>
      <c r="L198" s="6" t="n">
        <v>4000</v>
      </c>
      <c r="M198" s="6" t="n">
        <v>60</v>
      </c>
      <c r="N198" s="6" t="n">
        <v>20</v>
      </c>
      <c r="O198" s="6" t="n">
        <v>1</v>
      </c>
      <c r="P198" s="6" t="n">
        <v>5394</v>
      </c>
      <c r="Q198" s="6" t="n">
        <v>1.25</v>
      </c>
      <c r="R198">
        <f>M198+IF(MAX(N198-1,0)&gt;0,IF(ISBLANK(O198),5*MAX(N198-1,0),IF(ISNUMBER(O198),O198*MAX(N198-1,0),SUM(IFERROR(VALUE(TEXTSPLIT(O198,",")),0)))),0)</f>
        <v/>
      </c>
      <c r="S198">
        <f>IFERROR(L198*MAX(N198,1)/R198*IF(ISBLANK(K186),1,K186),0)</f>
        <v/>
      </c>
      <c r="AB198" s="7" t="inlineStr">
        <is>
          <t>^Warhead_Chemical_Heavy, ^Warhead_Flame_Heavy</t>
        </is>
      </c>
    </row>
    <row r="199">
      <c r="A199" t="inlineStr">
        <is>
          <t>redalert</t>
        </is>
      </c>
      <c r="B199" t="inlineStr">
        <is>
          <t>ra1_soviets_heavyteslatank</t>
        </is>
      </c>
      <c r="C199" t="inlineStr">
        <is>
          <t>Heavy Tesla Tank</t>
        </is>
      </c>
      <c r="D199" s="6" t="inlineStr">
        <is>
          <t>HighTechTank</t>
        </is>
      </c>
      <c r="E199" s="6" t="n">
        <v>150000</v>
      </c>
      <c r="F199" s="6" t="n">
        <v>60</v>
      </c>
      <c r="G199" t="inlineStr">
        <is>
          <t>Superheavy</t>
        </is>
      </c>
      <c r="H199" s="6" t="n">
        <v>0.75</v>
      </c>
      <c r="I199" s="6" t="n">
        <v>1</v>
      </c>
      <c r="J199" s="6" t="n">
        <v>1.25</v>
      </c>
      <c r="P199">
        <f>MAX(P200,P201,P202)</f>
        <v/>
      </c>
      <c r="S199">
        <f>S200+S201+S202</f>
        <v/>
      </c>
      <c r="T199">
        <f>(E199/100000+F199/100+(P199/1000)*J199/5+S199/200)*200*I199*H199</f>
        <v/>
      </c>
      <c r="U199">
        <f>((E199*F199/25000)+((P199/1000)*J199*S199/2.5))*I199*H199</f>
        <v/>
      </c>
      <c r="V199">
        <f>(E199*F199*(P199/1000)*J199*S199*I199*H199)/12500000</f>
        <v/>
      </c>
      <c r="W199">
        <f>IFERROR((((E199/700000)+(F199/65)+(S199/2000)+((P199/6500)*J199))*2000/4+(((E199/700000)*(F199/65))+(((P199/6500)*J199)*(S199/2000)))*2000/2+((E199/700000)*(F199/65)*((P199/6500)*J199)*(S199/2000))*2000)*(H199/0.75)/3,"")</f>
        <v/>
      </c>
      <c r="X199" s="6" t="n">
        <v>3500</v>
      </c>
      <c r="Y199">
        <f>IFERROR(W199-X199,"")</f>
        <v/>
      </c>
      <c r="Z199">
        <f>IFERROR(ABS(Y199)/MAX(X199,1),"")</f>
        <v/>
      </c>
      <c r="AA199">
        <f>IFERROR(ROUND(((3*X199-(((E199/700000)+(F199/65)+(S199/2000))*2000/4+((E199/700000)*(F199/65))*2000/2)*(H199/0.75))/(2000/4+((S199/2000))*2000/2+((E199/700000)*(F199/65)*(S199/2000))*2000)*(H199/0.75)*6500)/J199,-1),"")</f>
        <v/>
      </c>
    </row>
    <row r="200">
      <c r="B200" s="7" t="inlineStr">
        <is>
          <t xml:space="preserve">  ↳ PointDefenseTesla</t>
        </is>
      </c>
      <c r="C200" s="7" t="inlineStr">
        <is>
          <t>Armament@pointdefense</t>
        </is>
      </c>
      <c r="L200" s="6" t="n">
        <v>10000</v>
      </c>
      <c r="M200" s="6" t="n">
        <v>10</v>
      </c>
      <c r="N200" s="6" t="n">
        <v>1</v>
      </c>
      <c r="O200" s="6" t="n"/>
      <c r="P200" s="6" t="n">
        <v>6650</v>
      </c>
      <c r="Q200" s="6" t="n">
        <v>1.25</v>
      </c>
      <c r="R200">
        <f>M200+IF(MAX(N200-1,0)&gt;0,IF(ISBLANK(O200),5*MAX(N200-1,0),IF(ISNUMBER(O200),O200*MAX(N200-1,0),SUM(IFERROR(VALUE(TEXTSPLIT(O200,",")),0)))),0)</f>
        <v/>
      </c>
      <c r="S200">
        <f>IFERROR(L200*MAX(N200,1)/R200*IF(ISBLANK(K199),1,K199),0)</f>
        <v/>
      </c>
      <c r="AB200" s="7" t="inlineStr">
        <is>
          <t>^Warhead_Tesla_Heavy</t>
        </is>
      </c>
    </row>
    <row r="201">
      <c r="B201" s="7" t="inlineStr">
        <is>
          <t xml:space="preserve">  ↳ TTankZap2_EMP</t>
        </is>
      </c>
      <c r="C201" s="7" t="inlineStr">
        <is>
          <t>Armament</t>
        </is>
      </c>
      <c r="L201" s="6" t="n">
        <v>40000</v>
      </c>
      <c r="M201" s="6" t="n">
        <v>80</v>
      </c>
      <c r="N201" s="6" t="n">
        <v>1</v>
      </c>
      <c r="O201" s="6" t="n"/>
      <c r="P201" s="6" t="n">
        <v>6650</v>
      </c>
      <c r="Q201" s="6" t="n">
        <v>1</v>
      </c>
      <c r="R201">
        <f>M201+IF(MAX(N201-1,0)&gt;0,IF(ISBLANK(O201),5*MAX(N201-1,0),IF(ISNUMBER(O201),O201*MAX(N201-1,0),SUM(IFERROR(VALUE(TEXTSPLIT(O201,",")),0)))),0)</f>
        <v/>
      </c>
      <c r="S201">
        <f>IFERROR(L201*MAX(N201,1)/R201*IF(ISBLANK(K199),1,K199),0)</f>
        <v/>
      </c>
      <c r="AB201" s="7" t="inlineStr">
        <is>
          <t>^Warhead_Tesla_Super</t>
        </is>
      </c>
    </row>
    <row r="202">
      <c r="B202" s="7" t="inlineStr">
        <is>
          <t xml:space="preserve">  ↳ TTankZap2Arc_EMP</t>
        </is>
      </c>
      <c r="C202" s="7" t="inlineStr">
        <is>
          <t>Armament@Arcing</t>
        </is>
      </c>
      <c r="L202" s="6" t="n">
        <v>40000</v>
      </c>
      <c r="M202" s="6" t="n">
        <v>80</v>
      </c>
      <c r="N202" s="6" t="n">
        <v>1</v>
      </c>
      <c r="O202" s="6" t="n"/>
      <c r="P202" s="6" t="n">
        <v>6650</v>
      </c>
      <c r="Q202" s="6" t="n">
        <v>1</v>
      </c>
      <c r="R202">
        <f>M202+IF(MAX(N202-1,0)&gt;0,IF(ISBLANK(O202),5*MAX(N202-1,0),IF(ISNUMBER(O202),O202*MAX(N202-1,0),SUM(IFERROR(VALUE(TEXTSPLIT(O202,",")),0)))),0)</f>
        <v/>
      </c>
      <c r="S202">
        <f>IFERROR(L202*MAX(N202,1)/R202*IF(ISBLANK(K199),1,K199),0)</f>
        <v/>
      </c>
      <c r="AB202" s="7" t="inlineStr">
        <is>
          <t>^Warhead_Tesla_Super</t>
        </is>
      </c>
    </row>
    <row r="203">
      <c r="A203" t="inlineStr">
        <is>
          <t>redalert</t>
        </is>
      </c>
      <c r="B203" t="inlineStr">
        <is>
          <t>ra1_soviets_mammothtank</t>
        </is>
      </c>
      <c r="C203" t="inlineStr">
        <is>
          <t>Soviet Mammoth Tank</t>
        </is>
      </c>
      <c r="D203" s="6" t="inlineStr">
        <is>
          <t>HighTechTank</t>
        </is>
      </c>
      <c r="E203" s="6" t="n">
        <v>375000</v>
      </c>
      <c r="F203" s="6" t="n">
        <v>50</v>
      </c>
      <c r="G203" t="inlineStr">
        <is>
          <t>Superheavy</t>
        </is>
      </c>
      <c r="H203" s="6" t="n">
        <v>0.75</v>
      </c>
      <c r="I203" s="6" t="n">
        <v>1</v>
      </c>
      <c r="J203" s="6" t="n">
        <v>1</v>
      </c>
      <c r="P203">
        <f>MAX(P204,P205,P206,P207,P208,P209,P210,P211,P212,P213)</f>
        <v/>
      </c>
      <c r="S203">
        <f>S204+S205+S206+S207+S208+S209+S210+S211+S212+S213</f>
        <v/>
      </c>
      <c r="T203">
        <f>(E203/100000+F203/100+(P203/1000)*J203/5+S203/200)*200*I203*H203</f>
        <v/>
      </c>
      <c r="U203">
        <f>((E203*F203/25000)+((P203/1000)*J203*S203/2.5))*I203*H203</f>
        <v/>
      </c>
      <c r="V203">
        <f>(E203*F203*(P203/1000)*J203*S203*I203*H203)/12500000</f>
        <v/>
      </c>
      <c r="W203">
        <f>IFERROR((((E203/700000)+(F203/65)+(S203/2000)+((P203/6500)*J203))*2000/4+(((E203/700000)*(F203/65))+(((P203/6500)*J203)*(S203/2000)))*2000/2+((E203/700000)*(F203/65)*((P203/6500)*J203)*(S203/2000))*2000)*(H203/0.75)/3,"")</f>
        <v/>
      </c>
      <c r="X203" s="6" t="n">
        <v>2000</v>
      </c>
      <c r="Y203">
        <f>IFERROR(W203-X203,"")</f>
        <v/>
      </c>
      <c r="Z203">
        <f>IFERROR(ABS(Y203)/MAX(X203,1),"")</f>
        <v/>
      </c>
      <c r="AA203">
        <f>IFERROR(ROUND(((3*X203-(((E203/700000)+(F203/65)+(S203/2000))*2000/4+((E203/700000)*(F203/65))*2000/2)*(H203/0.75))/(2000/4+((S203/2000))*2000/2+((E203/700000)*(F203/65)*(S203/2000))*2000)*(H203/0.75)*6500)/J203,-1),"")</f>
        <v/>
      </c>
    </row>
    <row r="204">
      <c r="B204" s="7" t="inlineStr">
        <is>
          <t xml:space="preserve">  ↳ ra120mm</t>
        </is>
      </c>
      <c r="C204" s="7" t="inlineStr">
        <is>
          <t>Armament@PRIMARY</t>
        </is>
      </c>
      <c r="L204" s="6" t="n">
        <v>24000</v>
      </c>
      <c r="M204" s="6" t="n">
        <v>95</v>
      </c>
      <c r="N204" s="6" t="n">
        <v>2</v>
      </c>
      <c r="O204" s="6" t="n">
        <v>8</v>
      </c>
      <c r="P204" s="6" t="n">
        <v>6412</v>
      </c>
      <c r="Q204" s="6" t="n">
        <v>1</v>
      </c>
      <c r="R204">
        <f>M204+IF(MAX(N204-1,0)&gt;0,IF(ISBLANK(O204),5*MAX(N204-1,0),IF(ISNUMBER(O204),O204*MAX(N204-1,0),SUM(IFERROR(VALUE(TEXTSPLIT(O204,",")),0)))),0)</f>
        <v/>
      </c>
      <c r="S204">
        <f>IFERROR(L204*MAX(N204,1)/R204*IF(ISBLANK(K203),1,K203),0)</f>
        <v/>
      </c>
      <c r="AB204" s="7" t="inlineStr">
        <is>
          <t>^HeavyCannon, ^MediumCannon, ^ShrapnelWeapon, ^TankDestroyerCannon</t>
        </is>
      </c>
    </row>
    <row r="205">
      <c r="B205" s="7" t="inlineStr">
        <is>
          <t xml:space="preserve">  ↳ ra120mmTargetingComputer</t>
        </is>
      </c>
      <c r="C205" s="7" t="inlineStr">
        <is>
          <t>Armament@PRIMARYTargetingComputer</t>
        </is>
      </c>
      <c r="L205" s="6" t="n">
        <v>24000</v>
      </c>
      <c r="M205" s="6" t="n">
        <v>95</v>
      </c>
      <c r="N205" s="6" t="n">
        <v>2</v>
      </c>
      <c r="O205" s="6" t="n">
        <v>8</v>
      </c>
      <c r="P205" s="6" t="n">
        <v>6412</v>
      </c>
      <c r="Q205" s="6" t="n">
        <v>1</v>
      </c>
      <c r="R205">
        <f>M205+IF(MAX(N205-1,0)&gt;0,IF(ISBLANK(O205),5*MAX(N205-1,0),IF(ISNUMBER(O205),O205*MAX(N205-1,0),SUM(IFERROR(VALUE(TEXTSPLIT(O205,",")),0)))),0)</f>
        <v/>
      </c>
      <c r="S205">
        <f>IFERROR(L205*MAX(N205,1)/R205*IF(ISBLANK(K203),1,K203),0)</f>
        <v/>
      </c>
      <c r="AB205" s="7" t="inlineStr">
        <is>
          <t>ra120mm</t>
        </is>
      </c>
    </row>
    <row r="206">
      <c r="B206" s="7" t="inlineStr">
        <is>
          <t xml:space="preserve">  ↳ ra120mmThermobaric</t>
        </is>
      </c>
      <c r="C206" s="7" t="inlineStr">
        <is>
          <t>Armament@Upgrade</t>
        </is>
      </c>
      <c r="L206" s="6" t="n">
        <v>24000</v>
      </c>
      <c r="M206" s="6" t="n">
        <v>95</v>
      </c>
      <c r="N206" s="6" t="n">
        <v>2</v>
      </c>
      <c r="O206" s="6" t="n">
        <v>8</v>
      </c>
      <c r="P206" s="6" t="n">
        <v>6412</v>
      </c>
      <c r="Q206" s="6" t="n">
        <v>1</v>
      </c>
      <c r="R206">
        <f>M206+IF(MAX(N206-1,0)&gt;0,IF(ISBLANK(O206),5*MAX(N206-1,0),IF(ISNUMBER(O206),O206*MAX(N206-1,0),SUM(IFERROR(VALUE(TEXTSPLIT(O206,",")),0)))),0)</f>
        <v/>
      </c>
      <c r="S206">
        <f>IFERROR(L206*MAX(N206,1)/R206*IF(ISBLANK(K203),1,K203),0)</f>
        <v/>
      </c>
      <c r="AB206" s="7" t="inlineStr">
        <is>
          <t>^Warhead_CannonHE_Heavy, ^Warhead_Flame_Heavy, ^Warhead_Demolition_Heavy</t>
        </is>
      </c>
    </row>
    <row r="207">
      <c r="B207" s="7" t="inlineStr">
        <is>
          <t xml:space="preserve">  ↳ ra120mmThermobaricTargetingComputer</t>
        </is>
      </c>
      <c r="C207" s="7" t="inlineStr">
        <is>
          <t>Armament@UpgradeTargetingComputer</t>
        </is>
      </c>
      <c r="L207" s="6" t="n">
        <v>24000</v>
      </c>
      <c r="M207" s="6" t="n">
        <v>95</v>
      </c>
      <c r="N207" s="6" t="n">
        <v>2</v>
      </c>
      <c r="O207" s="6" t="n">
        <v>8</v>
      </c>
      <c r="P207" s="6" t="n">
        <v>6412</v>
      </c>
      <c r="Q207" s="6" t="n">
        <v>1</v>
      </c>
      <c r="R207">
        <f>M207+IF(MAX(N207-1,0)&gt;0,IF(ISBLANK(O207),5*MAX(N207-1,0),IF(ISNUMBER(O207),O207*MAX(N207-1,0),SUM(IFERROR(VALUE(TEXTSPLIT(O207,",")),0)))),0)</f>
        <v/>
      </c>
      <c r="S207">
        <f>IFERROR(L207*MAX(N207,1)/R207*IF(ISBLANK(K203),1,K203),0)</f>
        <v/>
      </c>
      <c r="AB207" s="7" t="inlineStr">
        <is>
          <t>^Warhead_CannonHE_Heavy, ^Warhead_Flame_Heavy, ^Warhead_Demolition_Heavy</t>
        </is>
      </c>
    </row>
    <row r="208">
      <c r="B208" s="7" t="inlineStr">
        <is>
          <t xml:space="preserve">  ↳ MammothTusk</t>
        </is>
      </c>
      <c r="C208" s="7" t="inlineStr">
        <is>
          <t>Armament@SECONDARY</t>
        </is>
      </c>
      <c r="L208" s="6" t="n">
        <v>24000</v>
      </c>
      <c r="M208" s="6" t="n">
        <v>91</v>
      </c>
      <c r="N208" s="6" t="n">
        <v>2</v>
      </c>
      <c r="O208" s="6" t="n">
        <v>12</v>
      </c>
      <c r="P208" s="6" t="n">
        <v>6412</v>
      </c>
      <c r="Q208" s="6" t="n">
        <v>1.25</v>
      </c>
      <c r="R208">
        <f>M208+IF(MAX(N208-1,0)&gt;0,IF(ISBLANK(O208),5*MAX(N208-1,0),IF(ISNUMBER(O208),O208*MAX(N208-1,0),SUM(IFERROR(VALUE(TEXTSPLIT(O208,",")),0)))),0)</f>
        <v/>
      </c>
      <c r="S208">
        <f>IFERROR(L208*MAX(N208,1)/R208*IF(ISBLANK(K203),1,K203),0)</f>
        <v/>
      </c>
      <c r="AB208" s="7" t="inlineStr">
        <is>
          <t>^Warhead_MissileHE_Heavy</t>
        </is>
      </c>
    </row>
    <row r="209">
      <c r="B209" s="7" t="inlineStr">
        <is>
          <t xml:space="preserve">  ↳ MammothTuskTargetingComputer</t>
        </is>
      </c>
      <c r="C209" s="7" t="inlineStr">
        <is>
          <t>Armament@SECONDARYTargetingComputer</t>
        </is>
      </c>
      <c r="L209" s="6" t="n">
        <v>24000</v>
      </c>
      <c r="M209" s="6" t="n">
        <v>91</v>
      </c>
      <c r="N209" s="6" t="n">
        <v>2</v>
      </c>
      <c r="O209" s="6" t="n">
        <v>12</v>
      </c>
      <c r="P209" s="6" t="n">
        <v>6412</v>
      </c>
      <c r="Q209" s="6" t="n">
        <v>1.25</v>
      </c>
      <c r="R209">
        <f>M209+IF(MAX(N209-1,0)&gt;0,IF(ISBLANK(O209),5*MAX(N209-1,0),IF(ISNUMBER(O209),O209*MAX(N209-1,0),SUM(IFERROR(VALUE(TEXTSPLIT(O209,",")),0)))),0)</f>
        <v/>
      </c>
      <c r="S209">
        <f>IFERROR(L209*MAX(N209,1)/R209*IF(ISBLANK(K203),1,K203),0)</f>
        <v/>
      </c>
      <c r="AB209" s="7" t="inlineStr">
        <is>
          <t>^Warhead_MissileHE_Heavy</t>
        </is>
      </c>
    </row>
    <row r="210">
      <c r="B210" s="7" t="inlineStr">
        <is>
          <t xml:space="preserve">  ↳ MammothTuskTesla</t>
        </is>
      </c>
      <c r="C210" s="7" t="inlineStr">
        <is>
          <t>Armament@TeslaSECONDARY</t>
        </is>
      </c>
      <c r="L210" s="6" t="n">
        <v>32000</v>
      </c>
      <c r="M210" s="6" t="n">
        <v>91</v>
      </c>
      <c r="N210" s="6" t="n">
        <v>2</v>
      </c>
      <c r="O210" s="6" t="n">
        <v>12</v>
      </c>
      <c r="P210" s="6" t="n">
        <v>6412</v>
      </c>
      <c r="Q210" s="6" t="n">
        <v>1</v>
      </c>
      <c r="R210">
        <f>M210+IF(MAX(N210-1,0)&gt;0,IF(ISBLANK(O210),5*MAX(N210-1,0),IF(ISNUMBER(O210),O210*MAX(N210-1,0),SUM(IFERROR(VALUE(TEXTSPLIT(O210,",")),0)))),0)</f>
        <v/>
      </c>
      <c r="S210">
        <f>IFERROR(L210*MAX(N210,1)/R210*IF(ISBLANK(K203),1,K203),0)</f>
        <v/>
      </c>
      <c r="AB210" s="7" t="inlineStr">
        <is>
          <t>^Grenade, ^LightFlameWeapon, ^TeslaWeapon, ^HeavyMissile, ^Effect_Tesla_Impact_RA2</t>
        </is>
      </c>
    </row>
    <row r="211">
      <c r="B211" s="7" t="inlineStr">
        <is>
          <t xml:space="preserve">  ↳ MammothTuskTeslaTargetingComputer</t>
        </is>
      </c>
      <c r="C211" s="7" t="inlineStr">
        <is>
          <t>Armament@TeslaSECONDARYTargetingComputer</t>
        </is>
      </c>
      <c r="L211" s="6" t="n">
        <v>32000</v>
      </c>
      <c r="M211" s="6" t="n">
        <v>91</v>
      </c>
      <c r="N211" s="6" t="n">
        <v>2</v>
      </c>
      <c r="O211" s="6" t="n">
        <v>12</v>
      </c>
      <c r="P211" s="6" t="n">
        <v>6412</v>
      </c>
      <c r="Q211" s="6" t="n">
        <v>1</v>
      </c>
      <c r="R211">
        <f>M211+IF(MAX(N211-1,0)&gt;0,IF(ISBLANK(O211),5*MAX(N211-1,0),IF(ISNUMBER(O211),O211*MAX(N211-1,0),SUM(IFERROR(VALUE(TEXTSPLIT(O211,",")),0)))),0)</f>
        <v/>
      </c>
      <c r="S211">
        <f>IFERROR(L211*MAX(N211,1)/R211*IF(ISBLANK(K203),1,K203),0)</f>
        <v/>
      </c>
      <c r="AB211" s="7" t="inlineStr">
        <is>
          <t>MammothTuskTesla</t>
        </is>
      </c>
    </row>
    <row r="212">
      <c r="B212" s="7" t="inlineStr">
        <is>
          <t xml:space="preserve">  ↳ MammothTuskThermobaric</t>
        </is>
      </c>
      <c r="C212" s="7" t="inlineStr">
        <is>
          <t>Armament@NukeSECONDARY</t>
        </is>
      </c>
      <c r="L212" s="6" t="n">
        <v>32000</v>
      </c>
      <c r="M212" s="6" t="n">
        <v>91</v>
      </c>
      <c r="N212" s="6" t="n">
        <v>2</v>
      </c>
      <c r="O212" s="6" t="n">
        <v>12</v>
      </c>
      <c r="P212" s="6" t="n">
        <v>6412</v>
      </c>
      <c r="Q212" s="6" t="n">
        <v>1</v>
      </c>
      <c r="R212">
        <f>M212+IF(MAX(N212-1,0)&gt;0,IF(ISBLANK(O212),5*MAX(N212-1,0),IF(ISNUMBER(O212),O212*MAX(N212-1,0),SUM(IFERROR(VALUE(TEXTSPLIT(O212,",")),0)))),0)</f>
        <v/>
      </c>
      <c r="S212">
        <f>IFERROR(L212*MAX(N212,1)/R212*IF(ISBLANK(K203),1,K203),0)</f>
        <v/>
      </c>
      <c r="AB212" s="7" t="inlineStr">
        <is>
          <t>^LightFlameWeapon, ^MediumFlameWeapon, ^HeavyFlameWeapon, ^Grenade, ^FlakWeapon, ^ShrapnelWeapon, ^MediumMissile, ^HeavyMissile</t>
        </is>
      </c>
    </row>
    <row r="213">
      <c r="B213" s="7" t="inlineStr">
        <is>
          <t xml:space="preserve">  ↳ MammothTuskThermobaricTargetingComputer</t>
        </is>
      </c>
      <c r="C213" s="7" t="inlineStr">
        <is>
          <t>Armament@NukeSECONDARYTargetingComputer</t>
        </is>
      </c>
      <c r="L213" s="6" t="n">
        <v>32000</v>
      </c>
      <c r="M213" s="6" t="n">
        <v>91</v>
      </c>
      <c r="N213" s="6" t="n">
        <v>2</v>
      </c>
      <c r="O213" s="6" t="n">
        <v>12</v>
      </c>
      <c r="P213" s="6" t="n">
        <v>6412</v>
      </c>
      <c r="Q213" s="6" t="n">
        <v>1</v>
      </c>
      <c r="R213">
        <f>M213+IF(MAX(N213-1,0)&gt;0,IF(ISBLANK(O213),5*MAX(N213-1,0),IF(ISNUMBER(O213),O213*MAX(N213-1,0),SUM(IFERROR(VALUE(TEXTSPLIT(O213,",")),0)))),0)</f>
        <v/>
      </c>
      <c r="S213">
        <f>IFERROR(L213*MAX(N213,1)/R213*IF(ISBLANK(K203),1,K203),0)</f>
        <v/>
      </c>
      <c r="AB213" s="7" t="inlineStr">
        <is>
          <t>MammothTuskThermobaric</t>
        </is>
      </c>
    </row>
    <row r="214">
      <c r="A214" t="inlineStr">
        <is>
          <t>redalert</t>
        </is>
      </c>
      <c r="B214" t="inlineStr">
        <is>
          <t>ra1_soviets_siegemammothtank</t>
        </is>
      </c>
      <c r="C214" t="inlineStr">
        <is>
          <t>Siege Mammoth Tank</t>
        </is>
      </c>
      <c r="D214" s="6" t="inlineStr">
        <is>
          <t>HighTechTank</t>
        </is>
      </c>
      <c r="E214" s="6" t="n">
        <v>625000</v>
      </c>
      <c r="F214" s="6" t="n">
        <v>45</v>
      </c>
      <c r="G214" t="inlineStr">
        <is>
          <t>Superheavy</t>
        </is>
      </c>
      <c r="H214" s="6" t="n">
        <v>0.4925</v>
      </c>
      <c r="I214" s="6" t="n">
        <v>1</v>
      </c>
      <c r="J214" s="6" t="n">
        <v>1</v>
      </c>
      <c r="P214">
        <f>MAX(P215,P216,P217,P218,P219,P220,P221,P222)</f>
        <v/>
      </c>
      <c r="S214">
        <f>S215+S216+S217+S218+S219+S220+S221+S222</f>
        <v/>
      </c>
      <c r="T214">
        <f>(E214/100000+F214/100+(P214/1000)*J214/5+S214/200)*200*I214*H214</f>
        <v/>
      </c>
      <c r="U214">
        <f>((E214*F214/25000)+((P214/1000)*J214*S214/2.5))*I214*H214</f>
        <v/>
      </c>
      <c r="V214">
        <f>(E214*F214*(P214/1000)*J214*S214*I214*H214)/12500000</f>
        <v/>
      </c>
      <c r="W214">
        <f>IFERROR((((E214/700000)+(F214/65)+(S214/2000)+((P214/6500)*J214))*2000/4+(((E214/700000)*(F214/65))+(((P214/6500)*J214)*(S214/2000)))*2000/2+((E214/700000)*(F214/65)*((P214/6500)*J214)*(S214/2000))*2000)*(H214/0.75)/3,"")</f>
        <v/>
      </c>
      <c r="X214" s="6" t="n">
        <v>4000</v>
      </c>
      <c r="Y214">
        <f>IFERROR(W214-X214,"")</f>
        <v/>
      </c>
      <c r="Z214">
        <f>IFERROR(ABS(Y214)/MAX(X214,1),"")</f>
        <v/>
      </c>
      <c r="AA214">
        <f>IFERROR(ROUND(((3*X214-(((E214/700000)+(F214/65)+(S214/2000))*2000/4+((E214/700000)*(F214/65))*2000/2)*(H214/0.75))/(2000/4+((S214/2000))*2000/2+((E214/700000)*(F214/65)*(S214/2000))*2000)*(H214/0.75)*6500)/J214,-1),"")</f>
        <v/>
      </c>
    </row>
    <row r="215">
      <c r="B215" s="7" t="inlineStr">
        <is>
          <t xml:space="preserve">  ↳ ra120mm2</t>
        </is>
      </c>
      <c r="C215" s="7" t="inlineStr">
        <is>
          <t>Armament@PRIMARY</t>
        </is>
      </c>
      <c r="L215" s="6" t="n">
        <v>48000</v>
      </c>
      <c r="M215" s="6" t="n">
        <v>125</v>
      </c>
      <c r="N215" s="6" t="n">
        <v>2</v>
      </c>
      <c r="O215" s="6" t="n">
        <v>10</v>
      </c>
      <c r="P215" s="6" t="n">
        <v>6666</v>
      </c>
      <c r="Q215" s="6" t="n">
        <v>1.25</v>
      </c>
      <c r="R215">
        <f>M215+IF(MAX(N215-1,0)&gt;0,IF(ISBLANK(O215),5*MAX(N215-1,0),IF(ISNUMBER(O215),O215*MAX(N215-1,0),SUM(IFERROR(VALUE(TEXTSPLIT(O215,",")),0)))),0)</f>
        <v/>
      </c>
      <c r="S215">
        <f>IFERROR(L215*MAX(N215,1)/R215*IF(ISBLANK(K214),1,K214),0)</f>
        <v/>
      </c>
      <c r="AB215" s="7" t="inlineStr">
        <is>
          <t>^Warhead_CannonHE_Heavy</t>
        </is>
      </c>
    </row>
    <row r="216">
      <c r="B216" s="7" t="inlineStr">
        <is>
          <t xml:space="preserve">  ↳ ra120mm2TargetingComputer</t>
        </is>
      </c>
      <c r="C216" s="7" t="inlineStr">
        <is>
          <t>Armament@PRIMARYTargetingComputer</t>
        </is>
      </c>
      <c r="L216" s="6" t="n">
        <v>48000</v>
      </c>
      <c r="M216" s="6" t="n">
        <v>105</v>
      </c>
      <c r="N216" s="6" t="n">
        <v>2</v>
      </c>
      <c r="O216" s="6" t="n">
        <v>10</v>
      </c>
      <c r="P216" s="6" t="n">
        <v>6666</v>
      </c>
      <c r="Q216" s="6" t="n">
        <v>1.25</v>
      </c>
      <c r="R216">
        <f>M216+IF(MAX(N216-1,0)&gt;0,IF(ISBLANK(O216),5*MAX(N216-1,0),IF(ISNUMBER(O216),O216*MAX(N216-1,0),SUM(IFERROR(VALUE(TEXTSPLIT(O216,",")),0)))),0)</f>
        <v/>
      </c>
      <c r="S216">
        <f>IFERROR(L216*MAX(N216,1)/R216*IF(ISBLANK(K214),1,K214),0)</f>
        <v/>
      </c>
      <c r="AB216" s="7" t="inlineStr">
        <is>
          <t>^Warhead_CannonHE_Heavy</t>
        </is>
      </c>
    </row>
    <row r="217">
      <c r="B217" s="7" t="inlineStr">
        <is>
          <t xml:space="preserve">  ↳ ra120mm2Thermobaric</t>
        </is>
      </c>
      <c r="C217" s="7" t="inlineStr">
        <is>
          <t>Armament@Upgrade</t>
        </is>
      </c>
      <c r="L217" s="6" t="n">
        <v>48000</v>
      </c>
      <c r="M217" s="6" t="n">
        <v>125</v>
      </c>
      <c r="N217" s="6" t="n">
        <v>2</v>
      </c>
      <c r="O217" s="6" t="n">
        <v>10</v>
      </c>
      <c r="P217" s="6" t="n">
        <v>6666</v>
      </c>
      <c r="Q217" s="6" t="n">
        <v>1</v>
      </c>
      <c r="R217">
        <f>M217+IF(MAX(N217-1,0)&gt;0,IF(ISBLANK(O217),5*MAX(N217-1,0),IF(ISNUMBER(O217),O217*MAX(N217-1,0),SUM(IFERROR(VALUE(TEXTSPLIT(O217,",")),0)))),0)</f>
        <v/>
      </c>
      <c r="S217">
        <f>IFERROR(L217*MAX(N217,1)/R217*IF(ISBLANK(K214),1,K214),0)</f>
        <v/>
      </c>
      <c r="AB217" s="7" t="inlineStr">
        <is>
          <t>^Warhead_CannonHE_Heavy, ^Warhead_Flame_Heavy, ^Warhead_Demolition_Heavy</t>
        </is>
      </c>
    </row>
    <row r="218">
      <c r="B218" s="7" t="inlineStr">
        <is>
          <t xml:space="preserve">  ↳ ra120mm2ThermobaricTargetingComputer</t>
        </is>
      </c>
      <c r="C218" s="7" t="inlineStr">
        <is>
          <t>Armament@UpgradeTargetingComputer</t>
        </is>
      </c>
      <c r="L218" s="6" t="n">
        <v>48000</v>
      </c>
      <c r="M218" s="6" t="n">
        <v>105</v>
      </c>
      <c r="N218" s="6" t="n">
        <v>2</v>
      </c>
      <c r="O218" s="6" t="n">
        <v>10</v>
      </c>
      <c r="P218" s="6" t="n">
        <v>6666</v>
      </c>
      <c r="Q218" s="6" t="n">
        <v>1</v>
      </c>
      <c r="R218">
        <f>M218+IF(MAX(N218-1,0)&gt;0,IF(ISBLANK(O218),5*MAX(N218-1,0),IF(ISNUMBER(O218),O218*MAX(N218-1,0),SUM(IFERROR(VALUE(TEXTSPLIT(O218,",")),0)))),0)</f>
        <v/>
      </c>
      <c r="S218">
        <f>IFERROR(L218*MAX(N218,1)/R218*IF(ISBLANK(K214),1,K214),0)</f>
        <v/>
      </c>
      <c r="AB218" s="7" t="inlineStr">
        <is>
          <t>^Warhead_CannonHE_Heavy, ^Warhead_Flame_Heavy, ^Warhead_Demolition_Heavy</t>
        </is>
      </c>
    </row>
    <row r="219">
      <c r="B219" s="7" t="inlineStr">
        <is>
          <t xml:space="preserve">  ↳ MammothTusk2</t>
        </is>
      </c>
      <c r="C219" s="7" t="inlineStr">
        <is>
          <t>Armament@SECONDARY</t>
        </is>
      </c>
      <c r="L219" s="6" t="n">
        <v>48000</v>
      </c>
      <c r="M219" s="6" t="n">
        <v>125</v>
      </c>
      <c r="N219" s="6" t="n">
        <v>2</v>
      </c>
      <c r="O219" s="6" t="n">
        <v>10</v>
      </c>
      <c r="P219" s="6" t="n">
        <v>6666</v>
      </c>
      <c r="Q219" s="6" t="n">
        <v>1</v>
      </c>
      <c r="R219">
        <f>M219+IF(MAX(N219-1,0)&gt;0,IF(ISBLANK(O219),5*MAX(N219-1,0),IF(ISNUMBER(O219),O219*MAX(N219-1,0),SUM(IFERROR(VALUE(TEXTSPLIT(O219,",")),0)))),0)</f>
        <v/>
      </c>
      <c r="S219">
        <f>IFERROR(L219*MAX(N219,1)/R219*IF(ISBLANK(K214),1,K214),0)</f>
        <v/>
      </c>
      <c r="AB219" s="7" t="inlineStr">
        <is>
          <t>^LightFlameWeapon, ^MediumChemicalWeapon, ^HeavyMissile, ^ImpactGlow</t>
        </is>
      </c>
    </row>
    <row r="220">
      <c r="B220" s="7" t="inlineStr">
        <is>
          <t xml:space="preserve">  ↳ MammothTusk2TargetingComputer</t>
        </is>
      </c>
      <c r="C220" s="7" t="inlineStr">
        <is>
          <t>Armament@SECONDARYTargetingComputer</t>
        </is>
      </c>
      <c r="L220" s="6" t="n">
        <v>48000</v>
      </c>
      <c r="M220" s="6" t="n">
        <v>105</v>
      </c>
      <c r="N220" s="6" t="n">
        <v>2</v>
      </c>
      <c r="O220" s="6" t="n">
        <v>10</v>
      </c>
      <c r="P220" s="6" t="n">
        <v>6666</v>
      </c>
      <c r="Q220" s="6" t="n">
        <v>1</v>
      </c>
      <c r="R220">
        <f>M220+IF(MAX(N220-1,0)&gt;0,IF(ISBLANK(O220),5*MAX(N220-1,0),IF(ISNUMBER(O220),O220*MAX(N220-1,0),SUM(IFERROR(VALUE(TEXTSPLIT(O220,",")),0)))),0)</f>
        <v/>
      </c>
      <c r="S220">
        <f>IFERROR(L220*MAX(N220,1)/R220*IF(ISBLANK(K214),1,K214),0)</f>
        <v/>
      </c>
      <c r="AB220" s="7" t="inlineStr">
        <is>
          <t>MammothTusk2</t>
        </is>
      </c>
    </row>
    <row r="221">
      <c r="B221" s="7" t="inlineStr">
        <is>
          <t xml:space="preserve">  ↳ MammothTusk2Thermobaric</t>
        </is>
      </c>
      <c r="C221" s="7" t="inlineStr">
        <is>
          <t>Armament@UpgradeSECONDARY</t>
        </is>
      </c>
      <c r="L221" s="6" t="n">
        <v>48000</v>
      </c>
      <c r="M221" s="6" t="n">
        <v>125</v>
      </c>
      <c r="N221" s="6" t="n">
        <v>2</v>
      </c>
      <c r="O221" s="6" t="n">
        <v>10</v>
      </c>
      <c r="P221" s="6" t="n">
        <v>6666</v>
      </c>
      <c r="Q221" s="6" t="n">
        <v>1</v>
      </c>
      <c r="R221">
        <f>M221+IF(MAX(N221-1,0)&gt;0,IF(ISBLANK(O221),5*MAX(N221-1,0),IF(ISNUMBER(O221),O221*MAX(N221-1,0),SUM(IFERROR(VALUE(TEXTSPLIT(O221,",")),0)))),0)</f>
        <v/>
      </c>
      <c r="S221">
        <f>IFERROR(L221*MAX(N221,1)/R221*IF(ISBLANK(K214),1,K214),0)</f>
        <v/>
      </c>
      <c r="AB221" s="7" t="inlineStr">
        <is>
          <t>^HeavyFlameWeapon, ^HeavyBomb, ^HeavyMissile</t>
        </is>
      </c>
    </row>
    <row r="222">
      <c r="B222" s="7" t="inlineStr">
        <is>
          <t xml:space="preserve">  ↳ MammothTusk2ThermobaricTargetingComputer</t>
        </is>
      </c>
      <c r="C222" s="7" t="inlineStr">
        <is>
          <t>Armament@UpgradeSECONDARYTargetingComputer</t>
        </is>
      </c>
      <c r="L222" s="6" t="n">
        <v>48000</v>
      </c>
      <c r="M222" s="6" t="n">
        <v>105</v>
      </c>
      <c r="N222" s="6" t="n">
        <v>2</v>
      </c>
      <c r="O222" s="6" t="n">
        <v>10</v>
      </c>
      <c r="P222" s="6" t="n">
        <v>6666</v>
      </c>
      <c r="Q222" s="6" t="n">
        <v>1</v>
      </c>
      <c r="R222">
        <f>M222+IF(MAX(N222-1,0)&gt;0,IF(ISBLANK(O222),5*MAX(N222-1,0),IF(ISNUMBER(O222),O222*MAX(N222-1,0),SUM(IFERROR(VALUE(TEXTSPLIT(O222,",")),0)))),0)</f>
        <v/>
      </c>
      <c r="S222">
        <f>IFERROR(L222*MAX(N222,1)/R222*IF(ISBLANK(K214),1,K214),0)</f>
        <v/>
      </c>
      <c r="AB222" s="7" t="inlineStr">
        <is>
          <t>MammothTusk2Thermobaric</t>
        </is>
      </c>
    </row>
    <row r="223">
      <c r="A223" t="inlineStr">
        <is>
          <t>tiberiansun</t>
        </is>
      </c>
      <c r="B223" t="inlineStr">
        <is>
          <t>cabal_avatar</t>
        </is>
      </c>
      <c r="C223" t="inlineStr">
        <is>
          <t>Avatar</t>
        </is>
      </c>
      <c r="D223" s="6" t="inlineStr">
        <is>
          <t>HighTechTank</t>
        </is>
      </c>
      <c r="E223" s="6" t="n">
        <v>1000000</v>
      </c>
      <c r="F223" s="6" t="n">
        <v>25</v>
      </c>
      <c r="G223" t="inlineStr">
        <is>
          <t>Superheavy</t>
        </is>
      </c>
      <c r="H223" s="6" t="n">
        <v>0.75</v>
      </c>
      <c r="I223" s="6" t="n">
        <v>1</v>
      </c>
      <c r="J223" s="6" t="n">
        <v>1</v>
      </c>
      <c r="P223">
        <f>MAX(P224,P225)</f>
        <v/>
      </c>
      <c r="S223">
        <f>S224+S225</f>
        <v/>
      </c>
      <c r="T223">
        <f>(E223/100000+F223/100+(P223/1000)*J223/5+S223/200)*200*I223*H223</f>
        <v/>
      </c>
      <c r="U223">
        <f>((E223*F223/25000)+((P223/1000)*J223*S223/2.5))*I223*H223</f>
        <v/>
      </c>
      <c r="V223">
        <f>(E223*F223*(P223/1000)*J223*S223*I223*H223)/12500000</f>
        <v/>
      </c>
      <c r="W223">
        <f>IFERROR((((E223/700000)+(F223/65)+(S223/2000)+((P223/6500)*J223))*2000/4+(((E223/700000)*(F223/65))+(((P223/6500)*J223)*(S223/2000)))*2000/2+((E223/700000)*(F223/65)*((P223/6500)*J223)*(S223/2000))*2000)*(H223/0.75)/3,"")</f>
        <v/>
      </c>
      <c r="X223" s="6" t="n">
        <v>7500</v>
      </c>
      <c r="Y223">
        <f>IFERROR(W223-X223,"")</f>
        <v/>
      </c>
      <c r="Z223">
        <f>IFERROR(ABS(Y223)/MAX(X223,1),"")</f>
        <v/>
      </c>
      <c r="AA223">
        <f>IFERROR(ROUND(((3*X223-(((E223/700000)+(F223/65)+(S223/2000))*2000/4+((E223/700000)*(F223/65))*2000/2)*(H223/0.75))/(2000/4+((S223/2000))*2000/2+((E223/700000)*(F223/65)*(S223/2000))*2000)*(H223/0.75)*6500)/J223,-1),"")</f>
        <v/>
      </c>
    </row>
    <row r="224">
      <c r="B224" s="7" t="inlineStr">
        <is>
          <t xml:space="preserve">  ↳ CabalAvatarLaser</t>
        </is>
      </c>
      <c r="C224" s="7" t="inlineStr">
        <is>
          <t>Armament@PRIMARY</t>
        </is>
      </c>
      <c r="L224" s="6" t="n">
        <v>80000</v>
      </c>
      <c r="M224" s="6" t="n">
        <v>70</v>
      </c>
      <c r="N224" s="6" t="n">
        <v>1</v>
      </c>
      <c r="O224" s="6" t="n"/>
      <c r="P224" s="6" t="n">
        <v>6332</v>
      </c>
      <c r="Q224" s="6" t="n">
        <v>1.25</v>
      </c>
      <c r="R224">
        <f>M224+IF(MAX(N224-1,0)&gt;0,IF(ISBLANK(O224),5*MAX(N224-1,0),IF(ISNUMBER(O224),O224*MAX(N224-1,0),SUM(IFERROR(VALUE(TEXTSPLIT(O224,",")),0)))),0)</f>
        <v/>
      </c>
      <c r="S224">
        <f>IFERROR(L224*MAX(N224,1)/R224*IF(ISBLANK(K223),1,K223),0)</f>
        <v/>
      </c>
      <c r="AB224" s="7" t="inlineStr">
        <is>
          <t>^Warhead_Laser_Heavy</t>
        </is>
      </c>
    </row>
    <row r="225">
      <c r="B225" s="7" t="inlineStr">
        <is>
          <t xml:space="preserve">  ↳ CabalAvatarLaser</t>
        </is>
      </c>
      <c r="C225" s="7" t="inlineStr">
        <is>
          <t>Armament@RIGHT</t>
        </is>
      </c>
      <c r="L225" s="6" t="n">
        <v>80000</v>
      </c>
      <c r="M225" s="6" t="n">
        <v>70</v>
      </c>
      <c r="N225" s="6" t="n">
        <v>1</v>
      </c>
      <c r="O225" s="6" t="n"/>
      <c r="P225" s="6" t="n">
        <v>6332</v>
      </c>
      <c r="Q225" s="6" t="n">
        <v>1.25</v>
      </c>
      <c r="R225">
        <f>M225+IF(MAX(N225-1,0)&gt;0,IF(ISBLANK(O225),5*MAX(N225-1,0),IF(ISNUMBER(O225),O225*MAX(N225-1,0),SUM(IFERROR(VALUE(TEXTSPLIT(O225,",")),0)))),0)</f>
        <v/>
      </c>
      <c r="S225">
        <f>IFERROR(L225*MAX(N225,1)/R225*IF(ISBLANK(K223),1,K223),0)</f>
        <v/>
      </c>
      <c r="AB225" s="7" t="inlineStr">
        <is>
          <t>^Warhead_Laser_Heavy</t>
        </is>
      </c>
    </row>
    <row r="226">
      <c r="A226" t="inlineStr">
        <is>
          <t>tiberiansun</t>
        </is>
      </c>
      <c r="B226" t="inlineStr">
        <is>
          <t>ts_nod_stealthtank</t>
        </is>
      </c>
      <c r="C226" t="inlineStr">
        <is>
          <t>Stealth Tank</t>
        </is>
      </c>
      <c r="D226" s="6" t="inlineStr">
        <is>
          <t>HighTechTank</t>
        </is>
      </c>
      <c r="E226" s="6" t="n">
        <v>80000</v>
      </c>
      <c r="F226" s="6" t="n">
        <v>100</v>
      </c>
      <c r="G226" t="inlineStr">
        <is>
          <t>Superheavy</t>
        </is>
      </c>
      <c r="H226" s="6" t="n">
        <v>0.642</v>
      </c>
      <c r="I226" s="6" t="n">
        <v>1</v>
      </c>
      <c r="J226" s="6" t="n">
        <v>1</v>
      </c>
      <c r="P226">
        <f>MAX(P227,P228)</f>
        <v/>
      </c>
      <c r="S226">
        <f>S227+S228</f>
        <v/>
      </c>
      <c r="T226">
        <f>(E226/100000+F226/100+(P226/1000)*J226/5+S226/200)*200*I226*H226</f>
        <v/>
      </c>
      <c r="U226">
        <f>((E226*F226/25000)+((P226/1000)*J226*S226/2.5))*I226*H226</f>
        <v/>
      </c>
      <c r="V226">
        <f>(E226*F226*(P226/1000)*J226*S226*I226*H226)/12500000</f>
        <v/>
      </c>
      <c r="W226">
        <f>IFERROR((((E226/700000)+(F226/65)+(S226/2000)+((P226/6500)*J226))*2000/4+(((E226/700000)*(F226/65))+(((P226/6500)*J226)*(S226/2000)))*2000/2+((E226/700000)*(F226/65)*((P226/6500)*J226)*(S226/2000))*2000)*(H226/0.75)/3,"")</f>
        <v/>
      </c>
      <c r="X226" s="6" t="n">
        <v>1750</v>
      </c>
      <c r="Y226">
        <f>IFERROR(W226-X226,"")</f>
        <v/>
      </c>
      <c r="Z226">
        <f>IFERROR(ABS(Y226)/MAX(X226,1),"")</f>
        <v/>
      </c>
      <c r="AA226">
        <f>IFERROR(ROUND(((3*X226-(((E226/700000)+(F226/65)+(S226/2000))*2000/4+((E226/700000)*(F226/65))*2000/2)*(H226/0.75))/(2000/4+((S226/2000))*2000/2+((E226/700000)*(F226/65)*(S226/2000))*2000)*(H226/0.75)*6500)/J226,-1),"")</f>
        <v/>
      </c>
    </row>
    <row r="227">
      <c r="B227" s="7" t="inlineStr">
        <is>
          <t xml:space="preserve">  ↳ TSStankTusk</t>
        </is>
      </c>
      <c r="C227" s="7" t="inlineStr">
        <is>
          <t>Armament@PRIMARY</t>
        </is>
      </c>
      <c r="L227" s="6" t="n">
        <v>20000</v>
      </c>
      <c r="M227" s="6" t="n">
        <v>60</v>
      </c>
      <c r="N227" s="6" t="n">
        <v>2</v>
      </c>
      <c r="O227" s="6" t="n">
        <v>2</v>
      </c>
      <c r="P227" s="6" t="n">
        <v>6385</v>
      </c>
      <c r="Q227" s="6" t="n">
        <v>1</v>
      </c>
      <c r="R227">
        <f>M227+IF(MAX(N227-1,0)&gt;0,IF(ISBLANK(O227),5*MAX(N227-1,0),IF(ISNUMBER(O227),O227*MAX(N227-1,0),SUM(IFERROR(VALUE(TEXTSPLIT(O227,",")),0)))),0)</f>
        <v/>
      </c>
      <c r="S227">
        <f>IFERROR(L227*MAX(N227,1)/R227*IF(ISBLANK(K226),1,K226),0)</f>
        <v/>
      </c>
      <c r="AB227" s="7" t="inlineStr">
        <is>
          <t>^Warhead_CannonHE_Medium, ^Warhead_MissileHE_Medium</t>
        </is>
      </c>
    </row>
    <row r="228">
      <c r="B228" s="7" t="inlineStr">
        <is>
          <t xml:space="preserve">  ↳ TSStankTibTusk</t>
        </is>
      </c>
      <c r="C228" s="7" t="inlineStr">
        <is>
          <t>Armament@UPGRADE</t>
        </is>
      </c>
      <c r="L228" s="6" t="n">
        <v>30000</v>
      </c>
      <c r="M228" s="6" t="n">
        <v>60</v>
      </c>
      <c r="N228" s="6" t="n">
        <v>2</v>
      </c>
      <c r="O228" s="6" t="n">
        <v>2</v>
      </c>
      <c r="P228" s="6" t="n">
        <v>6385</v>
      </c>
      <c r="Q228" s="6" t="n">
        <v>1</v>
      </c>
      <c r="R228">
        <f>M228+IF(MAX(N228-1,0)&gt;0,IF(ISBLANK(O228),5*MAX(N228-1,0),IF(ISNUMBER(O228),O228*MAX(N228-1,0),SUM(IFERROR(VALUE(TEXTSPLIT(O228,",")),0)))),0)</f>
        <v/>
      </c>
      <c r="S228">
        <f>IFERROR(L228*MAX(N228,1)/R228*IF(ISBLANK(K226),1,K226),0)</f>
        <v/>
      </c>
      <c r="AB228" s="7" t="inlineStr">
        <is>
          <t>^Warhead_CannonHE_Medium</t>
        </is>
      </c>
    </row>
    <row r="229">
      <c r="A229" t="inlineStr">
        <is>
          <t>tiberiansun</t>
        </is>
      </c>
      <c r="B229" t="inlineStr">
        <is>
          <t>forgotten_scoopertank</t>
        </is>
      </c>
      <c r="C229" t="inlineStr">
        <is>
          <t>actor_forgotten_scoopertank.name</t>
        </is>
      </c>
      <c r="D229" s="6" t="inlineStr">
        <is>
          <t>HighTechTank</t>
        </is>
      </c>
      <c r="E229" s="6" t="n">
        <v>250000</v>
      </c>
      <c r="F229" s="6" t="n">
        <v>65</v>
      </c>
      <c r="G229" t="inlineStr">
        <is>
          <t>Superheavy</t>
        </is>
      </c>
      <c r="H229" s="6" t="n">
        <v>0.7269</v>
      </c>
      <c r="I229" s="6" t="n">
        <v>1</v>
      </c>
      <c r="J229" s="6" t="n">
        <v>1</v>
      </c>
      <c r="P229">
        <f>MAX(P230,P231)</f>
        <v/>
      </c>
      <c r="S229">
        <f>S230+S231</f>
        <v/>
      </c>
      <c r="T229">
        <f>(E229/100000+F229/100+(P229/1000)*J229/5+S229/200)*200*I229*H229</f>
        <v/>
      </c>
      <c r="U229">
        <f>((E229*F229/25000)+((P229/1000)*J229*S229/2.5))*I229*H229</f>
        <v/>
      </c>
      <c r="V229">
        <f>(E229*F229*(P229/1000)*J229*S229*I229*H229)/12500000</f>
        <v/>
      </c>
      <c r="W229">
        <f>IFERROR((((E229/700000)+(F229/65)+(S229/2000)+((P229/6500)*J229))*2000/4+(((E229/700000)*(F229/65))+(((P229/6500)*J229)*(S229/2000)))*2000/2+((E229/700000)*(F229/65)*((P229/6500)*J229)*(S229/2000))*2000)*(H229/0.75)/3,"")</f>
        <v/>
      </c>
      <c r="X229" s="6" t="n">
        <v>2250</v>
      </c>
      <c r="Y229">
        <f>IFERROR(W229-X229,"")</f>
        <v/>
      </c>
      <c r="Z229">
        <f>IFERROR(ABS(Y229)/MAX(X229,1),"")</f>
        <v/>
      </c>
      <c r="AA229">
        <f>IFERROR(ROUND(((3*X229-(((E229/700000)+(F229/65)+(S229/2000))*2000/4+((E229/700000)*(F229/65))*2000/2)*(H229/0.75))/(2000/4+((S229/2000))*2000/2+((E229/700000)*(F229/65)*(S229/2000))*2000)*(H229/0.75)*6500)/J229,-1),"")</f>
        <v/>
      </c>
    </row>
    <row r="230">
      <c r="B230" s="7" t="inlineStr">
        <is>
          <t xml:space="preserve">  ↳ TSScoopDual</t>
        </is>
      </c>
      <c r="C230" s="7" t="inlineStr">
        <is>
          <t>Armament@PRIMARY</t>
        </is>
      </c>
      <c r="L230" s="6" t="n">
        <v>20000</v>
      </c>
      <c r="M230" s="6" t="n">
        <v>60</v>
      </c>
      <c r="N230" s="6" t="n">
        <v>2</v>
      </c>
      <c r="O230" s="6" t="n">
        <v>2</v>
      </c>
      <c r="P230" s="6" t="n">
        <v>6224</v>
      </c>
      <c r="Q230" s="6" t="n">
        <v>1</v>
      </c>
      <c r="R230">
        <f>M230+IF(MAX(N230-1,0)&gt;0,IF(ISBLANK(O230),5*MAX(N230-1,0),IF(ISNUMBER(O230),O230*MAX(N230-1,0),SUM(IFERROR(VALUE(TEXTSPLIT(O230,",")),0)))),0)</f>
        <v/>
      </c>
      <c r="S230">
        <f>IFERROR(L230*MAX(N230,1)/R230*IF(ISBLANK(K229),1,K229),0)</f>
        <v/>
      </c>
      <c r="AB230" s="7" t="inlineStr">
        <is>
          <t>^Warhead_CannonHE_Medium</t>
        </is>
      </c>
    </row>
    <row r="231">
      <c r="B231" s="7" t="inlineStr">
        <is>
          <t xml:space="preserve">  ↳ TSScoopDualChem</t>
        </is>
      </c>
      <c r="C231" s="7" t="inlineStr">
        <is>
          <t>Armament@UPGRADE</t>
        </is>
      </c>
      <c r="L231" s="6" t="n">
        <v>30000</v>
      </c>
      <c r="M231" s="6" t="n">
        <v>60</v>
      </c>
      <c r="N231" s="6" t="n">
        <v>2</v>
      </c>
      <c r="O231" s="6" t="n">
        <v>2</v>
      </c>
      <c r="P231" s="6" t="n">
        <v>6224</v>
      </c>
      <c r="Q231" s="6" t="n">
        <v>1</v>
      </c>
      <c r="R231">
        <f>M231+IF(MAX(N231-1,0)&gt;0,IF(ISBLANK(O231),5*MAX(N231-1,0),IF(ISNUMBER(O231),O231*MAX(N231-1,0),SUM(IFERROR(VALUE(TEXTSPLIT(O231,",")),0)))),0)</f>
        <v/>
      </c>
      <c r="S231">
        <f>IFERROR(L231*MAX(N231,1)/R231*IF(ISBLANK(K229),1,K229),0)</f>
        <v/>
      </c>
      <c r="AB231" s="7" t="inlineStr">
        <is>
          <t>^Warhead_CannonHE_Medium, ^Warhead_Chemical_Medium</t>
        </is>
      </c>
    </row>
    <row r="232">
      <c r="A232" t="inlineStr">
        <is>
          <t>redalert2</t>
        </is>
      </c>
      <c r="B232" t="inlineStr">
        <is>
          <t>ra2_allies_heavymiragetank</t>
        </is>
      </c>
      <c r="C232" t="inlineStr">
        <is>
          <t>Heavy Mirage Tank</t>
        </is>
      </c>
      <c r="D232" s="6" t="inlineStr">
        <is>
          <t>HighTechTank</t>
        </is>
      </c>
      <c r="E232" s="6" t="n">
        <v>240000</v>
      </c>
      <c r="F232" s="6" t="n">
        <v>60</v>
      </c>
      <c r="G232" t="inlineStr">
        <is>
          <t>Superheavy</t>
        </is>
      </c>
      <c r="H232" s="6" t="n">
        <v>0.75</v>
      </c>
      <c r="I232" s="6" t="n">
        <v>1</v>
      </c>
      <c r="J232" s="6" t="n">
        <v>1</v>
      </c>
      <c r="P232">
        <f>MAX(P233,P234)</f>
        <v/>
      </c>
      <c r="S232">
        <f>S233+S234</f>
        <v/>
      </c>
      <c r="T232">
        <f>(E232/100000+F232/100+(P232/1000)*J232/5+S232/200)*200*I232*H232</f>
        <v/>
      </c>
      <c r="U232">
        <f>((E232*F232/25000)+((P232/1000)*J232*S232/2.5))*I232*H232</f>
        <v/>
      </c>
      <c r="V232">
        <f>(E232*F232*(P232/1000)*J232*S232*I232*H232)/12500000</f>
        <v/>
      </c>
      <c r="W232">
        <f>IFERROR((((E232/700000)+(F232/65)+(S232/2000)+((P232/6500)*J232))*2000/4+(((E232/700000)*(F232/65))+(((P232/6500)*J232)*(S232/2000)))*2000/2+((E232/700000)*(F232/65)*((P232/6500)*J232)*(S232/2000))*2000)*(H232/0.75)/3,"")</f>
        <v/>
      </c>
      <c r="X232" s="6" t="n">
        <v>2000</v>
      </c>
      <c r="Y232">
        <f>IFERROR(W232-X232,"")</f>
        <v/>
      </c>
      <c r="Z232">
        <f>IFERROR(ABS(Y232)/MAX(X232,1),"")</f>
        <v/>
      </c>
      <c r="AA232">
        <f>IFERROR(ROUND(((3*X232-(((E232/700000)+(F232/65)+(S232/2000))*2000/4+((E232/700000)*(F232/65))*2000/2)*(H232/0.75))/(2000/4+((S232/2000))*2000/2+((E232/700000)*(F232/65)*(S232/2000))*2000)*(H232/0.75)*6500)/J232,-1),"")</f>
        <v/>
      </c>
    </row>
    <row r="233">
      <c r="B233" s="7" t="inlineStr">
        <is>
          <t xml:space="preserve">  ↳ RA2HeavyMirageGun</t>
        </is>
      </c>
      <c r="C233" s="7" t="inlineStr">
        <is>
          <t>Armament</t>
        </is>
      </c>
      <c r="L233" s="6" t="n">
        <v>32000</v>
      </c>
      <c r="M233" s="6" t="n">
        <v>51</v>
      </c>
      <c r="N233" s="6" t="n">
        <v>1</v>
      </c>
      <c r="O233" s="6" t="n"/>
      <c r="P233" s="6" t="n">
        <v>6112</v>
      </c>
      <c r="Q233" s="6" t="n">
        <v>0.75</v>
      </c>
      <c r="R233">
        <f>M233+IF(MAX(N233-1,0)&gt;0,IF(ISBLANK(O233),5*MAX(N233-1,0),IF(ISNUMBER(O233),O233*MAX(N233-1,0),SUM(IFERROR(VALUE(TEXTSPLIT(O233,",")),0)))),0)</f>
        <v/>
      </c>
      <c r="S233">
        <f>IFERROR(L233*MAX(N233,1)/R233*IF(ISBLANK(K232),1,K232),0)</f>
        <v/>
      </c>
      <c r="AB233" s="7" t="inlineStr">
        <is>
          <t>^Warhead_CannonAP_Light</t>
        </is>
      </c>
    </row>
    <row r="234">
      <c r="B234" s="7" t="inlineStr">
        <is>
          <t xml:space="preserve">  ↳ RA2HeavyMirageGun_elite</t>
        </is>
      </c>
      <c r="C234" s="7" t="inlineStr">
        <is>
          <t>Armament@elite</t>
        </is>
      </c>
      <c r="L234" s="6" t="n">
        <v>32000</v>
      </c>
      <c r="M234" s="6" t="n">
        <v>51</v>
      </c>
      <c r="N234" s="6" t="n">
        <v>2</v>
      </c>
      <c r="O234" s="6" t="n">
        <v>3</v>
      </c>
      <c r="P234" s="6" t="n">
        <v>7112</v>
      </c>
      <c r="Q234" s="6" t="n">
        <v>0.75</v>
      </c>
      <c r="R234">
        <f>M234+IF(MAX(N234-1,0)&gt;0,IF(ISBLANK(O234),5*MAX(N234-1,0),IF(ISNUMBER(O234),O234*MAX(N234-1,0),SUM(IFERROR(VALUE(TEXTSPLIT(O234,",")),0)))),0)</f>
        <v/>
      </c>
      <c r="S234">
        <f>IFERROR(L234*MAX(N234,1)/R234*IF(ISBLANK(K232),1,K232),0)</f>
        <v/>
      </c>
      <c r="AB234" s="7" t="inlineStr">
        <is>
          <t>^Warhead_CannonAP_Light</t>
        </is>
      </c>
    </row>
    <row r="235">
      <c r="A235" t="inlineStr">
        <is>
          <t>redalert2</t>
        </is>
      </c>
      <c r="B235" t="inlineStr">
        <is>
          <t>ra2_allies_miragetank</t>
        </is>
      </c>
      <c r="C235" t="inlineStr">
        <is>
          <t>Mirage Tank</t>
        </is>
      </c>
      <c r="D235" s="6" t="inlineStr">
        <is>
          <t>HighTechTank</t>
        </is>
      </c>
      <c r="E235" s="6" t="n">
        <v>120000</v>
      </c>
      <c r="F235" s="6" t="n">
        <v>90</v>
      </c>
      <c r="G235" t="inlineStr">
        <is>
          <t>Superheavy</t>
        </is>
      </c>
      <c r="H235" s="6" t="n">
        <v>0.75</v>
      </c>
      <c r="I235" s="6" t="n">
        <v>1</v>
      </c>
      <c r="J235" s="6" t="n">
        <v>1</v>
      </c>
      <c r="P235">
        <f>MAX(P236,P237)</f>
        <v/>
      </c>
      <c r="S235">
        <f>S236+S237</f>
        <v/>
      </c>
      <c r="T235">
        <f>(E235/100000+F235/100+(P235/1000)*J235/5+S235/200)*200*I235*H235</f>
        <v/>
      </c>
      <c r="U235">
        <f>((E235*F235/25000)+((P235/1000)*J235*S235/2.5))*I235*H235</f>
        <v/>
      </c>
      <c r="V235">
        <f>(E235*F235*(P235/1000)*J235*S235*I235*H235)/12500000</f>
        <v/>
      </c>
      <c r="W235">
        <f>IFERROR((((E235/700000)+(F235/65)+(S235/2000)+((P235/6500)*J235))*2000/4+(((E235/700000)*(F235/65))+(((P235/6500)*J235)*(S235/2000)))*2000/2+((E235/700000)*(F235/65)*((P235/6500)*J235)*(S235/2000))*2000)*(H235/0.75)/3,"")</f>
        <v/>
      </c>
      <c r="X235" s="6" t="n">
        <v>1600</v>
      </c>
      <c r="Y235">
        <f>IFERROR(W235-X235,"")</f>
        <v/>
      </c>
      <c r="Z235">
        <f>IFERROR(ABS(Y235)/MAX(X235,1),"")</f>
        <v/>
      </c>
      <c r="AA235">
        <f>IFERROR(ROUND(((3*X235-(((E235/700000)+(F235/65)+(S235/2000))*2000/4+((E235/700000)*(F235/65))*2000/2)*(H235/0.75))/(2000/4+((S235/2000))*2000/2+((E235/700000)*(F235/65)*(S235/2000))*2000)*(H235/0.75)*6500)/J235,-1),"")</f>
        <v/>
      </c>
    </row>
    <row r="236">
      <c r="B236" s="7" t="inlineStr">
        <is>
          <t xml:space="preserve">  ↳ RA2MirageGun</t>
        </is>
      </c>
      <c r="C236" s="7" t="inlineStr">
        <is>
          <t>Armament</t>
        </is>
      </c>
      <c r="L236" s="6" t="n">
        <v>24000</v>
      </c>
      <c r="M236" s="6" t="n">
        <v>39</v>
      </c>
      <c r="N236" s="6" t="n">
        <v>1</v>
      </c>
      <c r="O236" s="6" t="n"/>
      <c r="P236" s="6" t="n">
        <v>6031</v>
      </c>
      <c r="Q236" s="6" t="n">
        <v>0.75</v>
      </c>
      <c r="R236">
        <f>M236+IF(MAX(N236-1,0)&gt;0,IF(ISBLANK(O236),5*MAX(N236-1,0),IF(ISNUMBER(O236),O236*MAX(N236-1,0),SUM(IFERROR(VALUE(TEXTSPLIT(O236,",")),0)))),0)</f>
        <v/>
      </c>
      <c r="S236">
        <f>IFERROR(L236*MAX(N236,1)/R236*IF(ISBLANK(K235),1,K235),0)</f>
        <v/>
      </c>
      <c r="AB236" s="7" t="inlineStr">
        <is>
          <t>^Warhead_CannonAP_Light</t>
        </is>
      </c>
    </row>
    <row r="237">
      <c r="B237" s="7" t="inlineStr">
        <is>
          <t xml:space="preserve">  ↳ RA2MirageGun_elite</t>
        </is>
      </c>
      <c r="C237" s="7" t="inlineStr">
        <is>
          <t>Armament@elite</t>
        </is>
      </c>
      <c r="L237" s="6" t="n">
        <v>24000</v>
      </c>
      <c r="M237" s="6" t="n">
        <v>39</v>
      </c>
      <c r="N237" s="6" t="n">
        <v>2</v>
      </c>
      <c r="O237" s="6" t="n">
        <v>3</v>
      </c>
      <c r="P237" s="6" t="n">
        <v>7031</v>
      </c>
      <c r="Q237" s="6" t="n">
        <v>0.75</v>
      </c>
      <c r="R237">
        <f>M237+IF(MAX(N237-1,0)&gt;0,IF(ISBLANK(O237),5*MAX(N237-1,0),IF(ISNUMBER(O237),O237*MAX(N237-1,0),SUM(IFERROR(VALUE(TEXTSPLIT(O237,",")),0)))),0)</f>
        <v/>
      </c>
      <c r="S237">
        <f>IFERROR(L237*MAX(N237,1)/R237*IF(ISBLANK(K235),1,K235),0)</f>
        <v/>
      </c>
      <c r="AB237" s="7" t="inlineStr">
        <is>
          <t>^Warhead_CannonAP_Light</t>
        </is>
      </c>
    </row>
    <row r="238">
      <c r="A238" t="inlineStr">
        <is>
          <t>redalert2</t>
        </is>
      </c>
      <c r="B238" t="inlineStr">
        <is>
          <t>ra2_soviets_apocalypsetank</t>
        </is>
      </c>
      <c r="C238" t="inlineStr">
        <is>
          <t>Apocalypse Tank</t>
        </is>
      </c>
      <c r="D238" s="6" t="inlineStr">
        <is>
          <t>HighTechTank</t>
        </is>
      </c>
      <c r="E238" s="6" t="n">
        <v>350000</v>
      </c>
      <c r="F238" s="6" t="n">
        <v>55</v>
      </c>
      <c r="G238" t="inlineStr">
        <is>
          <t>Superheavy</t>
        </is>
      </c>
      <c r="H238" s="6" t="n">
        <v>0.75</v>
      </c>
      <c r="I238" s="6" t="n">
        <v>1</v>
      </c>
      <c r="J238" s="6" t="n">
        <v>1</v>
      </c>
      <c r="K238" t="n">
        <v>0.0125</v>
      </c>
      <c r="P238">
        <f>MAX(P239,P240,P241,P242,P243,P244,P245,P246,P247,P248)</f>
        <v/>
      </c>
      <c r="S238">
        <f>S239+S240+S241+S242+S243+S244+S245+S246+S247+S248</f>
        <v/>
      </c>
      <c r="T238">
        <f>(E238/100000+F238/100+(P238/1000)*J238/5+S238/200)*200*I238*H238</f>
        <v/>
      </c>
      <c r="U238">
        <f>((E238*F238/25000)+((P238/1000)*J238*S238/2.5))*I238*H238</f>
        <v/>
      </c>
      <c r="V238">
        <f>(E238*F238*(P238/1000)*J238*S238*I238*H238)/12500000</f>
        <v/>
      </c>
      <c r="W238">
        <f>IFERROR((((E238/700000)+(F238/65)+(S238/2000)+((P238/6500)*J238))*2000/4+(((E238/700000)*(F238/65))+(((P238/6500)*J238)*(S238/2000)))*2000/2+((E238/700000)*(F238/65)*((P238/6500)*J238)*(S238/2000))*2000)*(H238/0.75)/3,"")</f>
        <v/>
      </c>
      <c r="X238" s="6" t="n">
        <v>1750</v>
      </c>
      <c r="Y238">
        <f>IFERROR(W238-X238,"")</f>
        <v/>
      </c>
      <c r="Z238">
        <f>IFERROR(ABS(Y238)/MAX(X238,1),"")</f>
        <v/>
      </c>
      <c r="AA238">
        <f>IFERROR(ROUND(((3*X238-(((E238/700000)+(F238/65)+(S238/2000))*2000/4+((E238/700000)*(F238/65))*2000/2)*(H238/0.75))/(2000/4+((S238/2000))*2000/2+((E238/700000)*(F238/65)*(S238/2000))*2000)*(H238/0.75)*6500)/J238,-1),"")</f>
        <v/>
      </c>
    </row>
    <row r="239">
      <c r="B239" s="7" t="inlineStr">
        <is>
          <t xml:space="preserve">  ↳ RA2120xmm</t>
        </is>
      </c>
      <c r="C239" s="7" t="inlineStr">
        <is>
          <t>Armament@PRIMARY</t>
        </is>
      </c>
      <c r="L239" s="6" t="n">
        <v>12000</v>
      </c>
      <c r="M239" s="6" t="n">
        <v>63</v>
      </c>
      <c r="N239" s="6" t="n">
        <v>2</v>
      </c>
      <c r="O239" s="6" t="n">
        <v>5</v>
      </c>
      <c r="P239" s="6" t="n">
        <v>6992</v>
      </c>
      <c r="Q239" s="6" t="n">
        <v>1.25</v>
      </c>
      <c r="R239">
        <f>M239+IF(MAX(N239-1,0)&gt;0,IF(ISBLANK(O239),5*MAX(N239-1,0),IF(ISNUMBER(O239),O239*MAX(N239-1,0),SUM(IFERROR(VALUE(TEXTSPLIT(O239,",")),0)))),0)</f>
        <v/>
      </c>
      <c r="S239">
        <f>IFERROR(L239*MAX(N239,1)/R239*IF(ISBLANK(K238),1,K238),0)</f>
        <v/>
      </c>
      <c r="AB239" s="7" t="inlineStr">
        <is>
          <t>^Warhead_CannonHE_Heavy</t>
        </is>
      </c>
    </row>
    <row r="240">
      <c r="B240" s="7" t="inlineStr">
        <is>
          <t xml:space="preserve">  ↳ RA2120xmm_rad</t>
        </is>
      </c>
      <c r="C240" s="7" t="inlineStr">
        <is>
          <t>Armament@PRIMARYRad</t>
        </is>
      </c>
      <c r="L240" s="6" t="n">
        <v>16000</v>
      </c>
      <c r="M240" s="6" t="n">
        <v>63</v>
      </c>
      <c r="N240" s="6" t="n">
        <v>2</v>
      </c>
      <c r="O240" s="6" t="n">
        <v>5</v>
      </c>
      <c r="P240" s="6" t="n">
        <v>6992</v>
      </c>
      <c r="Q240" s="6" t="n">
        <v>1.25</v>
      </c>
      <c r="R240">
        <f>M240+IF(MAX(N240-1,0)&gt;0,IF(ISBLANK(O240),5*MAX(N240-1,0),IF(ISNUMBER(O240),O240*MAX(N240-1,0),SUM(IFERROR(VALUE(TEXTSPLIT(O240,",")),0)))),0)</f>
        <v/>
      </c>
      <c r="S240">
        <f>IFERROR(L240*MAX(N240,1)/R240*IF(ISBLANK(K238),1,K238),0)</f>
        <v/>
      </c>
      <c r="AB240" s="7" t="inlineStr">
        <is>
          <t>^Warhead_CannonHE_Heavy</t>
        </is>
      </c>
    </row>
    <row r="241">
      <c r="B241" s="7" t="inlineStr">
        <is>
          <t xml:space="preserve">  ↳ RA2120xmm_fire</t>
        </is>
      </c>
      <c r="C241" s="7" t="inlineStr">
        <is>
          <t>Armament@PRIMARYFire</t>
        </is>
      </c>
      <c r="L241" s="6" t="n">
        <v>12000</v>
      </c>
      <c r="M241" s="6" t="n">
        <v>63</v>
      </c>
      <c r="N241" s="6" t="n">
        <v>2</v>
      </c>
      <c r="O241" s="6" t="n">
        <v>5</v>
      </c>
      <c r="P241" s="6" t="n">
        <v>6992</v>
      </c>
      <c r="Q241" s="6" t="n">
        <v>1.25</v>
      </c>
      <c r="R241">
        <f>M241+IF(MAX(N241-1,0)&gt;0,IF(ISBLANK(O241),5*MAX(N241-1,0),IF(ISNUMBER(O241),O241*MAX(N241-1,0),SUM(IFERROR(VALUE(TEXTSPLIT(O241,",")),0)))),0)</f>
        <v/>
      </c>
      <c r="S241">
        <f>IFERROR(L241*MAX(N241,1)/R241*IF(ISBLANK(K238),1,K238),0)</f>
        <v/>
      </c>
      <c r="AB241" s="7" t="inlineStr">
        <is>
          <t>^Warhead_CannonHE_Heavy</t>
        </is>
      </c>
    </row>
    <row r="242">
      <c r="B242" s="7" t="inlineStr">
        <is>
          <t xml:space="preserve">  ↳ RA2120xmm_tesla</t>
        </is>
      </c>
      <c r="C242" s="7" t="inlineStr">
        <is>
          <t>Armament@PRIMARYTesla</t>
        </is>
      </c>
      <c r="L242" s="6" t="n">
        <v>12000</v>
      </c>
      <c r="M242" s="6" t="n">
        <v>63</v>
      </c>
      <c r="N242" s="6" t="n">
        <v>2</v>
      </c>
      <c r="O242" s="6" t="n">
        <v>5</v>
      </c>
      <c r="P242" s="6" t="n">
        <v>6992</v>
      </c>
      <c r="Q242" s="6" t="n">
        <v>1.25</v>
      </c>
      <c r="R242">
        <f>M242+IF(MAX(N242-1,0)&gt;0,IF(ISBLANK(O242),5*MAX(N242-1,0),IF(ISNUMBER(O242),O242*MAX(N242-1,0),SUM(IFERROR(VALUE(TEXTSPLIT(O242,",")),0)))),0)</f>
        <v/>
      </c>
      <c r="S242">
        <f>IFERROR(L242*MAX(N242,1)/R242*IF(ISBLANK(K238),1,K238),0)</f>
        <v/>
      </c>
      <c r="AB242" s="7" t="inlineStr">
        <is>
          <t>^Warhead_CannonHE_Heavy</t>
        </is>
      </c>
    </row>
    <row r="243">
      <c r="B243" s="7" t="inlineStr">
        <is>
          <t xml:space="preserve">  ↳ RA2MammothTusk_AA</t>
        </is>
      </c>
      <c r="C243" s="7" t="inlineStr">
        <is>
          <t>Armament@SECONDARY</t>
        </is>
      </c>
      <c r="L243" s="6" t="n">
        <v>16000</v>
      </c>
      <c r="M243" s="6" t="n">
        <v>68</v>
      </c>
      <c r="N243" s="6" t="n">
        <v>2</v>
      </c>
      <c r="O243" s="6" t="n"/>
      <c r="P243" s="6" t="n">
        <v>6100</v>
      </c>
      <c r="Q243" s="6" t="n">
        <v>1</v>
      </c>
      <c r="R243">
        <f>M243+IF(MAX(N243-1,0)&gt;0,IF(ISBLANK(O243),5*MAX(N243-1,0),IF(ISNUMBER(O243),O243*MAX(N243-1,0),SUM(IFERROR(VALUE(TEXTSPLIT(O243,",")),0)))),0)</f>
        <v/>
      </c>
      <c r="S243">
        <f>IFERROR(L243*MAX(N243,1)/R243*IF(ISBLANK(K238),1,K238),0)</f>
        <v/>
      </c>
      <c r="AB243" s="7" t="inlineStr">
        <is>
          <t>^Warhead_MissileAP_Medium</t>
        </is>
      </c>
    </row>
    <row r="244">
      <c r="B244" s="7" t="inlineStr">
        <is>
          <t xml:space="preserve">  ↳ RA2120xmm_elite</t>
        </is>
      </c>
      <c r="C244" s="7" t="inlineStr">
        <is>
          <t>Armament@PRIMARYELITE</t>
        </is>
      </c>
      <c r="L244" s="6" t="n">
        <v>12000</v>
      </c>
      <c r="M244" s="6" t="n">
        <v>63</v>
      </c>
      <c r="N244" s="6" t="n">
        <v>4</v>
      </c>
      <c r="O244" s="6" t="n">
        <v>3</v>
      </c>
      <c r="P244" s="6" t="n">
        <v>7992</v>
      </c>
      <c r="Q244" s="6" t="n">
        <v>1.25</v>
      </c>
      <c r="R244">
        <f>M244+IF(MAX(N244-1,0)&gt;0,IF(ISBLANK(O244),5*MAX(N244-1,0),IF(ISNUMBER(O244),O244*MAX(N244-1,0),SUM(IFERROR(VALUE(TEXTSPLIT(O244,",")),0)))),0)</f>
        <v/>
      </c>
      <c r="S244">
        <f>IFERROR(L244*MAX(N244,1)/R244*IF(ISBLANK(K238),1,K238),0)</f>
        <v/>
      </c>
      <c r="AB244" s="7" t="inlineStr">
        <is>
          <t>^Warhead_CannonHE_Heavy</t>
        </is>
      </c>
    </row>
    <row r="245">
      <c r="B245" s="7" t="inlineStr">
        <is>
          <t xml:space="preserve">  ↳ RA2120xmm_rad_elite</t>
        </is>
      </c>
      <c r="C245" s="7" t="inlineStr">
        <is>
          <t>Armament@PRIMARYELITERad</t>
        </is>
      </c>
      <c r="L245" s="6" t="n">
        <v>16000</v>
      </c>
      <c r="M245" s="6" t="n">
        <v>63</v>
      </c>
      <c r="N245" s="6" t="n">
        <v>4</v>
      </c>
      <c r="O245" s="6" t="n">
        <v>3</v>
      </c>
      <c r="P245" s="6" t="n">
        <v>7992</v>
      </c>
      <c r="Q245" s="6" t="n">
        <v>1.25</v>
      </c>
      <c r="R245">
        <f>M245+IF(MAX(N245-1,0)&gt;0,IF(ISBLANK(O245),5*MAX(N245-1,0),IF(ISNUMBER(O245),O245*MAX(N245-1,0),SUM(IFERROR(VALUE(TEXTSPLIT(O245,",")),0)))),0)</f>
        <v/>
      </c>
      <c r="S245">
        <f>IFERROR(L245*MAX(N245,1)/R245*IF(ISBLANK(K238),1,K238),0)</f>
        <v/>
      </c>
      <c r="AB245" s="7" t="inlineStr">
        <is>
          <t>^Warhead_CannonHE_Heavy</t>
        </is>
      </c>
    </row>
    <row r="246">
      <c r="B246" s="7" t="inlineStr">
        <is>
          <t xml:space="preserve">  ↳ RA2120xmm_fire_elite</t>
        </is>
      </c>
      <c r="C246" s="7" t="inlineStr">
        <is>
          <t>Armament@PRIMARYELITEFire</t>
        </is>
      </c>
      <c r="L246" s="6" t="n">
        <v>12000</v>
      </c>
      <c r="M246" s="6" t="n">
        <v>63</v>
      </c>
      <c r="N246" s="6" t="n">
        <v>4</v>
      </c>
      <c r="O246" s="6" t="n">
        <v>3</v>
      </c>
      <c r="P246" s="6" t="n">
        <v>7992</v>
      </c>
      <c r="Q246" s="6" t="n">
        <v>1.25</v>
      </c>
      <c r="R246">
        <f>M246+IF(MAX(N246-1,0)&gt;0,IF(ISBLANK(O246),5*MAX(N246-1,0),IF(ISNUMBER(O246),O246*MAX(N246-1,0),SUM(IFERROR(VALUE(TEXTSPLIT(O246,",")),0)))),0)</f>
        <v/>
      </c>
      <c r="S246">
        <f>IFERROR(L246*MAX(N246,1)/R246*IF(ISBLANK(K238),1,K238),0)</f>
        <v/>
      </c>
      <c r="AB246" s="7" t="inlineStr">
        <is>
          <t>^Warhead_CannonHE_Heavy</t>
        </is>
      </c>
    </row>
    <row r="247">
      <c r="B247" s="7" t="inlineStr">
        <is>
          <t xml:space="preserve">  ↳ RA2120xmm_tesla_elite</t>
        </is>
      </c>
      <c r="C247" s="7" t="inlineStr">
        <is>
          <t>Armament@PRIMARYELITETesla</t>
        </is>
      </c>
      <c r="L247" s="6" t="n">
        <v>12000</v>
      </c>
      <c r="M247" s="6" t="n">
        <v>63</v>
      </c>
      <c r="N247" s="6" t="n">
        <v>4</v>
      </c>
      <c r="O247" s="6" t="n">
        <v>3</v>
      </c>
      <c r="P247" s="6" t="n">
        <v>7992</v>
      </c>
      <c r="Q247" s="6" t="n">
        <v>1.25</v>
      </c>
      <c r="R247">
        <f>M247+IF(MAX(N247-1,0)&gt;0,IF(ISBLANK(O247),5*MAX(N247-1,0),IF(ISNUMBER(O247),O247*MAX(N247-1,0),SUM(IFERROR(VALUE(TEXTSPLIT(O247,",")),0)))),0)</f>
        <v/>
      </c>
      <c r="S247">
        <f>IFERROR(L247*MAX(N247,1)/R247*IF(ISBLANK(K238),1,K238),0)</f>
        <v/>
      </c>
      <c r="AB247" s="7" t="inlineStr">
        <is>
          <t>^Warhead_CannonHE_Heavy</t>
        </is>
      </c>
    </row>
    <row r="248">
      <c r="B248" s="7" t="inlineStr">
        <is>
          <t xml:space="preserve">  ↳ RA2MammothTusk_AA_elite</t>
        </is>
      </c>
      <c r="C248" s="7" t="inlineStr">
        <is>
          <t>Armament@SECONDARYELITE</t>
        </is>
      </c>
      <c r="L248" s="6" t="n">
        <v>16000</v>
      </c>
      <c r="M248" s="6" t="n">
        <v>68</v>
      </c>
      <c r="N248" s="6" t="n">
        <v>4</v>
      </c>
      <c r="O248" s="6" t="n"/>
      <c r="P248" s="6" t="n">
        <v>7100</v>
      </c>
      <c r="Q248" s="6" t="n">
        <v>1</v>
      </c>
      <c r="R248">
        <f>M248+IF(MAX(N248-1,0)&gt;0,IF(ISBLANK(O248),5*MAX(N248-1,0),IF(ISNUMBER(O248),O248*MAX(N248-1,0),SUM(IFERROR(VALUE(TEXTSPLIT(O248,",")),0)))),0)</f>
        <v/>
      </c>
      <c r="S248">
        <f>IFERROR(L248*MAX(N248,1)/R248*IF(ISBLANK(K238),1,K238),0)</f>
        <v/>
      </c>
      <c r="AB248" s="7" t="inlineStr">
        <is>
          <t>^Warhead_MissileAP_Medium</t>
        </is>
      </c>
    </row>
    <row r="249">
      <c r="A249" t="inlineStr">
        <is>
          <t>redalert2</t>
        </is>
      </c>
      <c r="B249" t="inlineStr">
        <is>
          <t>yuri_mastermind</t>
        </is>
      </c>
      <c r="C249" t="inlineStr">
        <is>
          <t>Master Mind</t>
        </is>
      </c>
      <c r="D249" s="6" t="inlineStr">
        <is>
          <t>HighTechTank</t>
        </is>
      </c>
      <c r="E249" s="6" t="n">
        <v>100000</v>
      </c>
      <c r="F249" s="6" t="n">
        <v>120</v>
      </c>
      <c r="G249" t="inlineStr">
        <is>
          <t>Superheavy</t>
        </is>
      </c>
      <c r="H249" s="6" t="n">
        <v>0.5046</v>
      </c>
      <c r="I249" s="6" t="n">
        <v>1</v>
      </c>
      <c r="J249" s="6" t="n">
        <v>1</v>
      </c>
      <c r="P249">
        <f>MAX(P250)</f>
        <v/>
      </c>
      <c r="S249">
        <f>S250</f>
        <v/>
      </c>
      <c r="T249">
        <f>(E249/100000+F249/100+(P249/1000)*J249/5+S249/200)*200*I249*H249</f>
        <v/>
      </c>
      <c r="U249">
        <f>((E249*F249/25000)+((P249/1000)*J249*S249/2.5))*I249*H249</f>
        <v/>
      </c>
      <c r="V249">
        <f>(E249*F249*(P249/1000)*J249*S249*I249*H249)/12500000</f>
        <v/>
      </c>
      <c r="W249">
        <f>IFERROR((((E249/700000)+(F249/65)+(S249/2000)+((P249/6500)*J249))*2000/4+(((E249/700000)*(F249/65))+(((P249/6500)*J249)*(S249/2000)))*2000/2+((E249/700000)*(F249/65)*((P249/6500)*J249)*(S249/2000))*2000)*(H249/0.75)/3,"")</f>
        <v/>
      </c>
      <c r="X249" s="6" t="n">
        <v>1500</v>
      </c>
      <c r="Y249">
        <f>IFERROR(W249-X249,"")</f>
        <v/>
      </c>
      <c r="Z249">
        <f>IFERROR(ABS(Y249)/MAX(X249,1),"")</f>
        <v/>
      </c>
      <c r="AA249">
        <f>IFERROR(ROUND(((3*X249-(((E249/700000)+(F249/65)+(S249/2000))*2000/4+((E249/700000)*(F249/65))*2000/2)*(H249/0.75))/(2000/4+((S249/2000))*2000/2+((E249/700000)*(F249/65)*(S249/2000))*2000)*(H249/0.75)*6500)/J249,-1),"")</f>
        <v/>
      </c>
    </row>
    <row r="250">
      <c r="B250" s="7" t="inlineStr">
        <is>
          <t xml:space="preserve">  ↳ RA2SMindControl</t>
        </is>
      </c>
      <c r="C250" s="7" t="inlineStr">
        <is>
          <t>Armament@PRIMARY</t>
        </is>
      </c>
      <c r="L250" t="n">
        <v>0</v>
      </c>
      <c r="M250" s="6" t="n">
        <v>75</v>
      </c>
      <c r="N250" s="6" t="n">
        <v>1</v>
      </c>
      <c r="O250" s="6" t="n"/>
      <c r="P250" s="6" t="n">
        <v>7000</v>
      </c>
      <c r="Q250" s="6" t="n">
        <v>1</v>
      </c>
      <c r="R250">
        <f>M250+IF(MAX(N250-1,0)&gt;0,IF(ISBLANK(O250),5*MAX(N250-1,0),IF(ISNUMBER(O250),O250*MAX(N250-1,0),SUM(IFERROR(VALUE(TEXTSPLIT(O250,",")),0)))),0)</f>
        <v/>
      </c>
      <c r="S250">
        <f>IFERROR(L250*MAX(N250,1)/R250*IF(ISBLANK(K249),1,K249),0)</f>
        <v/>
      </c>
      <c r="AB250" s="7" t="inlineStr">
        <is>
          <t>RA2MindControl</t>
        </is>
      </c>
    </row>
    <row r="251">
      <c r="A251" t="inlineStr">
        <is>
          <t>redalert2mod</t>
        </is>
      </c>
      <c r="B251" t="inlineStr">
        <is>
          <t>steelconsortium_katytank</t>
        </is>
      </c>
      <c r="C251" t="inlineStr">
        <is>
          <t>Katy Tank</t>
        </is>
      </c>
      <c r="D251" s="6" t="inlineStr">
        <is>
          <t>HighTechTank</t>
        </is>
      </c>
      <c r="E251" s="6" t="n">
        <v>275000</v>
      </c>
      <c r="F251" s="6" t="n">
        <v>45</v>
      </c>
      <c r="G251" t="inlineStr">
        <is>
          <t>Superheavy</t>
        </is>
      </c>
      <c r="H251" s="6" t="n">
        <v>0.4783</v>
      </c>
      <c r="I251" s="6" t="n">
        <v>1</v>
      </c>
      <c r="J251" s="6" t="n">
        <v>1</v>
      </c>
      <c r="P251">
        <f>MAX(P252,P253,P254,P255)</f>
        <v/>
      </c>
      <c r="S251">
        <f>S252+S253+S254+S255</f>
        <v/>
      </c>
      <c r="T251">
        <f>(E251/100000+F251/100+(P251/1000)*J251/5+S251/200)*200*I251*H251</f>
        <v/>
      </c>
      <c r="U251">
        <f>((E251*F251/25000)+((P251/1000)*J251*S251/2.5))*I251*H251</f>
        <v/>
      </c>
      <c r="V251">
        <f>(E251*F251*(P251/1000)*J251*S251*I251*H251)/12500000</f>
        <v/>
      </c>
      <c r="W251">
        <f>IFERROR((((E251/700000)+(F251/65)+(S251/2000)+((P251/6500)*J251))*2000/4+(((E251/700000)*(F251/65))+(((P251/6500)*J251)*(S251/2000)))*2000/2+((E251/700000)*(F251/65)*((P251/6500)*J251)*(S251/2000))*2000)*(H251/0.75)/3,"")</f>
        <v/>
      </c>
      <c r="X251" s="6" t="n">
        <v>3800</v>
      </c>
      <c r="Y251">
        <f>IFERROR(W251-X251,"")</f>
        <v/>
      </c>
      <c r="Z251">
        <f>IFERROR(ABS(Y251)/MAX(X251,1),"")</f>
        <v/>
      </c>
      <c r="AA251">
        <f>IFERROR(ROUND(((3*X251-(((E251/700000)+(F251/65)+(S251/2000))*2000/4+((E251/700000)*(F251/65))*2000/2)*(H251/0.75))/(2000/4+((S251/2000))*2000/2+((E251/700000)*(F251/65)*(S251/2000))*2000)*(H251/0.75)*6500)/J251,-1),"")</f>
        <v/>
      </c>
    </row>
    <row r="252">
      <c r="B252" s="7" t="inlineStr">
        <is>
          <t xml:space="preserve">  ↳ SteelKatyCannons</t>
        </is>
      </c>
      <c r="C252" s="7" t="inlineStr">
        <is>
          <t>Armament</t>
        </is>
      </c>
      <c r="L252" s="6" t="n">
        <v>30000</v>
      </c>
      <c r="M252" s="6" t="n">
        <v>50</v>
      </c>
      <c r="N252" s="6" t="n">
        <v>2</v>
      </c>
      <c r="O252" s="6" t="n">
        <v>10</v>
      </c>
      <c r="P252" s="6" t="n">
        <v>7250</v>
      </c>
      <c r="Q252" s="6" t="n">
        <v>1.25</v>
      </c>
      <c r="R252">
        <f>M252+IF(MAX(N252-1,0)&gt;0,IF(ISBLANK(O252),5*MAX(N252-1,0),IF(ISNUMBER(O252),O252*MAX(N252-1,0),SUM(IFERROR(VALUE(TEXTSPLIT(O252,",")),0)))),0)</f>
        <v/>
      </c>
      <c r="S252">
        <f>IFERROR(L252*MAX(N252,1)/R252*IF(ISBLANK(K251),1,K251),0)</f>
        <v/>
      </c>
      <c r="AB252" s="7" t="inlineStr">
        <is>
          <t>^Warhead_CannonHE_Heavy, ^Warhead_Flame_Heavy</t>
        </is>
      </c>
    </row>
    <row r="253">
      <c r="B253" s="7" t="inlineStr">
        <is>
          <t xml:space="preserve">  ↳ SteelKatyCannons_elite</t>
        </is>
      </c>
      <c r="C253" s="7" t="inlineStr">
        <is>
          <t>Armament@ELITE</t>
        </is>
      </c>
      <c r="L253" s="6" t="n">
        <v>30000</v>
      </c>
      <c r="M253" s="6" t="n">
        <v>50</v>
      </c>
      <c r="N253" s="6" t="n">
        <v>4</v>
      </c>
      <c r="O253" s="6" t="n">
        <v>5</v>
      </c>
      <c r="P253" s="6" t="n">
        <v>8250</v>
      </c>
      <c r="Q253" s="6" t="n">
        <v>1.25</v>
      </c>
      <c r="R253">
        <f>M253+IF(MAX(N253-1,0)&gt;0,IF(ISBLANK(O253),5*MAX(N253-1,0),IF(ISNUMBER(O253),O253*MAX(N253-1,0),SUM(IFERROR(VALUE(TEXTSPLIT(O253,",")),0)))),0)</f>
        <v/>
      </c>
      <c r="S253">
        <f>IFERROR(L253*MAX(N253,1)/R253*IF(ISBLANK(K251),1,K251),0)</f>
        <v/>
      </c>
      <c r="AB253" s="7" t="inlineStr">
        <is>
          <t>^Warhead_CannonHE_Heavy, ^Warhead_Flame_Heavy</t>
        </is>
      </c>
    </row>
    <row r="254">
      <c r="B254" s="7" t="inlineStr">
        <is>
          <t xml:space="preserve">  ↳ SteelKatyCannons_EMP</t>
        </is>
      </c>
      <c r="C254" s="7" t="inlineStr">
        <is>
          <t>Armament@Upgrade</t>
        </is>
      </c>
      <c r="L254" s="6" t="n">
        <v>70000</v>
      </c>
      <c r="M254" s="6" t="n">
        <v>50</v>
      </c>
      <c r="N254" s="6" t="n">
        <v>2</v>
      </c>
      <c r="O254" s="6" t="n">
        <v>10</v>
      </c>
      <c r="P254" s="6" t="n">
        <v>7250</v>
      </c>
      <c r="Q254" s="6" t="n">
        <v>1.25</v>
      </c>
      <c r="R254">
        <f>M254+IF(MAX(N254-1,0)&gt;0,IF(ISBLANK(O254),5*MAX(N254-1,0),IF(ISNUMBER(O254),O254*MAX(N254-1,0),SUM(IFERROR(VALUE(TEXTSPLIT(O254,",")),0)))),0)</f>
        <v/>
      </c>
      <c r="S254">
        <f>IFERROR(L254*MAX(N254,1)/R254*IF(ISBLANK(K251),1,K251),0)</f>
        <v/>
      </c>
      <c r="AB254" s="7" t="inlineStr">
        <is>
          <t>^Warhead_CannonHE_Heavy, ^Warhead_Flame_Heavy</t>
        </is>
      </c>
    </row>
    <row r="255">
      <c r="B255" s="7" t="inlineStr">
        <is>
          <t xml:space="preserve">  ↳ SteelKatyCannons_EMP_elite</t>
        </is>
      </c>
      <c r="C255" s="7" t="inlineStr">
        <is>
          <t>Armament@UpgradeELITE</t>
        </is>
      </c>
      <c r="L255" s="6" t="n">
        <v>70000</v>
      </c>
      <c r="M255" s="6" t="n">
        <v>50</v>
      </c>
      <c r="N255" s="6" t="n">
        <v>4</v>
      </c>
      <c r="O255" s="6" t="n">
        <v>5</v>
      </c>
      <c r="P255" s="6" t="n">
        <v>8250</v>
      </c>
      <c r="Q255" s="6" t="n">
        <v>1.25</v>
      </c>
      <c r="R255">
        <f>M255+IF(MAX(N255-1,0)&gt;0,IF(ISBLANK(O255),5*MAX(N255-1,0),IF(ISNUMBER(O255),O255*MAX(N255-1,0),SUM(IFERROR(VALUE(TEXTSPLIT(O255,",")),0)))),0)</f>
        <v/>
      </c>
      <c r="S255">
        <f>IFERROR(L255*MAX(N255,1)/R255*IF(ISBLANK(K251),1,K251),0)</f>
        <v/>
      </c>
      <c r="AB255" s="7" t="inlineStr">
        <is>
          <t>^Warhead_CannonHE_Heavy, ^Warhead_Flame_Heavy</t>
        </is>
      </c>
    </row>
    <row r="256">
      <c r="A256" t="inlineStr">
        <is>
          <t>redalert2mod</t>
        </is>
      </c>
      <c r="B256" t="inlineStr">
        <is>
          <t>naxis_maus</t>
        </is>
      </c>
      <c r="C256" t="inlineStr">
        <is>
          <t>Maus</t>
        </is>
      </c>
      <c r="D256" s="6" t="inlineStr">
        <is>
          <t>HighTechTank</t>
        </is>
      </c>
      <c r="E256" s="6" t="n">
        <v>600000</v>
      </c>
      <c r="F256" s="6" t="n">
        <v>60</v>
      </c>
      <c r="G256" t="inlineStr">
        <is>
          <t>Superheavy</t>
        </is>
      </c>
      <c r="H256" s="6" t="n">
        <v>0.75</v>
      </c>
      <c r="I256" s="6" t="n">
        <v>1</v>
      </c>
      <c r="J256" s="6" t="n">
        <v>1</v>
      </c>
      <c r="P256">
        <f>MAX(P257,P258)</f>
        <v/>
      </c>
      <c r="S256">
        <f>S257+S258</f>
        <v/>
      </c>
      <c r="T256">
        <f>(E256/100000+F256/100+(P256/1000)*J256/5+S256/200)*200*I256*H256</f>
        <v/>
      </c>
      <c r="U256">
        <f>((E256*F256/25000)+((P256/1000)*J256*S256/2.5))*I256*H256</f>
        <v/>
      </c>
      <c r="V256">
        <f>(E256*F256*(P256/1000)*J256*S256*I256*H256)/12500000</f>
        <v/>
      </c>
      <c r="W256">
        <f>IFERROR((((E256/700000)+(F256/65)+(S256/2000)+((P256/6500)*J256))*2000/4+(((E256/700000)*(F256/65))+(((P256/6500)*J256)*(S256/2000)))*2000/2+((E256/700000)*(F256/65)*((P256/6500)*J256)*(S256/2000))*2000)*(H256/0.75)/3,"")</f>
        <v/>
      </c>
      <c r="X256" s="6" t="n">
        <v>4200</v>
      </c>
      <c r="Y256">
        <f>IFERROR(W256-X256,"")</f>
        <v/>
      </c>
      <c r="Z256">
        <f>IFERROR(ABS(Y256)/MAX(X256,1),"")</f>
        <v/>
      </c>
      <c r="AA256">
        <f>IFERROR(ROUND(((3*X256-(((E256/700000)+(F256/65)+(S256/2000))*2000/4+((E256/700000)*(F256/65))*2000/2)*(H256/0.75))/(2000/4+((S256/2000))*2000/2+((E256/700000)*(F256/65)*(S256/2000))*2000)*(H256/0.75)*6500)/J256,-1),"")</f>
        <v/>
      </c>
    </row>
    <row r="257">
      <c r="B257" s="7" t="inlineStr">
        <is>
          <t xml:space="preserve">  ↳ NaxMausCannon</t>
        </is>
      </c>
      <c r="C257" s="7" t="inlineStr">
        <is>
          <t>Armament</t>
        </is>
      </c>
      <c r="L257" s="6" t="n">
        <v>60000</v>
      </c>
      <c r="M257" s="6" t="n">
        <v>99</v>
      </c>
      <c r="N257" s="6" t="n">
        <v>1</v>
      </c>
      <c r="O257" s="6" t="n"/>
      <c r="P257" s="6" t="n">
        <v>6666</v>
      </c>
      <c r="Q257" s="6" t="n">
        <v>1</v>
      </c>
      <c r="R257">
        <f>M257+IF(MAX(N257-1,0)&gt;0,IF(ISBLANK(O257),5*MAX(N257-1,0),IF(ISNUMBER(O257),O257*MAX(N257-1,0),SUM(IFERROR(VALUE(TEXTSPLIT(O257,",")),0)))),0)</f>
        <v/>
      </c>
      <c r="S257">
        <f>IFERROR(L257*MAX(N257,1)/R257*IF(ISBLANK(K256),1,K256),0)</f>
        <v/>
      </c>
      <c r="AB257" s="7" t="inlineStr">
        <is>
          <t>^Warhead_CannonHE_Medium</t>
        </is>
      </c>
    </row>
    <row r="258">
      <c r="B258" s="7" t="inlineStr">
        <is>
          <t xml:space="preserve">  ↳ NaxMausCannon_elite</t>
        </is>
      </c>
      <c r="C258" s="7" t="inlineStr">
        <is>
          <t>Armament@elite</t>
        </is>
      </c>
      <c r="L258" s="6" t="n">
        <v>60000</v>
      </c>
      <c r="M258" s="6" t="n">
        <v>99</v>
      </c>
      <c r="N258" s="6" t="n">
        <v>2</v>
      </c>
      <c r="O258" s="6" t="n">
        <v>3</v>
      </c>
      <c r="P258" s="6" t="n">
        <v>7777</v>
      </c>
      <c r="Q258" s="6" t="n">
        <v>1</v>
      </c>
      <c r="R258">
        <f>M258+IF(MAX(N258-1,0)&gt;0,IF(ISBLANK(O258),5*MAX(N258-1,0),IF(ISNUMBER(O258),O258*MAX(N258-1,0),SUM(IFERROR(VALUE(TEXTSPLIT(O258,",")),0)))),0)</f>
        <v/>
      </c>
      <c r="S258">
        <f>IFERROR(L258*MAX(N258,1)/R258*IF(ISBLANK(K256),1,K256),0)</f>
        <v/>
      </c>
      <c r="AB258" s="7" t="inlineStr">
        <is>
          <t>^Warhead_CannonHE_Medium</t>
        </is>
      </c>
    </row>
    <row r="259">
      <c r="A259" t="inlineStr">
        <is>
          <t>redalert2mod</t>
        </is>
      </c>
      <c r="B259" t="inlineStr">
        <is>
          <t>naxis_shoekarn</t>
        </is>
      </c>
      <c r="C259" t="inlineStr">
        <is>
          <t>Shoe Karn</t>
        </is>
      </c>
      <c r="D259" s="6" t="inlineStr">
        <is>
          <t>HighTechTank</t>
        </is>
      </c>
      <c r="E259" s="6" t="n">
        <v>150000</v>
      </c>
      <c r="F259" s="6" t="n">
        <v>75</v>
      </c>
      <c r="G259" t="inlineStr">
        <is>
          <t>Superheavy</t>
        </is>
      </c>
      <c r="H259" s="6" t="n">
        <v>0.4839</v>
      </c>
      <c r="I259" s="6" t="n">
        <v>1</v>
      </c>
      <c r="J259" s="6" t="n">
        <v>1</v>
      </c>
      <c r="P259">
        <f>MAX(P260,P261,P262,P263)</f>
        <v/>
      </c>
      <c r="S259">
        <f>S260+S261+S262+S263</f>
        <v/>
      </c>
      <c r="T259">
        <f>(E259/100000+F259/100+(P259/1000)*J259/5+S259/200)*200*I259*H259</f>
        <v/>
      </c>
      <c r="U259">
        <f>((E259*F259/25000)+((P259/1000)*J259*S259/2.5))*I259*H259</f>
        <v/>
      </c>
      <c r="V259">
        <f>(E259*F259*(P259/1000)*J259*S259*I259*H259)/12500000</f>
        <v/>
      </c>
      <c r="W259">
        <f>IFERROR((((E259/700000)+(F259/65)+(S259/2000)+((P259/6500)*J259))*2000/4+(((E259/700000)*(F259/65))+(((P259/6500)*J259)*(S259/2000)))*2000/2+((E259/700000)*(F259/65)*((P259/6500)*J259)*(S259/2000))*2000)*(H259/0.75)/3,"")</f>
        <v/>
      </c>
      <c r="X259" s="6" t="n">
        <v>2500</v>
      </c>
      <c r="Y259">
        <f>IFERROR(W259-X259,"")</f>
        <v/>
      </c>
      <c r="Z259">
        <f>IFERROR(ABS(Y259)/MAX(X259,1),"")</f>
        <v/>
      </c>
      <c r="AA259">
        <f>IFERROR(ROUND(((3*X259-(((E259/700000)+(F259/65)+(S259/2000))*2000/4+((E259/700000)*(F259/65))*2000/2)*(H259/0.75))/(2000/4+((S259/2000))*2000/2+((E259/700000)*(F259/65)*(S259/2000))*2000)*(H259/0.75)*6500)/J259,-1),"")</f>
        <v/>
      </c>
    </row>
    <row r="260">
      <c r="B260" s="7" t="inlineStr">
        <is>
          <t xml:space="preserve">  ↳ RA2120mm</t>
        </is>
      </c>
      <c r="C260" s="7" t="inlineStr">
        <is>
          <t>Armament</t>
        </is>
      </c>
      <c r="L260" s="6" t="n">
        <v>10000</v>
      </c>
      <c r="M260" s="6" t="n">
        <v>54</v>
      </c>
      <c r="N260" s="6" t="n">
        <v>1</v>
      </c>
      <c r="O260" s="6" t="n"/>
      <c r="P260" s="6" t="n">
        <v>5374</v>
      </c>
      <c r="Q260" s="6" t="n">
        <v>1</v>
      </c>
      <c r="R260">
        <f>M260+IF(MAX(N260-1,0)&gt;0,IF(ISBLANK(O260),5*MAX(N260-1,0),IF(ISNUMBER(O260),O260*MAX(N260-1,0),SUM(IFERROR(VALUE(TEXTSPLIT(O260,",")),0)))),0)</f>
        <v/>
      </c>
      <c r="S260">
        <f>IFERROR(L260*MAX(N260,1)/R260*IF(ISBLANK(K259),1,K259),0)</f>
        <v/>
      </c>
      <c r="AB260" s="7" t="inlineStr">
        <is>
          <t>^Warhead_CannonHE_Medium</t>
        </is>
      </c>
    </row>
    <row r="261">
      <c r="B261" s="7" t="inlineStr">
        <is>
          <t xml:space="preserve">  ↳ RA2120mm_elite</t>
        </is>
      </c>
      <c r="C261" s="7" t="inlineStr">
        <is>
          <t>Armament@elite</t>
        </is>
      </c>
      <c r="L261" s="6" t="n">
        <v>10000</v>
      </c>
      <c r="M261" s="6" t="n">
        <v>54</v>
      </c>
      <c r="N261" s="6" t="n">
        <v>2</v>
      </c>
      <c r="O261" s="6" t="n">
        <v>3</v>
      </c>
      <c r="P261" s="6" t="n">
        <v>6374</v>
      </c>
      <c r="Q261" s="6" t="n">
        <v>1</v>
      </c>
      <c r="R261">
        <f>M261+IF(MAX(N261-1,0)&gt;0,IF(ISBLANK(O261),5*MAX(N261-1,0),IF(ISNUMBER(O261),O261*MAX(N261-1,0),SUM(IFERROR(VALUE(TEXTSPLIT(O261,",")),0)))),0)</f>
        <v/>
      </c>
      <c r="S261">
        <f>IFERROR(L261*MAX(N261,1)/R261*IF(ISBLANK(K259),1,K259),0)</f>
        <v/>
      </c>
      <c r="AB261" s="7" t="inlineStr">
        <is>
          <t>^Warhead_CannonHE_Medium</t>
        </is>
      </c>
    </row>
    <row r="262">
      <c r="B262" s="7" t="inlineStr">
        <is>
          <t xml:space="preserve">  ↳ NaxGrilleArty</t>
        </is>
      </c>
      <c r="C262" s="7" t="inlineStr">
        <is>
          <t>Armament@mortar</t>
        </is>
      </c>
      <c r="L262" s="6" t="n">
        <v>48000</v>
      </c>
      <c r="M262" s="6" t="n">
        <v>111</v>
      </c>
      <c r="N262" s="6" t="n">
        <v>1</v>
      </c>
      <c r="O262" s="6" t="n"/>
      <c r="P262" s="6" t="n">
        <v>12345</v>
      </c>
      <c r="Q262" s="6" t="n">
        <v>1</v>
      </c>
      <c r="R262">
        <f>M262+IF(MAX(N262-1,0)&gt;0,IF(ISBLANK(O262),5*MAX(N262-1,0),IF(ISNUMBER(O262),O262*MAX(N262-1,0),SUM(IFERROR(VALUE(TEXTSPLIT(O262,",")),0)))),0)</f>
        <v/>
      </c>
      <c r="S262">
        <f>IFERROR(L262*MAX(N262,1)/R262*IF(ISBLANK(K259),1,K259),0)</f>
        <v/>
      </c>
      <c r="AB262" s="7" t="inlineStr">
        <is>
          <t>^Warhead_CannonHE_Heavy, ^Warhead_Concussion_Medium, ^Warhead_Demolition_Light</t>
        </is>
      </c>
    </row>
    <row r="263">
      <c r="B263" s="7" t="inlineStr">
        <is>
          <t xml:space="preserve">  ↳ NaxShoeRocket</t>
        </is>
      </c>
      <c r="C263" s="7" t="inlineStr">
        <is>
          <t>Armament@scud</t>
        </is>
      </c>
      <c r="L263" s="6" t="n">
        <v>24000</v>
      </c>
      <c r="M263" s="6" t="n">
        <v>250</v>
      </c>
      <c r="N263" s="6" t="n">
        <v>1</v>
      </c>
      <c r="O263" s="6" t="n"/>
      <c r="P263" s="6" t="n">
        <v>12000</v>
      </c>
      <c r="Q263" s="6" t="n">
        <v>1</v>
      </c>
      <c r="R263">
        <f>M263+IF(MAX(N263-1,0)&gt;0,IF(ISBLANK(O263),5*MAX(N263-1,0),IF(ISNUMBER(O263),O263*MAX(N263-1,0),SUM(IFERROR(VALUE(TEXTSPLIT(O263,",")),0)))),0)</f>
        <v/>
      </c>
      <c r="S263">
        <f>IFERROR(L263*MAX(N263,1)/R263*IF(ISBLANK(K259),1,K259),0)</f>
        <v/>
      </c>
      <c r="AB263" s="7" t="inlineStr">
        <is>
          <t>^Warhead_Demolition_Heavy, ^Warhead_Demolition_Light, ^Warhead_MissileAP_Medium</t>
        </is>
      </c>
    </row>
    <row r="264">
      <c r="A264" t="inlineStr">
        <is>
          <t>redalert2mod</t>
        </is>
      </c>
      <c r="B264" t="inlineStr">
        <is>
          <t>futuretech_oriontank</t>
        </is>
      </c>
      <c r="C264" t="inlineStr">
        <is>
          <t>Orion Tank</t>
        </is>
      </c>
      <c r="D264" s="6" t="inlineStr">
        <is>
          <t>HighTechTank</t>
        </is>
      </c>
      <c r="E264" s="6" t="n">
        <v>180000</v>
      </c>
      <c r="F264" s="6" t="n">
        <v>60</v>
      </c>
      <c r="G264" t="inlineStr">
        <is>
          <t>Superheavy</t>
        </is>
      </c>
      <c r="H264" s="6" t="n">
        <v>0.75</v>
      </c>
      <c r="I264" s="6" t="n">
        <v>1</v>
      </c>
      <c r="J264" s="6" t="n">
        <v>1</v>
      </c>
      <c r="P264">
        <f>MAX(P265,P266)</f>
        <v/>
      </c>
      <c r="S264">
        <f>S265+S266</f>
        <v/>
      </c>
      <c r="T264">
        <f>(E264/100000+F264/100+(P264/1000)*J264/5+S264/200)*200*I264*H264</f>
        <v/>
      </c>
      <c r="U264">
        <f>((E264*F264/25000)+((P264/1000)*J264*S264/2.5))*I264*H264</f>
        <v/>
      </c>
      <c r="V264">
        <f>(E264*F264*(P264/1000)*J264*S264*I264*H264)/12500000</f>
        <v/>
      </c>
      <c r="W264">
        <f>IFERROR((((E264/700000)+(F264/65)+(S264/2000)+((P264/6500)*J264))*2000/4+(((E264/700000)*(F264/65))+(((P264/6500)*J264)*(S264/2000)))*2000/2+((E264/700000)*(F264/65)*((P264/6500)*J264)*(S264/2000))*2000)*(H264/0.75)/3,"")</f>
        <v/>
      </c>
      <c r="X264" s="6" t="n">
        <v>2400</v>
      </c>
      <c r="Y264">
        <f>IFERROR(W264-X264,"")</f>
        <v/>
      </c>
      <c r="Z264">
        <f>IFERROR(ABS(Y264)/MAX(X264,1),"")</f>
        <v/>
      </c>
      <c r="AA264">
        <f>IFERROR(ROUND(((3*X264-(((E264/700000)+(F264/65)+(S264/2000))*2000/4+((E264/700000)*(F264/65))*2000/2)*(H264/0.75))/(2000/4+((S264/2000))*2000/2+((E264/700000)*(F264/65)*(S264/2000))*2000)*(H264/0.75)*6500)/J264,-1),"")</f>
        <v/>
      </c>
    </row>
    <row r="265">
      <c r="B265" s="7" t="inlineStr">
        <is>
          <t xml:space="preserve">  ↳ OrionRailgun</t>
        </is>
      </c>
      <c r="C265" s="7" t="inlineStr">
        <is>
          <t>Armament</t>
        </is>
      </c>
      <c r="L265" s="6" t="n">
        <v>60000</v>
      </c>
      <c r="M265" s="6" t="n">
        <v>60</v>
      </c>
      <c r="N265" s="6" t="n">
        <v>1</v>
      </c>
      <c r="O265" s="6" t="n"/>
      <c r="P265" s="6" t="n">
        <v>7500</v>
      </c>
      <c r="Q265" s="6" t="n">
        <v>1.25</v>
      </c>
      <c r="R265">
        <f>M265+IF(MAX(N265-1,0)&gt;0,IF(ISBLANK(O265),5*MAX(N265-1,0),IF(ISNUMBER(O265),O265*MAX(N265-1,0),SUM(IFERROR(VALUE(TEXTSPLIT(O265,",")),0)))),0)</f>
        <v/>
      </c>
      <c r="S265">
        <f>IFERROR(L265*MAX(N265,1)/R265*IF(ISBLANK(K264),1,K264),0)</f>
        <v/>
      </c>
      <c r="AB265" s="7" t="inlineStr">
        <is>
          <t>^Warhead_Railgun_Heavy, ^Warhead_CannonHE_Heavy</t>
        </is>
      </c>
    </row>
    <row r="266">
      <c r="B266" s="7" t="inlineStr">
        <is>
          <t xml:space="preserve">  ↳ OrionRailgun_elite</t>
        </is>
      </c>
      <c r="C266" s="7" t="inlineStr">
        <is>
          <t>Armament@elite</t>
        </is>
      </c>
      <c r="L266" s="6" t="n">
        <v>150000</v>
      </c>
      <c r="M266" s="6" t="n">
        <v>60</v>
      </c>
      <c r="N266" s="6" t="n">
        <v>1</v>
      </c>
      <c r="O266" s="6" t="n"/>
      <c r="P266" s="6" t="n">
        <v>9000</v>
      </c>
      <c r="Q266" s="6" t="n">
        <v>1.25</v>
      </c>
      <c r="R266">
        <f>M266+IF(MAX(N266-1,0)&gt;0,IF(ISBLANK(O266),5*MAX(N266-1,0),IF(ISNUMBER(O266),O266*MAX(N266-1,0),SUM(IFERROR(VALUE(TEXTSPLIT(O266,",")),0)))),0)</f>
        <v/>
      </c>
      <c r="S266">
        <f>IFERROR(L266*MAX(N266,1)/R266*IF(ISBLANK(K264),1,K264),0)</f>
        <v/>
      </c>
      <c r="AB266" s="7" t="inlineStr">
        <is>
          <t>^Warhead_Railgun_Heavy, ^Warhead_CannonHE_Heavy</t>
        </is>
      </c>
    </row>
    <row r="267">
      <c r="A267" t="inlineStr">
        <is>
          <t>d2k</t>
        </is>
      </c>
      <c r="B267" t="inlineStr">
        <is>
          <t>ordos_deviatortank</t>
        </is>
      </c>
      <c r="C267" t="inlineStr">
        <is>
          <t>Deviator Tank</t>
        </is>
      </c>
      <c r="D267" s="6" t="inlineStr">
        <is>
          <t>HighTechTank</t>
        </is>
      </c>
      <c r="E267" s="6" t="n">
        <v>85000</v>
      </c>
      <c r="F267" s="6" t="n">
        <v>115</v>
      </c>
      <c r="G267" t="inlineStr">
        <is>
          <t>Superheavy</t>
        </is>
      </c>
      <c r="H267" s="6" t="n">
        <v>0.75</v>
      </c>
      <c r="I267" s="6" t="n">
        <v>1</v>
      </c>
      <c r="J267" s="6" t="n">
        <v>1.25</v>
      </c>
      <c r="P267">
        <f>MAX(P268)</f>
        <v/>
      </c>
      <c r="S267">
        <f>S268</f>
        <v/>
      </c>
      <c r="T267">
        <f>(E267/100000+F267/100+(P267/1000)*J267/5+S267/200)*200*I267*H267</f>
        <v/>
      </c>
      <c r="U267">
        <f>((E267*F267/25000)+((P267/1000)*J267*S267/2.5))*I267*H267</f>
        <v/>
      </c>
      <c r="V267">
        <f>(E267*F267*(P267/1000)*J267*S267*I267*H267)/12500000</f>
        <v/>
      </c>
      <c r="W267">
        <f>IFERROR((((E267/700000)+(F267/65)+(S267/2000)+((P267/6500)*J267))*2000/4+(((E267/700000)*(F267/65))+(((P267/6500)*J267)*(S267/2000)))*2000/2+((E267/700000)*(F267/65)*((P267/6500)*J267)*(S267/2000))*2000)*(H267/0.75)/3,"")</f>
        <v/>
      </c>
      <c r="X267" s="6" t="n">
        <v>1600</v>
      </c>
      <c r="Y267">
        <f>IFERROR(W267-X267,"")</f>
        <v/>
      </c>
      <c r="Z267">
        <f>IFERROR(ABS(Y267)/MAX(X267,1),"")</f>
        <v/>
      </c>
      <c r="AA267">
        <f>IFERROR(ROUND(((3*X267-(((E267/700000)+(F267/65)+(S267/2000))*2000/4+((E267/700000)*(F267/65))*2000/2)*(H267/0.75))/(2000/4+((S267/2000))*2000/2+((E267/700000)*(F267/65)*(S267/2000))*2000)*(H267/0.75)*6500)/J267,-1),"")</f>
        <v/>
      </c>
    </row>
    <row r="268">
      <c r="B268" s="7" t="inlineStr">
        <is>
          <t xml:space="preserve">  ↳ DeviatorMissile</t>
        </is>
      </c>
      <c r="C268" s="7" t="inlineStr">
        <is>
          <t>Armament</t>
        </is>
      </c>
      <c r="L268" s="6" t="n">
        <v>40000</v>
      </c>
      <c r="M268" s="6" t="n">
        <v>98</v>
      </c>
      <c r="N268" s="6" t="n">
        <v>1</v>
      </c>
      <c r="O268" s="6" t="n"/>
      <c r="P268" s="6" t="n">
        <v>7070</v>
      </c>
      <c r="Q268" s="6" t="n">
        <v>1.25</v>
      </c>
      <c r="R268">
        <f>M268+IF(MAX(N268-1,0)&gt;0,IF(ISBLANK(O268),5*MAX(N268-1,0),IF(ISNUMBER(O268),O268*MAX(N268-1,0),SUM(IFERROR(VALUE(TEXTSPLIT(O268,",")),0)))),0)</f>
        <v/>
      </c>
      <c r="S268">
        <f>IFERROR(L268*MAX(N268,1)/R268*IF(ISBLANK(K267),1,K267),0)</f>
        <v/>
      </c>
      <c r="AB268" s="7" t="inlineStr">
        <is>
          <t>^Warhead_CannonHE_Heavy, ^Warhead_MissileAP_Heavy</t>
        </is>
      </c>
    </row>
    <row r="269">
      <c r="A269" t="inlineStr">
        <is>
          <t>d2k</t>
        </is>
      </c>
      <c r="B269" t="inlineStr">
        <is>
          <t>ordos_lasertank</t>
        </is>
      </c>
      <c r="C269" t="inlineStr">
        <is>
          <t>Laser Tank</t>
        </is>
      </c>
      <c r="D269" s="6" t="inlineStr">
        <is>
          <t>HighTechTank</t>
        </is>
      </c>
      <c r="E269" s="6" t="n">
        <v>105000</v>
      </c>
      <c r="F269" s="6" t="n">
        <v>105</v>
      </c>
      <c r="G269" t="inlineStr">
        <is>
          <t>Superheavy</t>
        </is>
      </c>
      <c r="H269" s="6" t="n">
        <v>0.4925</v>
      </c>
      <c r="I269" s="6" t="n">
        <v>1</v>
      </c>
      <c r="J269" s="6" t="n">
        <v>1</v>
      </c>
      <c r="P269">
        <f>MAX(P270)</f>
        <v/>
      </c>
      <c r="S269">
        <f>S270</f>
        <v/>
      </c>
      <c r="T269">
        <f>(E269/100000+F269/100+(P269/1000)*J269/5+S269/200)*200*I269*H269</f>
        <v/>
      </c>
      <c r="U269">
        <f>((E269*F269/25000)+((P269/1000)*J269*S269/2.5))*I269*H269</f>
        <v/>
      </c>
      <c r="V269">
        <f>(E269*F269*(P269/1000)*J269*S269*I269*H269)/12500000</f>
        <v/>
      </c>
      <c r="W269">
        <f>IFERROR((((E269/700000)+(F269/65)+(S269/2000)+((P269/6500)*J269))*2000/4+(((E269/700000)*(F269/65))+(((P269/6500)*J269)*(S269/2000)))*2000/2+((E269/700000)*(F269/65)*((P269/6500)*J269)*(S269/2000))*2000)*(H269/0.75)/3,"")</f>
        <v/>
      </c>
      <c r="X269" s="6" t="n">
        <v>2400</v>
      </c>
      <c r="Y269">
        <f>IFERROR(W269-X269,"")</f>
        <v/>
      </c>
      <c r="Z269">
        <f>IFERROR(ABS(Y269)/MAX(X269,1),"")</f>
        <v/>
      </c>
      <c r="AA269">
        <f>IFERROR(ROUND(((3*X269-(((E269/700000)+(F269/65)+(S269/2000))*2000/4+((E269/700000)*(F269/65))*2000/2)*(H269/0.75))/(2000/4+((S269/2000))*2000/2+((E269/700000)*(F269/65)*(S269/2000))*2000)*(H269/0.75)*6500)/J269,-1),"")</f>
        <v/>
      </c>
    </row>
    <row r="270">
      <c r="B270" s="7" t="inlineStr">
        <is>
          <t xml:space="preserve">  ↳ ordos_lasertank</t>
        </is>
      </c>
      <c r="C270" s="7" t="inlineStr">
        <is>
          <t>Armament</t>
        </is>
      </c>
      <c r="L270" s="6" t="n">
        <v>40000</v>
      </c>
      <c r="M270" s="6" t="n">
        <v>55</v>
      </c>
      <c r="N270" s="6" t="n">
        <v>1</v>
      </c>
      <c r="O270" s="6" t="n"/>
      <c r="P270" s="6" t="n">
        <v>7275</v>
      </c>
      <c r="Q270" s="6" t="n">
        <v>1</v>
      </c>
      <c r="R270">
        <f>M270+IF(MAX(N270-1,0)&gt;0,IF(ISBLANK(O270),5*MAX(N270-1,0),IF(ISNUMBER(O270),O270*MAX(N270-1,0),SUM(IFERROR(VALUE(TEXTSPLIT(O270,",")),0)))),0)</f>
        <v/>
      </c>
      <c r="S270">
        <f>IFERROR(L270*MAX(N270,1)/R270*IF(ISBLANK(K269),1,K269),0)</f>
        <v/>
      </c>
      <c r="AB270" s="7" t="inlineStr">
        <is>
          <t>^FlakWeapon, ^MediumMissile, ^RailgunWeapon, ^LaserWeapon</t>
        </is>
      </c>
    </row>
    <row r="271">
      <c r="A271" t="inlineStr">
        <is>
          <t>d2k</t>
        </is>
      </c>
      <c r="B271" t="inlineStr">
        <is>
          <t>duelist_tank.ixian</t>
        </is>
      </c>
      <c r="C271" t="inlineStr">
        <is>
          <t>Ix Duelist Tank</t>
        </is>
      </c>
      <c r="D271" s="6" t="inlineStr">
        <is>
          <t>HighTechTank</t>
        </is>
      </c>
      <c r="E271" s="6" t="n">
        <v>240000</v>
      </c>
      <c r="F271" s="6" t="n">
        <v>45</v>
      </c>
      <c r="G271" t="inlineStr">
        <is>
          <t>Superheavy</t>
        </is>
      </c>
      <c r="H271" s="6" t="n">
        <v>0.75</v>
      </c>
      <c r="I271" s="6" t="n">
        <v>1</v>
      </c>
      <c r="J271" s="6" t="n">
        <v>1</v>
      </c>
      <c r="K271" t="n">
        <v>0.005</v>
      </c>
      <c r="P271">
        <f>MAX(P272,P273,P274)</f>
        <v/>
      </c>
      <c r="S271">
        <f>S272+S273+S274</f>
        <v/>
      </c>
      <c r="T271">
        <f>(E271/100000+F271/100+(P271/1000)*J271/5+S271/200)*200*I271*H271</f>
        <v/>
      </c>
      <c r="U271">
        <f>((E271*F271/25000)+((P271/1000)*J271*S271/2.5))*I271*H271</f>
        <v/>
      </c>
      <c r="V271">
        <f>(E271*F271*(P271/1000)*J271*S271*I271*H271)/12500000</f>
        <v/>
      </c>
      <c r="W271">
        <f>IFERROR((((E271/700000)+(F271/65)+(S271/2000)+((P271/6500)*J271))*2000/4+(((E271/700000)*(F271/65))+(((P271/6500)*J271)*(S271/2000)))*2000/2+((E271/700000)*(F271/65)*((P271/6500)*J271)*(S271/2000))*2000)*(H271/0.75)/3,"")</f>
        <v/>
      </c>
      <c r="X271" s="6" t="n">
        <v>1800</v>
      </c>
      <c r="Y271">
        <f>IFERROR(W271-X271,"")</f>
        <v/>
      </c>
      <c r="Z271">
        <f>IFERROR(ABS(Y271)/MAX(X271,1),"")</f>
        <v/>
      </c>
      <c r="AA271">
        <f>IFERROR(ROUND(((3*X271-(((E271/700000)+(F271/65)+(S271/2000))*2000/4+((E271/700000)*(F271/65))*2000/2)*(H271/0.75))/(2000/4+((S271/2000))*2000/2+((E271/700000)*(F271/65)*(S271/2000))*2000)*(H271/0.75)*6500)/J271,-1),"")</f>
        <v/>
      </c>
    </row>
    <row r="272">
      <c r="B272" s="7" t="inlineStr">
        <is>
          <t xml:space="preserve">  ↳ DuelistTankCannon</t>
        </is>
      </c>
      <c r="C272" s="7" t="inlineStr">
        <is>
          <t>Armament</t>
        </is>
      </c>
      <c r="L272" s="6" t="n">
        <v>84000</v>
      </c>
      <c r="M272" s="6" t="n">
        <v>140</v>
      </c>
      <c r="N272" s="6" t="n">
        <v>1</v>
      </c>
      <c r="O272" s="6" t="n"/>
      <c r="P272" s="6" t="n">
        <v>7000</v>
      </c>
      <c r="Q272" s="6" t="n">
        <v>1.125</v>
      </c>
      <c r="R272">
        <f>M272+IF(MAX(N272-1,0)&gt;0,IF(ISBLANK(O272),5*MAX(N272-1,0),IF(ISNUMBER(O272),O272*MAX(N272-1,0),SUM(IFERROR(VALUE(TEXTSPLIT(O272,",")),0)))),0)</f>
        <v/>
      </c>
      <c r="S272">
        <f>IFERROR(L272*MAX(N272,1)/R272*IF(ISBLANK(K271),1,K271),0)</f>
        <v/>
      </c>
      <c r="AB272" s="7" t="inlineStr">
        <is>
          <t>^Warhead_CannonHE_Heavy, ^Warhead_CannonHE_Medium</t>
        </is>
      </c>
    </row>
    <row r="273">
      <c r="B273" s="7" t="inlineStr">
        <is>
          <t xml:space="preserve">  ↳ HMG_Duelist</t>
        </is>
      </c>
      <c r="C273" s="7" t="inlineStr">
        <is>
          <t>Armament@Guns</t>
        </is>
      </c>
      <c r="L273" s="6" t="n">
        <v>12000</v>
      </c>
      <c r="M273" s="6" t="n">
        <v>64</v>
      </c>
      <c r="N273" s="6" t="n">
        <v>4</v>
      </c>
      <c r="O273" s="6" t="n">
        <v>2</v>
      </c>
      <c r="P273" s="6" t="n">
        <v>7000</v>
      </c>
      <c r="Q273" s="6" t="n">
        <v>1</v>
      </c>
      <c r="R273">
        <f>M273+IF(MAX(N273-1,0)&gt;0,IF(ISBLANK(O273),5*MAX(N273-1,0),IF(ISNUMBER(O273),O273*MAX(N273-1,0),SUM(IFERROR(VALUE(TEXTSPLIT(O273,",")),0)))),0)</f>
        <v/>
      </c>
      <c r="S273">
        <f>IFERROR(L273*MAX(N273,1)/R273*IF(ISBLANK(K271),1,K271),0)</f>
        <v/>
      </c>
      <c r="AB273" s="7" t="inlineStr">
        <is>
          <t>^LightMissile, ^Grenade, ^SmallArms, ^MediumMissile, ^FlakWeapon, ^Chaingun</t>
        </is>
      </c>
    </row>
    <row r="274">
      <c r="B274" s="7" t="inlineStr">
        <is>
          <t xml:space="preserve">  ↳ HMG_Duelist_upgrade</t>
        </is>
      </c>
      <c r="C274" s="7" t="inlineStr">
        <is>
          <t>Armament@Upgrade</t>
        </is>
      </c>
      <c r="L274" s="6" t="n">
        <v>18000</v>
      </c>
      <c r="M274" s="6" t="n">
        <v>64</v>
      </c>
      <c r="N274" s="6" t="n">
        <v>4</v>
      </c>
      <c r="O274" s="6" t="n">
        <v>2</v>
      </c>
      <c r="P274" s="6" t="n">
        <v>7000</v>
      </c>
      <c r="Q274" s="6" t="n">
        <v>1.25</v>
      </c>
      <c r="R274">
        <f>M274+IF(MAX(N274-1,0)&gt;0,IF(ISBLANK(O274),5*MAX(N274-1,0),IF(ISNUMBER(O274),O274*MAX(N274-1,0),SUM(IFERROR(VALUE(TEXTSPLIT(O274,",")),0)))),0)</f>
        <v/>
      </c>
      <c r="S274">
        <f>IFERROR(L274*MAX(N274,1)/R274*IF(ISBLANK(K271),1,K271),0)</f>
        <v/>
      </c>
      <c r="AB274" s="7" t="inlineStr">
        <is>
          <t>^Warhead_CannonHE_Heavy</t>
        </is>
      </c>
    </row>
    <row r="275">
      <c r="A275" t="inlineStr">
        <is>
          <t>starcraft</t>
        </is>
      </c>
      <c r="B275" t="inlineStr">
        <is>
          <t>protoss_atreus</t>
        </is>
      </c>
      <c r="C275" t="inlineStr">
        <is>
          <t>Atreus</t>
        </is>
      </c>
      <c r="D275" s="6" t="inlineStr">
        <is>
          <t>HighTechTank</t>
        </is>
      </c>
      <c r="E275" s="6" t="n">
        <v>250000</v>
      </c>
      <c r="F275" s="6" t="n">
        <v>60</v>
      </c>
      <c r="G275" t="inlineStr">
        <is>
          <t>Superheavy</t>
        </is>
      </c>
      <c r="H275" s="6" t="n">
        <v>0.75</v>
      </c>
      <c r="I275" s="6" t="n">
        <v>1</v>
      </c>
      <c r="J275" s="6" t="n">
        <v>1</v>
      </c>
      <c r="P275">
        <f>MAX(P276)</f>
        <v/>
      </c>
      <c r="S275">
        <f>S276</f>
        <v/>
      </c>
      <c r="T275">
        <f>(E275/100000+F275/100+(P275/1000)*J275/5+S275/200)*200*I275*H275</f>
        <v/>
      </c>
      <c r="U275">
        <f>((E275*F275/25000)+((P275/1000)*J275*S275/2.5))*I275*H275</f>
        <v/>
      </c>
      <c r="V275">
        <f>(E275*F275*(P275/1000)*J275*S275*I275*H275)/12500000</f>
        <v/>
      </c>
      <c r="W275">
        <f>IFERROR((((E275/700000)+(F275/65)+(S275/2000)+((P275/6500)*J275))*2000/4+(((E275/700000)*(F275/65))+(((P275/6500)*J275)*(S275/2000)))*2000/2+((E275/700000)*(F275/65)*((P275/6500)*J275)*(S275/2000))*2000)*(H275/0.75)/3,"")</f>
        <v/>
      </c>
      <c r="X275" s="6" t="n">
        <v>2400</v>
      </c>
      <c r="Y275">
        <f>IFERROR(W275-X275,"")</f>
        <v/>
      </c>
      <c r="Z275">
        <f>IFERROR(ABS(Y275)/MAX(X275,1),"")</f>
        <v/>
      </c>
      <c r="AA275">
        <f>IFERROR(ROUND(((3*X275-(((E275/700000)+(F275/65)+(S275/2000))*2000/4+((E275/700000)*(F275/65))*2000/2)*(H275/0.75))/(2000/4+((S275/2000))*2000/2+((E275/700000)*(F275/65)*(S275/2000))*2000)*(H275/0.75)*6500)/J275,-1),"")</f>
        <v/>
      </c>
    </row>
    <row r="276">
      <c r="B276" s="7" t="inlineStr">
        <is>
          <t xml:space="preserve">  ↳ AtreusMG</t>
        </is>
      </c>
      <c r="C276" s="7" t="inlineStr">
        <is>
          <t>Armament</t>
        </is>
      </c>
      <c r="L276" s="6" t="n">
        <v>10000</v>
      </c>
      <c r="M276" s="6" t="n">
        <v>28</v>
      </c>
      <c r="N276" s="6" t="n">
        <v>4</v>
      </c>
      <c r="O276" s="6" t="n">
        <v>4</v>
      </c>
      <c r="P276" s="6" t="n">
        <v>4500</v>
      </c>
      <c r="Q276" s="6" t="n">
        <v>1.125</v>
      </c>
      <c r="R276">
        <f>M276+IF(MAX(N276-1,0)&gt;0,IF(ISBLANK(O276),5*MAX(N276-1,0),IF(ISNUMBER(O276),O276*MAX(N276-1,0),SUM(IFERROR(VALUE(TEXTSPLIT(O276,",")),0)))),0)</f>
        <v/>
      </c>
      <c r="S276">
        <f>IFERROR(L276*MAX(N276,1)/R276*IF(ISBLANK(K275),1,K275),0)</f>
        <v/>
      </c>
      <c r="AB276" s="7" t="inlineStr">
        <is>
          <t>^Warhead_CannonHE_Heavy, ^Warhead_Bullet_Medium</t>
        </is>
      </c>
    </row>
    <row r="277">
      <c r="A277" t="inlineStr">
        <is>
          <t>starcraft</t>
        </is>
      </c>
      <c r="B277" t="inlineStr">
        <is>
          <t>zerg_goremaw</t>
        </is>
      </c>
      <c r="C277" t="inlineStr">
        <is>
          <t>Goremaw</t>
        </is>
      </c>
      <c r="D277" s="6" t="inlineStr">
        <is>
          <t>HighTechTank</t>
        </is>
      </c>
      <c r="E277" s="6" t="n">
        <v>150000</v>
      </c>
      <c r="F277" s="6" t="n">
        <v>150</v>
      </c>
      <c r="G277" t="inlineStr">
        <is>
          <t>Superheavy</t>
        </is>
      </c>
      <c r="H277" s="6" t="n">
        <v>0.75</v>
      </c>
      <c r="I277" s="6" t="n">
        <v>1</v>
      </c>
      <c r="J277" s="6" t="n">
        <v>1.25</v>
      </c>
      <c r="P277">
        <f>MAX(P278)</f>
        <v/>
      </c>
      <c r="S277">
        <f>S278</f>
        <v/>
      </c>
      <c r="T277">
        <f>(E277/100000+F277/100+(P277/1000)*J277/5+S277/200)*200*I277*H277</f>
        <v/>
      </c>
      <c r="U277">
        <f>((E277*F277/25000)+((P277/1000)*J277*S277/2.5))*I277*H277</f>
        <v/>
      </c>
      <c r="V277">
        <f>(E277*F277*(P277/1000)*J277*S277*I277*H277)/12500000</f>
        <v/>
      </c>
      <c r="W277">
        <f>IFERROR((((E277/700000)+(F277/65)+(S277/2000)+((P277/6500)*J277))*2000/4+(((E277/700000)*(F277/65))+(((P277/6500)*J277)*(S277/2000)))*2000/2+((E277/700000)*(F277/65)*((P277/6500)*J277)*(S277/2000))*2000)*(H277/0.75)/3,"")</f>
        <v/>
      </c>
      <c r="X277" s="6" t="n">
        <v>1500</v>
      </c>
      <c r="Y277">
        <f>IFERROR(W277-X277,"")</f>
        <v/>
      </c>
      <c r="Z277">
        <f>IFERROR(ABS(Y277)/MAX(X277,1),"")</f>
        <v/>
      </c>
      <c r="AA277">
        <f>IFERROR(ROUND(((3*X277-(((E277/700000)+(F277/65)+(S277/2000))*2000/4+((E277/700000)*(F277/65))*2000/2)*(H277/0.75))/(2000/4+((S277/2000))*2000/2+((E277/700000)*(F277/65)*(S277/2000))*2000)*(H277/0.75)*6500)/J277,-1),"")</f>
        <v/>
      </c>
    </row>
    <row r="278">
      <c r="B278" s="7" t="inlineStr">
        <is>
          <t xml:space="preserve">  ↳ GoremawClaw</t>
        </is>
      </c>
      <c r="C278" s="7" t="inlineStr">
        <is>
          <t>Armament</t>
        </is>
      </c>
      <c r="L278" s="6" t="n">
        <v>30000</v>
      </c>
      <c r="M278" s="6" t="n">
        <v>30</v>
      </c>
      <c r="N278" s="6" t="n">
        <v>1</v>
      </c>
      <c r="O278" s="6" t="n"/>
      <c r="P278" s="6" t="n">
        <v>1250</v>
      </c>
      <c r="Q278" s="6" t="n">
        <v>1</v>
      </c>
      <c r="R278">
        <f>M278+IF(MAX(N278-1,0)&gt;0,IF(ISBLANK(O278),5*MAX(N278-1,0),IF(ISNUMBER(O278),O278*MAX(N278-1,0),SUM(IFERROR(VALUE(TEXTSPLIT(O278,",")),0)))),0)</f>
        <v/>
      </c>
      <c r="S278">
        <f>IFERROR(L278*MAX(N278,1)/R278*IF(ISBLANK(K277),1,K277),0)</f>
        <v/>
      </c>
      <c r="AB278" s="7" t="inlineStr">
        <is>
          <t>^Warhead_Melee_Medium</t>
        </is>
      </c>
    </row>
    <row r="279">
      <c r="A279" t="inlineStr">
        <is>
          <t>starcraft</t>
        </is>
      </c>
      <c r="B279" t="inlineStr">
        <is>
          <t>terran_goliath</t>
        </is>
      </c>
      <c r="C279" t="inlineStr">
        <is>
          <t>Goliath</t>
        </is>
      </c>
      <c r="D279" s="6" t="inlineStr">
        <is>
          <t>HighTechTank</t>
        </is>
      </c>
      <c r="E279" s="6" t="n">
        <v>125000</v>
      </c>
      <c r="F279" s="6" t="n">
        <v>90</v>
      </c>
      <c r="G279" t="inlineStr">
        <is>
          <t>Superheavy</t>
        </is>
      </c>
      <c r="H279" s="6" t="n">
        <v>0.75</v>
      </c>
      <c r="I279" s="6" t="n">
        <v>1</v>
      </c>
      <c r="J279" s="6" t="n">
        <v>1</v>
      </c>
      <c r="K279" t="n">
        <v>0.0033</v>
      </c>
      <c r="P279">
        <f>MAX(P280,P281,P282,P283)</f>
        <v/>
      </c>
      <c r="S279">
        <f>S280+S281+S282+S283</f>
        <v/>
      </c>
      <c r="T279">
        <f>(E279/100000+F279/100+(P279/1000)*J279/5+S279/200)*200*I279*H279</f>
        <v/>
      </c>
      <c r="U279">
        <f>((E279*F279/25000)+((P279/1000)*J279*S279/2.5))*I279*H279</f>
        <v/>
      </c>
      <c r="V279">
        <f>(E279*F279*(P279/1000)*J279*S279*I279*H279)/12500000</f>
        <v/>
      </c>
      <c r="W279">
        <f>IFERROR((((E279/700000)+(F279/65)+(S279/2000)+((P279/6500)*J279))*2000/4+(((E279/700000)*(F279/65))+(((P279/6500)*J279)*(S279/2000)))*2000/2+((E279/700000)*(F279/65)*((P279/6500)*J279)*(S279/2000))*2000)*(H279/0.75)/3,"")</f>
        <v/>
      </c>
      <c r="X279" s="6" t="n">
        <v>1600</v>
      </c>
      <c r="Y279">
        <f>IFERROR(W279-X279,"")</f>
        <v/>
      </c>
      <c r="Z279">
        <f>IFERROR(ABS(Y279)/MAX(X279,1),"")</f>
        <v/>
      </c>
      <c r="AA279">
        <f>IFERROR(ROUND(((3*X279-(((E279/700000)+(F279/65)+(S279/2000))*2000/4+((E279/700000)*(F279/65))*2000/2)*(H279/0.75))/(2000/4+((S279/2000))*2000/2+((E279/700000)*(F279/65)*(S279/2000))*2000)*(H279/0.75)*6500)/J279,-1),"")</f>
        <v/>
      </c>
    </row>
    <row r="280">
      <c r="B280" s="7" t="inlineStr">
        <is>
          <t xml:space="preserve">  ↳ GoliathMG</t>
        </is>
      </c>
      <c r="C280" s="7" t="inlineStr">
        <is>
          <t>Armament@G1</t>
        </is>
      </c>
      <c r="L280" s="6" t="n">
        <v>6000</v>
      </c>
      <c r="M280" s="6" t="n">
        <v>16</v>
      </c>
      <c r="N280" s="6" t="n">
        <v>3</v>
      </c>
      <c r="O280" s="6" t="n">
        <v>2</v>
      </c>
      <c r="P280" s="6" t="n">
        <v>6000</v>
      </c>
      <c r="Q280" s="6" t="n">
        <v>1</v>
      </c>
      <c r="R280">
        <f>M280+IF(MAX(N280-1,0)&gt;0,IF(ISBLANK(O280),5*MAX(N280-1,0),IF(ISNUMBER(O280),O280*MAX(N280-1,0),SUM(IFERROR(VALUE(TEXTSPLIT(O280,",")),0)))),0)</f>
        <v/>
      </c>
      <c r="S280">
        <f>IFERROR(L280*MAX(N280,1)/R280*IF(ISBLANK(K279),1,K279),0)</f>
        <v/>
      </c>
      <c r="AB280" s="7" t="inlineStr">
        <is>
          <t>^Warhead_Concussion_Light, ^Warhead_CannonHE_Heavy, ^Warhead_Bullet_Medium</t>
        </is>
      </c>
    </row>
    <row r="281">
      <c r="B281" s="7" t="inlineStr">
        <is>
          <t xml:space="preserve">  ↳ GoliathMG</t>
        </is>
      </c>
      <c r="C281" s="7" t="inlineStr">
        <is>
          <t>Armament@G2</t>
        </is>
      </c>
      <c r="L281" s="6" t="n">
        <v>6000</v>
      </c>
      <c r="M281" s="6" t="n">
        <v>16</v>
      </c>
      <c r="N281" s="6" t="n">
        <v>3</v>
      </c>
      <c r="O281" s="6" t="n">
        <v>2</v>
      </c>
      <c r="P281" s="6" t="n">
        <v>6000</v>
      </c>
      <c r="Q281" s="6" t="n">
        <v>1</v>
      </c>
      <c r="R281">
        <f>M281+IF(MAX(N281-1,0)&gt;0,IF(ISBLANK(O281),5*MAX(N281-1,0),IF(ISNUMBER(O281),O281*MAX(N281-1,0),SUM(IFERROR(VALUE(TEXTSPLIT(O281,",")),0)))),0)</f>
        <v/>
      </c>
      <c r="S281">
        <f>IFERROR(L281*MAX(N281,1)/R281*IF(ISBLANK(K279),1,K279),0)</f>
        <v/>
      </c>
      <c r="AB281" s="7" t="inlineStr">
        <is>
          <t>^Warhead_Concussion_Light, ^Warhead_CannonHE_Heavy, ^Warhead_Bullet_Medium</t>
        </is>
      </c>
    </row>
    <row r="282">
      <c r="B282" s="7" t="inlineStr">
        <is>
          <t xml:space="preserve">  ↳ GoliathRockets_AA</t>
        </is>
      </c>
      <c r="C282" s="7" t="inlineStr">
        <is>
          <t>Armament@A1</t>
        </is>
      </c>
      <c r="L282" s="6" t="n">
        <v>30000</v>
      </c>
      <c r="M282" s="6" t="n">
        <v>33</v>
      </c>
      <c r="N282" s="6" t="n">
        <v>1</v>
      </c>
      <c r="O282" s="6" t="n"/>
      <c r="P282" s="6" t="n">
        <v>6000</v>
      </c>
      <c r="Q282" s="6" t="n">
        <v>1.25</v>
      </c>
      <c r="R282">
        <f>M282+IF(MAX(N282-1,0)&gt;0,IF(ISBLANK(O282),5*MAX(N282-1,0),IF(ISNUMBER(O282),O282*MAX(N282-1,0),SUM(IFERROR(VALUE(TEXTSPLIT(O282,",")),0)))),0)</f>
        <v/>
      </c>
      <c r="S282">
        <f>IFERROR(L282*MAX(N282,1)/R282*IF(ISBLANK(K279),1,K279),0)</f>
        <v/>
      </c>
      <c r="AB282" s="7" t="inlineStr">
        <is>
          <t>^Warhead_MissileAA_Heavy</t>
        </is>
      </c>
    </row>
    <row r="283">
      <c r="B283" s="7" t="inlineStr">
        <is>
          <t xml:space="preserve">  ↳ GoliathRockets_AA</t>
        </is>
      </c>
      <c r="C283" s="7" t="inlineStr">
        <is>
          <t>Armament@A2</t>
        </is>
      </c>
      <c r="L283" s="6" t="n">
        <v>30000</v>
      </c>
      <c r="M283" s="6" t="n">
        <v>33</v>
      </c>
      <c r="N283" s="6" t="n">
        <v>1</v>
      </c>
      <c r="O283" s="6" t="n"/>
      <c r="P283" s="6" t="n">
        <v>6000</v>
      </c>
      <c r="Q283" s="6" t="n">
        <v>1.25</v>
      </c>
      <c r="R283">
        <f>M283+IF(MAX(N283-1,0)&gt;0,IF(ISBLANK(O283),5*MAX(N283-1,0),IF(ISNUMBER(O283),O283*MAX(N283-1,0),SUM(IFERROR(VALUE(TEXTSPLIT(O283,",")),0)))),0)</f>
        <v/>
      </c>
      <c r="S283">
        <f>IFERROR(L283*MAX(N283,1)/R283*IF(ISBLANK(K279),1,K279),0)</f>
        <v/>
      </c>
      <c r="AB283" s="7" t="inlineStr">
        <is>
          <t>^Warhead_MissileAA_Heavy</t>
        </is>
      </c>
    </row>
    <row r="284">
      <c r="A284" t="inlineStr">
        <is>
          <t>starcraft</t>
        </is>
      </c>
      <c r="B284" t="inlineStr">
        <is>
          <t>terran_goliathmk2</t>
        </is>
      </c>
      <c r="C284" t="inlineStr">
        <is>
          <t>Goliath Mk2</t>
        </is>
      </c>
      <c r="D284" s="6" t="inlineStr">
        <is>
          <t>HighTechTank</t>
        </is>
      </c>
      <c r="E284" s="6" t="n">
        <v>175000</v>
      </c>
      <c r="F284" s="6" t="n">
        <v>75</v>
      </c>
      <c r="G284" t="inlineStr">
        <is>
          <t>Superheavy</t>
        </is>
      </c>
      <c r="H284" s="6" t="n">
        <v>0.75</v>
      </c>
      <c r="I284" s="6" t="n">
        <v>1</v>
      </c>
      <c r="J284" s="6" t="n">
        <v>1</v>
      </c>
      <c r="K284" t="n">
        <v>0.0025</v>
      </c>
      <c r="P284">
        <f>MAX(P285,P286,P287,P288)</f>
        <v/>
      </c>
      <c r="S284">
        <f>S285+S286+S287+S288</f>
        <v/>
      </c>
      <c r="T284">
        <f>(E284/100000+F284/100+(P284/1000)*J284/5+S284/200)*200*I284*H284</f>
        <v/>
      </c>
      <c r="U284">
        <f>((E284*F284/25000)+((P284/1000)*J284*S284/2.5))*I284*H284</f>
        <v/>
      </c>
      <c r="V284">
        <f>(E284*F284*(P284/1000)*J284*S284*I284*H284)/12500000</f>
        <v/>
      </c>
      <c r="W284">
        <f>IFERROR((((E284/700000)+(F284/65)+(S284/2000)+((P284/6500)*J284))*2000/4+(((E284/700000)*(F284/65))+(((P284/6500)*J284)*(S284/2000)))*2000/2+((E284/700000)*(F284/65)*((P284/6500)*J284)*(S284/2000))*2000)*(H284/0.75)/3,"")</f>
        <v/>
      </c>
      <c r="X284" s="6" t="n">
        <v>2400</v>
      </c>
      <c r="Y284">
        <f>IFERROR(W284-X284,"")</f>
        <v/>
      </c>
      <c r="Z284">
        <f>IFERROR(ABS(Y284)/MAX(X284,1),"")</f>
        <v/>
      </c>
      <c r="AA284">
        <f>IFERROR(ROUND(((3*X284-(((E284/700000)+(F284/65)+(S284/2000))*2000/4+((E284/700000)*(F284/65))*2000/2)*(H284/0.75))/(2000/4+((S284/2000))*2000/2+((E284/700000)*(F284/65)*(S284/2000))*2000)*(H284/0.75)*6500)/J284,-1),"")</f>
        <v/>
      </c>
    </row>
    <row r="285">
      <c r="B285" s="7" t="inlineStr">
        <is>
          <t xml:space="preserve">  ↳ GoliathMk2MG</t>
        </is>
      </c>
      <c r="C285" s="7" t="inlineStr">
        <is>
          <t>Armament@G1</t>
        </is>
      </c>
      <c r="L285" s="6" t="n">
        <v>8000</v>
      </c>
      <c r="M285" s="6" t="n">
        <v>34</v>
      </c>
      <c r="N285" s="6" t="n">
        <v>4</v>
      </c>
      <c r="O285" s="6" t="n">
        <v>2</v>
      </c>
      <c r="P285" s="6" t="n">
        <v>6479</v>
      </c>
      <c r="Q285" s="6" t="n">
        <v>1.125</v>
      </c>
      <c r="R285">
        <f>M285+IF(MAX(N285-1,0)&gt;0,IF(ISBLANK(O285),5*MAX(N285-1,0),IF(ISNUMBER(O285),O285*MAX(N285-1,0),SUM(IFERROR(VALUE(TEXTSPLIT(O285,",")),0)))),0)</f>
        <v/>
      </c>
      <c r="S285">
        <f>IFERROR(L285*MAX(N285,1)/R285*IF(ISBLANK(K284),1,K284),0)</f>
        <v/>
      </c>
      <c r="AB285" s="7" t="inlineStr">
        <is>
          <t>^Warhead_CannonHE_Heavy, ^Warhead_Bullet_Medium</t>
        </is>
      </c>
    </row>
    <row r="286">
      <c r="B286" s="7" t="inlineStr">
        <is>
          <t xml:space="preserve">  ↳ GoliathMk2MG</t>
        </is>
      </c>
      <c r="C286" s="7" t="inlineStr">
        <is>
          <t>Armament@G2</t>
        </is>
      </c>
      <c r="L286" s="6" t="n">
        <v>8000</v>
      </c>
      <c r="M286" s="6" t="n">
        <v>34</v>
      </c>
      <c r="N286" s="6" t="n">
        <v>4</v>
      </c>
      <c r="O286" s="6" t="n">
        <v>2</v>
      </c>
      <c r="P286" s="6" t="n">
        <v>6479</v>
      </c>
      <c r="Q286" s="6" t="n">
        <v>1.125</v>
      </c>
      <c r="R286">
        <f>M286+IF(MAX(N286-1,0)&gt;0,IF(ISBLANK(O286),5*MAX(N286-1,0),IF(ISNUMBER(O286),O286*MAX(N286-1,0),SUM(IFERROR(VALUE(TEXTSPLIT(O286,",")),0)))),0)</f>
        <v/>
      </c>
      <c r="S286">
        <f>IFERROR(L286*MAX(N286,1)/R286*IF(ISBLANK(K284),1,K284),0)</f>
        <v/>
      </c>
      <c r="AB286" s="7" t="inlineStr">
        <is>
          <t>^Warhead_CannonHE_Heavy, ^Warhead_Bullet_Medium</t>
        </is>
      </c>
    </row>
    <row r="287">
      <c r="B287" s="7" t="inlineStr">
        <is>
          <t xml:space="preserve">  ↳ GoliathMk2Rockets</t>
        </is>
      </c>
      <c r="C287" s="7" t="inlineStr">
        <is>
          <t>Armament@A1</t>
        </is>
      </c>
      <c r="L287" s="6" t="n">
        <v>32000</v>
      </c>
      <c r="M287" s="6" t="n">
        <v>40</v>
      </c>
      <c r="N287" s="6" t="n">
        <v>1</v>
      </c>
      <c r="O287" s="6" t="n"/>
      <c r="P287" s="6" t="n">
        <v>6479</v>
      </c>
      <c r="Q287" s="6" t="n">
        <v>1.25</v>
      </c>
      <c r="R287">
        <f>M287+IF(MAX(N287-1,0)&gt;0,IF(ISBLANK(O287),5*MAX(N287-1,0),IF(ISNUMBER(O287),O287*MAX(N287-1,0),SUM(IFERROR(VALUE(TEXTSPLIT(O287,",")),0)))),0)</f>
        <v/>
      </c>
      <c r="S287">
        <f>IFERROR(L287*MAX(N287,1)/R287*IF(ISBLANK(K284),1,K284),0)</f>
        <v/>
      </c>
      <c r="AB287" s="7" t="inlineStr">
        <is>
          <t>^Warhead_MissileAP_Heavy</t>
        </is>
      </c>
    </row>
    <row r="288">
      <c r="B288" s="7" t="inlineStr">
        <is>
          <t xml:space="preserve">  ↳ GoliathMk2Rockets</t>
        </is>
      </c>
      <c r="C288" s="7" t="inlineStr">
        <is>
          <t>Armament@A2</t>
        </is>
      </c>
      <c r="L288" s="6" t="n">
        <v>32000</v>
      </c>
      <c r="M288" s="6" t="n">
        <v>40</v>
      </c>
      <c r="N288" s="6" t="n">
        <v>1</v>
      </c>
      <c r="O288" s="6" t="n"/>
      <c r="P288" s="6" t="n">
        <v>6479</v>
      </c>
      <c r="Q288" s="6" t="n">
        <v>1.25</v>
      </c>
      <c r="R288">
        <f>M288+IF(MAX(N288-1,0)&gt;0,IF(ISBLANK(O288),5*MAX(N288-1,0),IF(ISNUMBER(O288),O288*MAX(N288-1,0),SUM(IFERROR(VALUE(TEXTSPLIT(O288,",")),0)))),0)</f>
        <v/>
      </c>
      <c r="S288">
        <f>IFERROR(L288*MAX(N288,1)/R288*IF(ISBLANK(K284),1,K284),0)</f>
        <v/>
      </c>
      <c r="AB288" s="7" t="inlineStr">
        <is>
          <t>^Warhead_MissileAP_Heavy</t>
        </is>
      </c>
    </row>
    <row r="289">
      <c r="A289" s="4" t="inlineStr">
        <is>
          <t>LineBreaker</t>
        </is>
      </c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  <c r="AB289" s="5" t="n"/>
    </row>
    <row r="290">
      <c r="A290" t="inlineStr">
        <is>
          <t>tiberiandawn</t>
        </is>
      </c>
      <c r="B290" t="inlineStr">
        <is>
          <t>td_gdi_assaultapc</t>
        </is>
      </c>
      <c r="C290" t="inlineStr">
        <is>
          <t>Assault APC</t>
        </is>
      </c>
      <c r="D290" s="6" t="inlineStr">
        <is>
          <t>LineBreaker</t>
        </is>
      </c>
      <c r="E290" s="6" t="n">
        <v>250000</v>
      </c>
      <c r="F290" s="6" t="n">
        <v>100</v>
      </c>
      <c r="G290" t="inlineStr">
        <is>
          <t>Superheavy</t>
        </is>
      </c>
      <c r="H290" s="6" t="n">
        <v>0.75</v>
      </c>
      <c r="I290" s="6" t="n">
        <v>1</v>
      </c>
      <c r="J290" s="6" t="n">
        <v>1</v>
      </c>
      <c r="P290">
        <f>MAX(P291,P292,P293,P294)</f>
        <v/>
      </c>
      <c r="S290">
        <f>S291+S292+S293+S294</f>
        <v/>
      </c>
      <c r="T290">
        <f>(E290/100000+F290/100+(P290/1000)*J290/5+S290/200)*200*I290*H290</f>
        <v/>
      </c>
      <c r="U290">
        <f>((E290*F290/25000)+((P290/1000)*J290*S290/2.5))*I290*H290</f>
        <v/>
      </c>
      <c r="V290">
        <f>(E290*F290*(P290/1000)*J290*S290*I290*H290)/12500000</f>
        <v/>
      </c>
      <c r="W290">
        <f>IFERROR((((E290/750000)+(F290/80)+(S290/1600)+((P290/2500)*J290))*1600/4+(((E290/750000)*(F290/80))+(((P290/2500)*J290)*(S290/1600)))*1600/2+((E290/750000)*(F290/80)*((P290/2500)*J290)*(S290/1600))*1600)*(H290/1.0)/3,"")</f>
        <v/>
      </c>
      <c r="X290" s="6" t="n">
        <v>4500</v>
      </c>
      <c r="Y290">
        <f>IFERROR(W290-X290,"")</f>
        <v/>
      </c>
      <c r="Z290">
        <f>IFERROR(ABS(Y290)/MAX(X290,1),"")</f>
        <v/>
      </c>
      <c r="AA290">
        <f>IFERROR(ROUND(((3*X290-(((E290/750000)+(F290/80)+(S290/1600))*1600/4+((E290/750000)*(F290/80))*1600/2)*(H290/1.0))/(1600/4+((S290/1600))*1600/2+((E290/750000)*(F290/80)*(S290/1600))*1600)*(H290/1.0)*2500)/J290,-1),"")</f>
        <v/>
      </c>
    </row>
    <row r="291">
      <c r="B291" s="7" t="inlineStr">
        <is>
          <t xml:space="preserve">  ↳ MachineGunHumvee2</t>
        </is>
      </c>
      <c r="C291" s="7" t="inlineStr">
        <is>
          <t>Armament</t>
        </is>
      </c>
      <c r="L291" s="6" t="n">
        <v>2000</v>
      </c>
      <c r="M291" s="6" t="n">
        <v>30</v>
      </c>
      <c r="N291" s="6" t="n">
        <v>4</v>
      </c>
      <c r="O291" s="6" t="n">
        <v>4</v>
      </c>
      <c r="P291" s="6" t="n">
        <v>5598</v>
      </c>
      <c r="Q291" s="6" t="n">
        <v>0.75</v>
      </c>
      <c r="R291">
        <f>M291+IF(MAX(N291-1,0)&gt;0,IF(ISBLANK(O291),5*MAX(N291-1,0),IF(ISNUMBER(O291),O291*MAX(N291-1,0),SUM(IFERROR(VALUE(TEXTSPLIT(O291,",")),0)))),0)</f>
        <v/>
      </c>
      <c r="S291">
        <f>IFERROR(L291*MAX(N291,1)/R291*IF(ISBLANK(K290),1,K290),0)</f>
        <v/>
      </c>
      <c r="AB291" s="7" t="inlineStr">
        <is>
          <t>^Warhead_Bullet_Light</t>
        </is>
      </c>
    </row>
    <row r="292">
      <c r="B292" s="7" t="inlineStr">
        <is>
          <t xml:space="preserve">  ↳ MachineGunHumvee2_AA</t>
        </is>
      </c>
      <c r="C292" s="7" t="inlineStr">
        <is>
          <t>Armament@AA</t>
        </is>
      </c>
      <c r="L292" s="6" t="n">
        <v>2000</v>
      </c>
      <c r="M292" s="6" t="n">
        <v>30</v>
      </c>
      <c r="N292" s="6" t="n">
        <v>4</v>
      </c>
      <c r="O292" s="6" t="n">
        <v>4</v>
      </c>
      <c r="P292" s="6" t="n">
        <v>8397</v>
      </c>
      <c r="Q292" s="6" t="n">
        <v>0.75</v>
      </c>
      <c r="R292">
        <f>M292+IF(MAX(N292-1,0)&gt;0,IF(ISBLANK(O292),5*MAX(N292-1,0),IF(ISNUMBER(O292),O292*MAX(N292-1,0),SUM(IFERROR(VALUE(TEXTSPLIT(O292,",")),0)))),0)</f>
        <v/>
      </c>
      <c r="S292">
        <f>IFERROR(L292*MAX(N292,1)/R292*IF(ISBLANK(K290),1,K290),0)</f>
        <v/>
      </c>
      <c r="AB292" s="7" t="inlineStr">
        <is>
          <t>^Warhead_Bullet_Light</t>
        </is>
      </c>
    </row>
    <row r="293">
      <c r="B293" s="7" t="inlineStr">
        <is>
          <t xml:space="preserve">  ↳ MachineGunHumvee2AP</t>
        </is>
      </c>
      <c r="C293" s="7" t="inlineStr">
        <is>
          <t>Armament@Upgrade</t>
        </is>
      </c>
      <c r="L293" s="6" t="n">
        <v>2000</v>
      </c>
      <c r="M293" s="6" t="n">
        <v>30</v>
      </c>
      <c r="N293" s="6" t="n">
        <v>4</v>
      </c>
      <c r="O293" s="6" t="n">
        <v>4</v>
      </c>
      <c r="P293" s="6" t="n">
        <v>5598</v>
      </c>
      <c r="Q293" s="6" t="n">
        <v>1</v>
      </c>
      <c r="R293">
        <f>M293+IF(MAX(N293-1,0)&gt;0,IF(ISBLANK(O293),5*MAX(N293-1,0),IF(ISNUMBER(O293),O293*MAX(N293-1,0),SUM(IFERROR(VALUE(TEXTSPLIT(O293,",")),0)))),0)</f>
        <v/>
      </c>
      <c r="S293">
        <f>IFERROR(L293*MAX(N293,1)/R293*IF(ISBLANK(K290),1,K290),0)</f>
        <v/>
      </c>
      <c r="AB293" s="7" t="inlineStr">
        <is>
          <t>^Warhead_Bullet_Medium</t>
        </is>
      </c>
    </row>
    <row r="294">
      <c r="B294" s="7" t="inlineStr">
        <is>
          <t xml:space="preserve">  ↳ MachineGunHumvee2AP_AA</t>
        </is>
      </c>
      <c r="C294" s="7" t="inlineStr">
        <is>
          <t>Armament@UpgradeAA</t>
        </is>
      </c>
      <c r="L294" s="6" t="n">
        <v>2000</v>
      </c>
      <c r="M294" s="6" t="n">
        <v>30</v>
      </c>
      <c r="N294" s="6" t="n">
        <v>4</v>
      </c>
      <c r="O294" s="6" t="n">
        <v>4</v>
      </c>
      <c r="P294" s="6" t="n">
        <v>8397</v>
      </c>
      <c r="Q294" s="6" t="n">
        <v>1</v>
      </c>
      <c r="R294">
        <f>M294+IF(MAX(N294-1,0)&gt;0,IF(ISBLANK(O294),5*MAX(N294-1,0),IF(ISNUMBER(O294),O294*MAX(N294-1,0),SUM(IFERROR(VALUE(TEXTSPLIT(O294,",")),0)))),0)</f>
        <v/>
      </c>
      <c r="S294">
        <f>IFERROR(L294*MAX(N294,1)/R294*IF(ISBLANK(K290),1,K290),0)</f>
        <v/>
      </c>
      <c r="AB294" s="7" t="inlineStr">
        <is>
          <t>^Warhead_Bullet_Medium</t>
        </is>
      </c>
    </row>
    <row r="295">
      <c r="A295" t="inlineStr">
        <is>
          <t>tiberiandawn</t>
        </is>
      </c>
      <c r="B295" t="inlineStr">
        <is>
          <t>td_nod_flametank</t>
        </is>
      </c>
      <c r="C295" t="inlineStr">
        <is>
          <t>Nod Flame Tank</t>
        </is>
      </c>
      <c r="D295" s="6" t="inlineStr">
        <is>
          <t>LineBreaker</t>
        </is>
      </c>
      <c r="E295" s="6" t="n">
        <v>100000</v>
      </c>
      <c r="F295" s="6" t="n">
        <v>80</v>
      </c>
      <c r="G295" t="inlineStr">
        <is>
          <t>Superheavy</t>
        </is>
      </c>
      <c r="H295" s="6" t="n">
        <v>1</v>
      </c>
      <c r="I295" s="6" t="n">
        <v>1</v>
      </c>
      <c r="J295" s="6" t="n">
        <v>1</v>
      </c>
      <c r="P295">
        <f>MAX(P296)</f>
        <v/>
      </c>
      <c r="S295">
        <f>S296</f>
        <v/>
      </c>
      <c r="T295">
        <f>(E295/100000+F295/100+(P295/1000)*J295/5+S295/200)*200*I295*H295</f>
        <v/>
      </c>
      <c r="U295">
        <f>((E295*F295/25000)+((P295/1000)*J295*S295/2.5))*I295*H295</f>
        <v/>
      </c>
      <c r="V295">
        <f>(E295*F295*(P295/1000)*J295*S295*I295*H295)/12500000</f>
        <v/>
      </c>
      <c r="W295">
        <f>IFERROR((((E295/750000)+(F295/80)+(S295/1600)+((P295/2500)*J295))*1600/4+(((E295/750000)*(F295/80))+(((P295/2500)*J295)*(S295/1600)))*1600/2+((E295/750000)*(F295/80)*((P295/2500)*J295)*(S295/1600))*1600)*(H295/1.0)/3,"")</f>
        <v/>
      </c>
      <c r="X295" s="6" t="n">
        <v>800</v>
      </c>
      <c r="Y295">
        <f>IFERROR(W295-X295,"")</f>
        <v/>
      </c>
      <c r="Z295">
        <f>IFERROR(ABS(Y295)/MAX(X295,1),"")</f>
        <v/>
      </c>
      <c r="AA295">
        <f>IFERROR(ROUND(((3*X295-(((E295/750000)+(F295/80)+(S295/1600))*1600/4+((E295/750000)*(F295/80))*1600/2)*(H295/1.0))/(1600/4+((S295/1600))*1600/2+((E295/750000)*(F295/80)*(S295/1600))*1600)*(H295/1.0)*2500)/J295,-1),"")</f>
        <v/>
      </c>
    </row>
    <row r="296">
      <c r="B296" s="7" t="inlineStr">
        <is>
          <t xml:space="preserve">  ↳ BigFlamer</t>
        </is>
      </c>
      <c r="C296" s="7" t="inlineStr">
        <is>
          <t>Armament</t>
        </is>
      </c>
      <c r="L296" s="6" t="n">
        <v>14000</v>
      </c>
      <c r="M296" s="6" t="n">
        <v>50</v>
      </c>
      <c r="N296" s="6" t="n">
        <v>2</v>
      </c>
      <c r="O296" s="6" t="n">
        <v>10</v>
      </c>
      <c r="P296" s="6" t="n">
        <v>2390</v>
      </c>
      <c r="Q296" s="6" t="n">
        <v>1</v>
      </c>
      <c r="R296">
        <f>M296+IF(MAX(N296-1,0)&gt;0,IF(ISBLANK(O296),5*MAX(N296-1,0),IF(ISNUMBER(O296),O296*MAX(N296-1,0),SUM(IFERROR(VALUE(TEXTSPLIT(O296,",")),0)))),0)</f>
        <v/>
      </c>
      <c r="S296">
        <f>IFERROR(L296*MAX(N296,1)/R296*IF(ISBLANK(K295),1,K295),0)</f>
        <v/>
      </c>
      <c r="AB296" s="7" t="inlineStr">
        <is>
          <t>^Warhead_Flame_Medium</t>
        </is>
      </c>
    </row>
    <row r="297">
      <c r="A297" t="inlineStr">
        <is>
          <t>tiberiandawn</t>
        </is>
      </c>
      <c r="B297" t="inlineStr">
        <is>
          <t>td_nod_flametankmkii</t>
        </is>
      </c>
      <c r="C297" t="inlineStr">
        <is>
          <t>Flame Tank Mk. II</t>
        </is>
      </c>
      <c r="D297" s="6" t="inlineStr">
        <is>
          <t>LineBreaker</t>
        </is>
      </c>
      <c r="E297" s="6" t="n">
        <v>200000</v>
      </c>
      <c r="F297" s="6" t="n">
        <v>75</v>
      </c>
      <c r="G297" t="inlineStr">
        <is>
          <t>Superheavy</t>
        </is>
      </c>
      <c r="H297" s="6" t="n">
        <v>0.7333</v>
      </c>
      <c r="I297" s="6" t="n">
        <v>1</v>
      </c>
      <c r="J297" s="6" t="n">
        <v>1</v>
      </c>
      <c r="P297">
        <f>MAX(P298)</f>
        <v/>
      </c>
      <c r="S297">
        <f>S298</f>
        <v/>
      </c>
      <c r="T297">
        <f>(E297/100000+F297/100+(P297/1000)*J297/5+S297/200)*200*I297*H297</f>
        <v/>
      </c>
      <c r="U297">
        <f>((E297*F297/25000)+((P297/1000)*J297*S297/2.5))*I297*H297</f>
        <v/>
      </c>
      <c r="V297">
        <f>(E297*F297*(P297/1000)*J297*S297*I297*H297)/12500000</f>
        <v/>
      </c>
      <c r="W297">
        <f>IFERROR((((E297/750000)+(F297/80)+(S297/1600)+((P297/2500)*J297))*1600/4+(((E297/750000)*(F297/80))+(((P297/2500)*J297)*(S297/1600)))*1600/2+((E297/750000)*(F297/80)*((P297/2500)*J297)*(S297/1600))*1600)*(H297/1.0)/3,"")</f>
        <v/>
      </c>
      <c r="X297" s="6" t="n">
        <v>1300</v>
      </c>
      <c r="Y297">
        <f>IFERROR(W297-X297,"")</f>
        <v/>
      </c>
      <c r="Z297">
        <f>IFERROR(ABS(Y297)/MAX(X297,1),"")</f>
        <v/>
      </c>
      <c r="AA297">
        <f>IFERROR(ROUND(((3*X297-(((E297/750000)+(F297/80)+(S297/1600))*1600/4+((E297/750000)*(F297/80))*1600/2)*(H297/1.0))/(1600/4+((S297/1600))*1600/2+((E297/750000)*(F297/80)*(S297/1600))*1600)*(H297/1.0)*2500)/J297,-1),"")</f>
        <v/>
      </c>
    </row>
    <row r="298">
      <c r="B298" s="7" t="inlineStr">
        <is>
          <t xml:space="preserve">  ↳ BigFlamer2</t>
        </is>
      </c>
      <c r="C298" s="7" t="inlineStr">
        <is>
          <t>Armament</t>
        </is>
      </c>
      <c r="L298" s="6" t="n">
        <v>20000</v>
      </c>
      <c r="M298" s="6" t="n">
        <v>54</v>
      </c>
      <c r="N298" s="6" t="n">
        <v>2</v>
      </c>
      <c r="O298" s="6" t="n">
        <v>10</v>
      </c>
      <c r="P298" s="6" t="n">
        <v>2534</v>
      </c>
      <c r="Q298" s="6" t="n">
        <v>1.25</v>
      </c>
      <c r="R298">
        <f>M298+IF(MAX(N298-1,0)&gt;0,IF(ISBLANK(O298),5*MAX(N298-1,0),IF(ISNUMBER(O298),O298*MAX(N298-1,0),SUM(IFERROR(VALUE(TEXTSPLIT(O298,",")),0)))),0)</f>
        <v/>
      </c>
      <c r="S298">
        <f>IFERROR(L298*MAX(N298,1)/R298*IF(ISBLANK(K297),1,K297),0)</f>
        <v/>
      </c>
      <c r="AB298" s="7" t="inlineStr">
        <is>
          <t>^Warhead_Flame_Heavy</t>
        </is>
      </c>
    </row>
    <row r="299">
      <c r="A299" t="inlineStr">
        <is>
          <t>tiberiansun</t>
        </is>
      </c>
      <c r="B299" t="inlineStr">
        <is>
          <t>cabal_beholder</t>
        </is>
      </c>
      <c r="C299" t="inlineStr">
        <is>
          <t>Beholder</t>
        </is>
      </c>
      <c r="D299" s="6" t="inlineStr">
        <is>
          <t>LineBreaker</t>
        </is>
      </c>
      <c r="E299" s="6" t="n">
        <v>125000</v>
      </c>
      <c r="F299" s="6" t="n">
        <v>125</v>
      </c>
      <c r="G299" t="inlineStr">
        <is>
          <t>Superheavy</t>
        </is>
      </c>
      <c r="H299" s="6" t="n">
        <v>0.75</v>
      </c>
      <c r="I299" s="6" t="n">
        <v>0.8</v>
      </c>
      <c r="J299" s="6" t="n">
        <v>1.25</v>
      </c>
      <c r="P299">
        <f>MAX(P300)</f>
        <v/>
      </c>
      <c r="S299">
        <f>S300</f>
        <v/>
      </c>
      <c r="T299">
        <f>(E299/100000+F299/100+(P299/1000)*J299/5+S299/200)*200*I299*H299</f>
        <v/>
      </c>
      <c r="U299">
        <f>((E299*F299/25000)+((P299/1000)*J299*S299/2.5))*I299*H299</f>
        <v/>
      </c>
      <c r="V299">
        <f>(E299*F299*(P299/1000)*J299*S299*I299*H299)/12500000</f>
        <v/>
      </c>
      <c r="W299">
        <f>IFERROR((((E299/750000)+(F299/80)+(S299/1600)+((P299/2500)*J299))*1600/4+(((E299/750000)*(F299/80))+(((P299/2500)*J299)*(S299/1600)))*1600/2+((E299/750000)*(F299/80)*((P299/2500)*J299)*(S299/1600))*1600)*(H299/1.0)/3,"")</f>
        <v/>
      </c>
      <c r="X299" s="6" t="n">
        <v>2500</v>
      </c>
      <c r="Y299">
        <f>IFERROR(W299-X299,"")</f>
        <v/>
      </c>
      <c r="Z299">
        <f>IFERROR(ABS(Y299)/MAX(X299,1),"")</f>
        <v/>
      </c>
      <c r="AA299">
        <f>IFERROR(ROUND(((3*X299-(((E299/750000)+(F299/80)+(S299/1600))*1600/4+((E299/750000)*(F299/80))*1600/2)*(H299/1.0))/(1600/4+((S299/1600))*1600/2+((E299/750000)*(F299/80)*(S299/1600))*1600)*(H299/1.0)*2500)/J299,-1),"")</f>
        <v/>
      </c>
    </row>
    <row r="300">
      <c r="B300" s="7" t="inlineStr">
        <is>
          <t xml:space="preserve">  ↳ CabalBeholderLaser</t>
        </is>
      </c>
      <c r="C300" s="7" t="inlineStr">
        <is>
          <t>Armament@PRIMARY</t>
        </is>
      </c>
      <c r="L300" s="6" t="n">
        <v>40000</v>
      </c>
      <c r="M300" s="6" t="n">
        <v>50</v>
      </c>
      <c r="N300" s="6" t="n">
        <v>2</v>
      </c>
      <c r="O300" s="6" t="n">
        <v>5</v>
      </c>
      <c r="P300" s="6" t="n">
        <v>2500</v>
      </c>
      <c r="Q300" s="6" t="n">
        <v>1</v>
      </c>
      <c r="R300">
        <f>M300+IF(MAX(N300-1,0)&gt;0,IF(ISBLANK(O300),5*MAX(N300-1,0),IF(ISNUMBER(O300),O300*MAX(N300-1,0),SUM(IFERROR(VALUE(TEXTSPLIT(O300,",")),0)))),0)</f>
        <v/>
      </c>
      <c r="S300">
        <f>IFERROR(L300*MAX(N300,1)/R300*IF(ISBLANK(K299),1,K299),0)</f>
        <v/>
      </c>
      <c r="AB300" s="7" t="inlineStr">
        <is>
          <t>^HeavyCannon, ^TeslaWeapon, ^RailgunWeapon, ^LaserWeapon</t>
        </is>
      </c>
    </row>
    <row r="301">
      <c r="A301" t="inlineStr">
        <is>
          <t>tiberiansun</t>
        </is>
      </c>
      <c r="B301" t="inlineStr">
        <is>
          <t>ts_nod_devilstongue</t>
        </is>
      </c>
      <c r="C301" t="inlineStr">
        <is>
          <t>Devil's Tongue</t>
        </is>
      </c>
      <c r="D301" s="6" t="inlineStr">
        <is>
          <t>LineBreaker</t>
        </is>
      </c>
      <c r="E301" s="6" t="n">
        <v>100000</v>
      </c>
      <c r="F301" s="6" t="n">
        <v>70</v>
      </c>
      <c r="G301" t="inlineStr">
        <is>
          <t>Superheavy</t>
        </is>
      </c>
      <c r="H301" s="6" t="n">
        <v>0.642</v>
      </c>
      <c r="I301" s="6" t="n">
        <v>1</v>
      </c>
      <c r="J301" s="6" t="n">
        <v>1</v>
      </c>
      <c r="P301">
        <f>MAX(P302)</f>
        <v/>
      </c>
      <c r="S301">
        <f>S302</f>
        <v/>
      </c>
      <c r="T301">
        <f>(E301/100000+F301/100+(P301/1000)*J301/5+S301/200)*200*I301*H301</f>
        <v/>
      </c>
      <c r="U301">
        <f>((E301*F301/25000)+((P301/1000)*J301*S301/2.5))*I301*H301</f>
        <v/>
      </c>
      <c r="V301">
        <f>(E301*F301*(P301/1000)*J301*S301*I301*H301)/12500000</f>
        <v/>
      </c>
      <c r="W301">
        <f>IFERROR((((E301/750000)+(F301/80)+(S301/1600)+((P301/2500)*J301))*1600/4+(((E301/750000)*(F301/80))+(((P301/2500)*J301)*(S301/1600)))*1600/2+((E301/750000)*(F301/80)*((P301/2500)*J301)*(S301/1600))*1600)*(H301/1.0)/3,"")</f>
        <v/>
      </c>
      <c r="X301" s="6" t="n">
        <v>1150</v>
      </c>
      <c r="Y301">
        <f>IFERROR(W301-X301,"")</f>
        <v/>
      </c>
      <c r="Z301">
        <f>IFERROR(ABS(Y301)/MAX(X301,1),"")</f>
        <v/>
      </c>
      <c r="AA301">
        <f>IFERROR(ROUND(((3*X301-(((E301/750000)+(F301/80)+(S301/1600))*1600/4+((E301/750000)*(F301/80))*1600/2)*(H301/1.0))/(1600/4+((S301/1600))*1600/2+((E301/750000)*(F301/80)*(S301/1600))*1600)*(H301/1.0)*2500)/J301,-1),"")</f>
        <v/>
      </c>
    </row>
    <row r="302">
      <c r="B302" s="7" t="inlineStr">
        <is>
          <t xml:space="preserve">  ↳ TSFireballLauncher</t>
        </is>
      </c>
      <c r="C302" s="7" t="inlineStr">
        <is>
          <t>Armament@PRIMARY</t>
        </is>
      </c>
      <c r="L302" s="6" t="n">
        <v>8000</v>
      </c>
      <c r="M302" s="6" t="n">
        <v>52</v>
      </c>
      <c r="N302" s="6" t="n">
        <v>5</v>
      </c>
      <c r="O302" s="6" t="n">
        <v>2</v>
      </c>
      <c r="P302" s="6" t="n">
        <v>4250</v>
      </c>
      <c r="Q302" s="6" t="n">
        <v>1</v>
      </c>
      <c r="R302">
        <f>M302+IF(MAX(N302-1,0)&gt;0,IF(ISBLANK(O302),5*MAX(N302-1,0),IF(ISNUMBER(O302),O302*MAX(N302-1,0),SUM(IFERROR(VALUE(TEXTSPLIT(O302,",")),0)))),0)</f>
        <v/>
      </c>
      <c r="S302">
        <f>IFERROR(L302*MAX(N302,1)/R302*IF(ISBLANK(K301),1,K301),0)</f>
        <v/>
      </c>
      <c r="AB302" s="7" t="inlineStr">
        <is>
          <t>^Warhead_Flame_Medium</t>
        </is>
      </c>
    </row>
    <row r="303">
      <c r="A303" t="inlineStr">
        <is>
          <t>tiberiansun</t>
        </is>
      </c>
      <c r="B303" t="inlineStr">
        <is>
          <t>ts_gdi_disruptor</t>
        </is>
      </c>
      <c r="C303" t="inlineStr">
        <is>
          <t>Disruptor</t>
        </is>
      </c>
      <c r="D303" s="6" t="inlineStr">
        <is>
          <t>LineBreaker</t>
        </is>
      </c>
      <c r="E303" s="6" t="n">
        <v>250000</v>
      </c>
      <c r="F303" s="6" t="n">
        <v>50</v>
      </c>
      <c r="G303" t="inlineStr">
        <is>
          <t>Superheavy</t>
        </is>
      </c>
      <c r="H303" s="6" t="n">
        <v>0.6471</v>
      </c>
      <c r="I303" s="6" t="n">
        <v>1</v>
      </c>
      <c r="J303" s="6" t="n">
        <v>1</v>
      </c>
      <c r="P303">
        <f>MAX(P304,P305)</f>
        <v/>
      </c>
      <c r="S303">
        <f>S304+S305</f>
        <v/>
      </c>
      <c r="T303">
        <f>(E303/100000+F303/100+(P303/1000)*J303/5+S303/200)*200*I303*H303</f>
        <v/>
      </c>
      <c r="U303">
        <f>((E303*F303/25000)+((P303/1000)*J303*S303/2.5))*I303*H303</f>
        <v/>
      </c>
      <c r="V303">
        <f>(E303*F303*(P303/1000)*J303*S303*I303*H303)/12500000</f>
        <v/>
      </c>
      <c r="W303">
        <f>IFERROR((((E303/750000)+(F303/80)+(S303/1600)+((P303/2500)*J303))*1600/4+(((E303/750000)*(F303/80))+(((P303/2500)*J303)*(S303/1600)))*1600/2+((E303/750000)*(F303/80)*((P303/2500)*J303)*(S303/1600))*1600)*(H303/1.0)/3,"")</f>
        <v/>
      </c>
      <c r="X303" s="6" t="n">
        <v>2400</v>
      </c>
      <c r="Y303">
        <f>IFERROR(W303-X303,"")</f>
        <v/>
      </c>
      <c r="Z303">
        <f>IFERROR(ABS(Y303)/MAX(X303,1),"")</f>
        <v/>
      </c>
      <c r="AA303">
        <f>IFERROR(ROUND(((3*X303-(((E303/750000)+(F303/80)+(S303/1600))*1600/4+((E303/750000)*(F303/80))*1600/2)*(H303/1.0))/(1600/4+((S303/1600))*1600/2+((E303/750000)*(F303/80)*(S303/1600))*1600)*(H303/1.0)*2500)/J303,-1),"")</f>
        <v/>
      </c>
    </row>
    <row r="304">
      <c r="B304" s="7" t="inlineStr">
        <is>
          <t xml:space="preserve">  ↳ TSSonicZapWeapon</t>
        </is>
      </c>
      <c r="C304" s="7" t="inlineStr">
        <is>
          <t>Armament@PRIMARY</t>
        </is>
      </c>
      <c r="L304" s="6" t="n">
        <v>4000</v>
      </c>
      <c r="M304" s="6" t="n">
        <v>60</v>
      </c>
      <c r="N304" s="6" t="n">
        <v>1</v>
      </c>
      <c r="O304" s="6" t="n"/>
      <c r="P304" s="6" t="n">
        <v>4050</v>
      </c>
      <c r="Q304" s="6" t="n">
        <v>1.25</v>
      </c>
      <c r="R304">
        <f>M304+IF(MAX(N304-1,0)&gt;0,IF(ISBLANK(O304),5*MAX(N304-1,0),IF(ISNUMBER(O304),O304*MAX(N304-1,0),SUM(IFERROR(VALUE(TEXTSPLIT(O304,",")),0)))),0)</f>
        <v/>
      </c>
      <c r="S304">
        <f>IFERROR(L304*MAX(N304,1)/R304*IF(ISBLANK(K303),1,K303),0)</f>
        <v/>
      </c>
      <c r="AB304" s="7" t="inlineStr">
        <is>
          <t>^Warhead_Tesla_Heavy, ^Warhead_Magic_Heavy</t>
        </is>
      </c>
    </row>
    <row r="305">
      <c r="B305" s="7" t="inlineStr">
        <is>
          <t xml:space="preserve">  ↳ TSSonicZapWeaponSonic</t>
        </is>
      </c>
      <c r="C305" s="7" t="inlineStr">
        <is>
          <t>Armament@Upgrade</t>
        </is>
      </c>
      <c r="L305" s="6" t="n">
        <v>4000</v>
      </c>
      <c r="M305" s="6" t="n">
        <v>60</v>
      </c>
      <c r="N305" s="6" t="n">
        <v>1</v>
      </c>
      <c r="O305" s="6" t="n"/>
      <c r="P305" s="6" t="n">
        <v>4050</v>
      </c>
      <c r="Q305" s="6" t="n">
        <v>1.25</v>
      </c>
      <c r="R305">
        <f>M305+IF(MAX(N305-1,0)&gt;0,IF(ISBLANK(O305),5*MAX(N305-1,0),IF(ISNUMBER(O305),O305*MAX(N305-1,0),SUM(IFERROR(VALUE(TEXTSPLIT(O305,",")),0)))),0)</f>
        <v/>
      </c>
      <c r="S305">
        <f>IFERROR(L305*MAX(N305,1)/R305*IF(ISBLANK(K303),1,K303),0)</f>
        <v/>
      </c>
      <c r="AB305" s="7" t="inlineStr">
        <is>
          <t>^Warhead_Sonic_Heavy</t>
        </is>
      </c>
    </row>
    <row r="306">
      <c r="A306" t="inlineStr">
        <is>
          <t>tiberiansun</t>
        </is>
      </c>
      <c r="B306" t="inlineStr">
        <is>
          <t>ts_gdi_mobileemp</t>
        </is>
      </c>
      <c r="C306" t="inlineStr">
        <is>
          <t>Mobile EMP</t>
        </is>
      </c>
      <c r="D306" s="6" t="inlineStr">
        <is>
          <t>LineBreaker</t>
        </is>
      </c>
      <c r="E306" s="6" t="n">
        <v>150000</v>
      </c>
      <c r="F306" s="6" t="n">
        <v>100</v>
      </c>
      <c r="G306" t="inlineStr">
        <is>
          <t>Superheavy</t>
        </is>
      </c>
      <c r="H306" s="6" t="n">
        <v>1</v>
      </c>
      <c r="I306" s="6" t="n">
        <v>1</v>
      </c>
      <c r="J306" s="6" t="n">
        <v>1</v>
      </c>
      <c r="P306">
        <f>MAX(P307)</f>
        <v/>
      </c>
      <c r="S306">
        <f>S307</f>
        <v/>
      </c>
      <c r="T306">
        <f>(E306/100000+F306/100+(P306/1000)*J306/5+S306/200)*200*I306*H306</f>
        <v/>
      </c>
      <c r="U306">
        <f>((E306*F306/25000)+((P306/1000)*J306*S306/2.5))*I306*H306</f>
        <v/>
      </c>
      <c r="V306">
        <f>(E306*F306*(P306/1000)*J306*S306*I306*H306)/12500000</f>
        <v/>
      </c>
      <c r="W306">
        <f>IFERROR((((E306/750000)+(F306/80)+(S306/1600)+((P306/2500)*J306))*1600/4+(((E306/750000)*(F306/80))+(((P306/2500)*J306)*(S306/1600)))*1600/2+((E306/750000)*(F306/80)*((P306/2500)*J306)*(S306/1600))*1600)*(H306/1.0)/3,"")</f>
        <v/>
      </c>
      <c r="X306" s="6" t="n">
        <v>1400</v>
      </c>
      <c r="Y306">
        <f>IFERROR(W306-X306,"")</f>
        <v/>
      </c>
      <c r="Z306">
        <f>IFERROR(ABS(Y306)/MAX(X306,1),"")</f>
        <v/>
      </c>
      <c r="AA306">
        <f>IFERROR(ROUND(((3*X306-(((E306/750000)+(F306/80)+(S306/1600))*1600/4+((E306/750000)*(F306/80))*1600/2)*(H306/1.0))/(1600/4+((S306/1600))*1600/2+((E306/750000)*(F306/80)*(S306/1600))*1600)*(H306/1.0)*2500)/J306,-1),"")</f>
        <v/>
      </c>
    </row>
    <row r="307">
      <c r="B307" s="7" t="inlineStr">
        <is>
          <t xml:space="preserve">  ↳ TSMobile_EMP</t>
        </is>
      </c>
      <c r="C307" s="7" t="inlineStr">
        <is>
          <t>Armament</t>
        </is>
      </c>
      <c r="L307" s="6" t="n">
        <v>64000</v>
      </c>
      <c r="M307" s="6" t="n">
        <v>200</v>
      </c>
      <c r="N307" s="6" t="n">
        <v>1</v>
      </c>
      <c r="O307" s="6" t="n"/>
      <c r="P307" s="6" t="n">
        <v>1512</v>
      </c>
      <c r="Q307" s="6" t="n">
        <v>1.25</v>
      </c>
      <c r="R307">
        <f>M307+IF(MAX(N307-1,0)&gt;0,IF(ISBLANK(O307),5*MAX(N307-1,0),IF(ISNUMBER(O307),O307*MAX(N307-1,0),SUM(IFERROR(VALUE(TEXTSPLIT(O307,",")),0)))),0)</f>
        <v/>
      </c>
      <c r="S307">
        <f>IFERROR(L307*MAX(N307,1)/R307*IF(ISBLANK(K306),1,K306),0)</f>
        <v/>
      </c>
      <c r="AB307" s="7" t="inlineStr">
        <is>
          <t>^Warhead_Tesla_Heavy</t>
        </is>
      </c>
    </row>
    <row r="308">
      <c r="A308" t="inlineStr">
        <is>
          <t>tiberiansun</t>
        </is>
      </c>
      <c r="B308" t="inlineStr">
        <is>
          <t>forgotten_closhtank</t>
        </is>
      </c>
      <c r="C308" t="inlineStr">
        <is>
          <t>actor_forgotten_closhtank.name</t>
        </is>
      </c>
      <c r="D308" s="6" t="inlineStr">
        <is>
          <t>LineBreaker</t>
        </is>
      </c>
      <c r="E308" s="6" t="n">
        <v>120000</v>
      </c>
      <c r="F308" s="6" t="n">
        <v>80</v>
      </c>
      <c r="G308" t="inlineStr">
        <is>
          <t>Superheavy</t>
        </is>
      </c>
      <c r="H308" s="6" t="n">
        <v>1</v>
      </c>
      <c r="I308" s="6" t="n">
        <v>1</v>
      </c>
      <c r="J308" s="6" t="n">
        <v>1</v>
      </c>
      <c r="P308">
        <f>MAX(P309,P310)</f>
        <v/>
      </c>
      <c r="S308">
        <f>S309+S310</f>
        <v/>
      </c>
      <c r="T308">
        <f>(E308/100000+F308/100+(P308/1000)*J308/5+S308/200)*200*I308*H308</f>
        <v/>
      </c>
      <c r="U308">
        <f>((E308*F308/25000)+((P308/1000)*J308*S308/2.5))*I308*H308</f>
        <v/>
      </c>
      <c r="V308">
        <f>(E308*F308*(P308/1000)*J308*S308*I308*H308)/12500000</f>
        <v/>
      </c>
      <c r="W308">
        <f>IFERROR((((E308/750000)+(F308/80)+(S308/1600)+((P308/2500)*J308))*1600/4+(((E308/750000)*(F308/80))+(((P308/2500)*J308)*(S308/1600)))*1600/2+((E308/750000)*(F308/80)*((P308/2500)*J308)*(S308/1600))*1600)*(H308/1.0)/3,"")</f>
        <v/>
      </c>
      <c r="X308" s="6" t="n">
        <v>1000</v>
      </c>
      <c r="Y308">
        <f>IFERROR(W308-X308,"")</f>
        <v/>
      </c>
      <c r="Z308">
        <f>IFERROR(ABS(Y308)/MAX(X308,1),"")</f>
        <v/>
      </c>
      <c r="AA308">
        <f>IFERROR(ROUND(((3*X308-(((E308/750000)+(F308/80)+(S308/1600))*1600/4+((E308/750000)*(F308/80))*1600/2)*(H308/1.0))/(1600/4+((S308/1600))*1600/2+((E308/750000)*(F308/80)*(S308/1600))*1600)*(H308/1.0)*2500)/J308,-1),"")</f>
        <v/>
      </c>
    </row>
    <row r="309">
      <c r="B309" s="7" t="inlineStr">
        <is>
          <t xml:space="preserve">  ↳ MutFlamer</t>
        </is>
      </c>
      <c r="C309" s="7" t="inlineStr">
        <is>
          <t>Armament@PRIMARY</t>
        </is>
      </c>
      <c r="L309" s="6" t="n">
        <v>28000</v>
      </c>
      <c r="M309" s="6" t="n">
        <v>50</v>
      </c>
      <c r="N309" s="6" t="n">
        <v>1</v>
      </c>
      <c r="O309" s="6" t="n"/>
      <c r="P309" s="6" t="n">
        <v>2386</v>
      </c>
      <c r="Q309" s="6" t="n">
        <v>1</v>
      </c>
      <c r="R309">
        <f>M309+IF(MAX(N309-1,0)&gt;0,IF(ISBLANK(O309),5*MAX(N309-1,0),IF(ISNUMBER(O309),O309*MAX(N309-1,0),SUM(IFERROR(VALUE(TEXTSPLIT(O309,",")),0)))),0)</f>
        <v/>
      </c>
      <c r="S309">
        <f>IFERROR(L309*MAX(N309,1)/R309*IF(ISBLANK(K308),1,K308),0)</f>
        <v/>
      </c>
      <c r="AB309" s="7" t="inlineStr">
        <is>
          <t>^Warhead_Flame_Medium</t>
        </is>
      </c>
    </row>
    <row r="310">
      <c r="B310" s="7" t="inlineStr">
        <is>
          <t xml:space="preserve">  ↳ MutFlamerChem</t>
        </is>
      </c>
      <c r="C310" s="7" t="inlineStr">
        <is>
          <t>Armament@UPGRADE</t>
        </is>
      </c>
      <c r="L310" s="6" t="n">
        <v>42000</v>
      </c>
      <c r="M310" s="6" t="n">
        <v>50</v>
      </c>
      <c r="N310" s="6" t="n">
        <v>1</v>
      </c>
      <c r="O310" s="6" t="n"/>
      <c r="P310" s="6" t="n">
        <v>2386</v>
      </c>
      <c r="Q310" s="6" t="n">
        <v>1</v>
      </c>
      <c r="R310">
        <f>M310+IF(MAX(N310-1,0)&gt;0,IF(ISBLANK(O310),5*MAX(N310-1,0),IF(ISNUMBER(O310),O310*MAX(N310-1,0),SUM(IFERROR(VALUE(TEXTSPLIT(O310,",")),0)))),0)</f>
        <v/>
      </c>
      <c r="S310">
        <f>IFERROR(L310*MAX(N310,1)/R310*IF(ISBLANK(K308),1,K308),0)</f>
        <v/>
      </c>
      <c r="AB310" s="7" t="inlineStr">
        <is>
          <t>^MediumFlameWeapon, ^MediumChemicalWeapon</t>
        </is>
      </c>
    </row>
    <row r="311">
      <c r="A311" t="inlineStr">
        <is>
          <t>tiberiansun</t>
        </is>
      </c>
      <c r="B311" t="inlineStr">
        <is>
          <t>forgotten_flametank</t>
        </is>
      </c>
      <c r="C311" t="inlineStr">
        <is>
          <t>actor_forgotten_flametank.name</t>
        </is>
      </c>
      <c r="D311" s="6" t="inlineStr">
        <is>
          <t>LineBreaker</t>
        </is>
      </c>
      <c r="E311" s="6" t="n">
        <v>200000</v>
      </c>
      <c r="F311" s="6" t="n">
        <v>80</v>
      </c>
      <c r="G311" t="inlineStr">
        <is>
          <t>Superheavy</t>
        </is>
      </c>
      <c r="H311" s="6" t="n">
        <v>0.7269</v>
      </c>
      <c r="I311" s="6" t="n">
        <v>1</v>
      </c>
      <c r="J311" s="6" t="n">
        <v>1</v>
      </c>
      <c r="P311">
        <f>MAX(P312,P313)</f>
        <v/>
      </c>
      <c r="S311">
        <f>S312+S313</f>
        <v/>
      </c>
      <c r="T311">
        <f>(E311/100000+F311/100+(P311/1000)*J311/5+S311/200)*200*I311*H311</f>
        <v/>
      </c>
      <c r="U311">
        <f>((E311*F311/25000)+((P311/1000)*J311*S311/2.5))*I311*H311</f>
        <v/>
      </c>
      <c r="V311">
        <f>(E311*F311*(P311/1000)*J311*S311*I311*H311)/12500000</f>
        <v/>
      </c>
      <c r="W311">
        <f>IFERROR((((E311/750000)+(F311/80)+(S311/1600)+((P311/2500)*J311))*1600/4+(((E311/750000)*(F311/80))+(((P311/2500)*J311)*(S311/1600)))*1600/2+((E311/750000)*(F311/80)*((P311/2500)*J311)*(S311/1600))*1600)*(H311/1.0)/3,"")</f>
        <v/>
      </c>
      <c r="X311" s="6" t="n">
        <v>1300</v>
      </c>
      <c r="Y311">
        <f>IFERROR(W311-X311,"")</f>
        <v/>
      </c>
      <c r="Z311">
        <f>IFERROR(ABS(Y311)/MAX(X311,1),"")</f>
        <v/>
      </c>
      <c r="AA311">
        <f>IFERROR(ROUND(((3*X311-(((E311/750000)+(F311/80)+(S311/1600))*1600/4+((E311/750000)*(F311/80))*1600/2)*(H311/1.0))/(1600/4+((S311/1600))*1600/2+((E311/750000)*(F311/80)*(S311/1600))*1600)*(H311/1.0)*2500)/J311,-1),"")</f>
        <v/>
      </c>
    </row>
    <row r="312">
      <c r="B312" s="7" t="inlineStr">
        <is>
          <t xml:space="preserve">  ↳ MutHFlamer</t>
        </is>
      </c>
      <c r="C312" s="7" t="inlineStr">
        <is>
          <t>Armament@PRIMARY</t>
        </is>
      </c>
      <c r="L312" s="6" t="n">
        <v>40000</v>
      </c>
      <c r="M312" s="6" t="n">
        <v>65</v>
      </c>
      <c r="N312" s="6" t="n">
        <v>1</v>
      </c>
      <c r="O312" s="6" t="n"/>
      <c r="P312" s="6" t="n">
        <v>2425</v>
      </c>
      <c r="Q312" s="6" t="n">
        <v>1</v>
      </c>
      <c r="R312">
        <f>M312+IF(MAX(N312-1,0)&gt;0,IF(ISBLANK(O312),5*MAX(N312-1,0),IF(ISNUMBER(O312),O312*MAX(N312-1,0),SUM(IFERROR(VALUE(TEXTSPLIT(O312,",")),0)))),0)</f>
        <v/>
      </c>
      <c r="S312">
        <f>IFERROR(L312*MAX(N312,1)/R312*IF(ISBLANK(K311),1,K311),0)</f>
        <v/>
      </c>
      <c r="AB312" s="7" t="inlineStr">
        <is>
          <t>^MediumFlameWeapon, ^HeavyFlameWeapon</t>
        </is>
      </c>
    </row>
    <row r="313">
      <c r="B313" s="7" t="inlineStr">
        <is>
          <t xml:space="preserve">  ↳ MutHFlamerChem</t>
        </is>
      </c>
      <c r="C313" s="7" t="inlineStr">
        <is>
          <t>Armament@UPGRADE</t>
        </is>
      </c>
      <c r="L313" s="6" t="n">
        <v>60000</v>
      </c>
      <c r="M313" s="6" t="n">
        <v>65</v>
      </c>
      <c r="N313" s="6" t="n">
        <v>1</v>
      </c>
      <c r="O313" s="6" t="n"/>
      <c r="P313" s="6" t="n">
        <v>2425</v>
      </c>
      <c r="Q313" s="6" t="n">
        <v>1</v>
      </c>
      <c r="R313">
        <f>M313+IF(MAX(N313-1,0)&gt;0,IF(ISBLANK(O313),5*MAX(N313-1,0),IF(ISNUMBER(O313),O313*MAX(N313-1,0),SUM(IFERROR(VALUE(TEXTSPLIT(O313,",")),0)))),0)</f>
        <v/>
      </c>
      <c r="S313">
        <f>IFERROR(L313*MAX(N313,1)/R313*IF(ISBLANK(K311),1,K311),0)</f>
        <v/>
      </c>
      <c r="AB313" s="7" t="inlineStr">
        <is>
          <t>^MediumFlameWeapon, ^HeavyFlameWeapon, ^MediumChemicalWeapon, ^HeavyChemicalWeapon</t>
        </is>
      </c>
    </row>
    <row r="314">
      <c r="A314" t="inlineStr">
        <is>
          <t>tiberiansun</t>
        </is>
      </c>
      <c r="B314" t="inlineStr">
        <is>
          <t>forgotten_thumperbus</t>
        </is>
      </c>
      <c r="C314" t="inlineStr">
        <is>
          <t>actor_forgotten_thumperbus.name</t>
        </is>
      </c>
      <c r="D314" s="6" t="inlineStr">
        <is>
          <t>LineBreaker</t>
        </is>
      </c>
      <c r="E314" s="6" t="n">
        <v>200000</v>
      </c>
      <c r="F314" s="6" t="n">
        <v>90</v>
      </c>
      <c r="G314" t="inlineStr">
        <is>
          <t>Superheavy</t>
        </is>
      </c>
      <c r="H314" s="6" t="n">
        <v>0.7269</v>
      </c>
      <c r="I314" s="6" t="n">
        <v>1</v>
      </c>
      <c r="J314" s="6" t="n">
        <v>1</v>
      </c>
      <c r="P314">
        <f>MAX(P315,P316)</f>
        <v/>
      </c>
      <c r="S314">
        <f>S315+S316</f>
        <v/>
      </c>
      <c r="T314">
        <f>(E314/100000+F314/100+(P314/1000)*J314/5+S314/200)*200*I314*H314</f>
        <v/>
      </c>
      <c r="U314">
        <f>((E314*F314/25000)+((P314/1000)*J314*S314/2.5))*I314*H314</f>
        <v/>
      </c>
      <c r="V314">
        <f>(E314*F314*(P314/1000)*J314*S314*I314*H314)/12500000</f>
        <v/>
      </c>
      <c r="W314">
        <f>IFERROR((((E314/750000)+(F314/80)+(S314/1600)+((P314/2500)*J314))*1600/4+(((E314/750000)*(F314/80))+(((P314/2500)*J314)*(S314/1600)))*1600/2+((E314/750000)*(F314/80)*((P314/2500)*J314)*(S314/1600))*1600)*(H314/1.0)/3,"")</f>
        <v/>
      </c>
      <c r="X314" s="6" t="n">
        <v>5200</v>
      </c>
      <c r="Y314">
        <f>IFERROR(W314-X314,"")</f>
        <v/>
      </c>
      <c r="Z314">
        <f>IFERROR(ABS(Y314)/MAX(X314,1),"")</f>
        <v/>
      </c>
      <c r="AA314">
        <f>IFERROR(ROUND(((3*X314-(((E314/750000)+(F314/80)+(S314/1600))*1600/4+((E314/750000)*(F314/80))*1600/2)*(H314/1.0))/(1600/4+((S314/1600))*1600/2+((E314/750000)*(F314/80)*(S314/1600))*1600)*(H314/1.0)*2500)/J314,-1),"")</f>
        <v/>
      </c>
    </row>
    <row r="315">
      <c r="B315" s="7" t="inlineStr">
        <is>
          <t xml:space="preserve">  ↳ TSBusMortar</t>
        </is>
      </c>
      <c r="C315" s="7" t="inlineStr">
        <is>
          <t>Armament@PRIMARY</t>
        </is>
      </c>
      <c r="L315" s="6" t="n">
        <v>64000</v>
      </c>
      <c r="M315" s="6" t="n">
        <v>120</v>
      </c>
      <c r="N315" s="6" t="n">
        <v>1</v>
      </c>
      <c r="O315" s="6" t="n"/>
      <c r="P315" s="6" t="n">
        <v>7850</v>
      </c>
      <c r="Q315" s="6" t="n">
        <v>1.125</v>
      </c>
      <c r="R315">
        <f>M315+IF(MAX(N315-1,0)&gt;0,IF(ISBLANK(O315),5*MAX(N315-1,0),IF(ISNUMBER(O315),O315*MAX(N315-1,0),SUM(IFERROR(VALUE(TEXTSPLIT(O315,",")),0)))),0)</f>
        <v/>
      </c>
      <c r="S315">
        <f>IFERROR(L315*MAX(N315,1)/R315*IF(ISBLANK(K314),1,K314),0)</f>
        <v/>
      </c>
      <c r="AB315" s="7" t="inlineStr">
        <is>
          <t>^Warhead_Concussion_Medium, ^Warhead_Demolition_Heavy</t>
        </is>
      </c>
    </row>
    <row r="316">
      <c r="B316" s="7" t="inlineStr">
        <is>
          <t xml:space="preserve">  ↳ TSBusMortarChem</t>
        </is>
      </c>
      <c r="C316" s="7" t="inlineStr">
        <is>
          <t>Armament@UPGRADE</t>
        </is>
      </c>
      <c r="L316" s="6" t="n">
        <v>128000</v>
      </c>
      <c r="M316" s="6" t="n">
        <v>120</v>
      </c>
      <c r="N316" s="6" t="n">
        <v>1</v>
      </c>
      <c r="O316" s="6" t="n"/>
      <c r="P316" s="6" t="n">
        <v>7850</v>
      </c>
      <c r="Q316" s="6" t="n">
        <v>1</v>
      </c>
      <c r="R316">
        <f>M316+IF(MAX(N316-1,0)&gt;0,IF(ISBLANK(O316),5*MAX(N316-1,0),IF(ISNUMBER(O316),O316*MAX(N316-1,0),SUM(IFERROR(VALUE(TEXTSPLIT(O316,",")),0)))),0)</f>
        <v/>
      </c>
      <c r="S316">
        <f>IFERROR(L316*MAX(N316,1)/R316*IF(ISBLANK(K314),1,K314),0)</f>
        <v/>
      </c>
      <c r="AB316" s="7" t="inlineStr">
        <is>
          <t>^ShrapnelWeapon, ^HeavyBomb, ^MediumChemicalWeapon, ^HeavyChemicalWeapon</t>
        </is>
      </c>
    </row>
    <row r="317">
      <c r="A317" t="inlineStr">
        <is>
          <t>redalert2</t>
        </is>
      </c>
      <c r="B317" t="inlineStr">
        <is>
          <t>ra2_allies_battlefortress</t>
        </is>
      </c>
      <c r="C317" t="inlineStr">
        <is>
          <t>Battle Fortress</t>
        </is>
      </c>
      <c r="D317" s="6" t="inlineStr">
        <is>
          <t>LineBreaker</t>
        </is>
      </c>
      <c r="E317" s="6" t="n">
        <v>320000</v>
      </c>
      <c r="F317" s="6" t="n">
        <v>60</v>
      </c>
      <c r="G317" t="inlineStr">
        <is>
          <t>Superheavy</t>
        </is>
      </c>
      <c r="H317" s="6" t="n">
        <v>0.4985</v>
      </c>
      <c r="I317" s="6" t="n">
        <v>1</v>
      </c>
      <c r="J317" s="6" t="n">
        <v>1</v>
      </c>
      <c r="P317">
        <f>MAX(P318)</f>
        <v/>
      </c>
      <c r="S317">
        <f>S318</f>
        <v/>
      </c>
      <c r="T317">
        <f>(E317/100000+F317/100+(P317/1000)*J317/5+S317/200)*200*I317*H317</f>
        <v/>
      </c>
      <c r="U317">
        <f>((E317*F317/25000)+((P317/1000)*J317*S317/2.5))*I317*H317</f>
        <v/>
      </c>
      <c r="V317">
        <f>(E317*F317*(P317/1000)*J317*S317*I317*H317)/12500000</f>
        <v/>
      </c>
      <c r="W317">
        <f>IFERROR((((E317/750000)+(F317/80)+(S317/1600)+((P317/2500)*J317))*1600/4+(((E317/750000)*(F317/80))+(((P317/2500)*J317)*(S317/1600)))*1600/2+((E317/750000)*(F317/80)*((P317/2500)*J317)*(S317/1600))*1600)*(H317/1.0)/3,"")</f>
        <v/>
      </c>
      <c r="X317" s="6" t="n">
        <v>4000</v>
      </c>
      <c r="Y317">
        <f>IFERROR(W317-X317,"")</f>
        <v/>
      </c>
      <c r="Z317">
        <f>IFERROR(ABS(Y317)/MAX(X317,1),"")</f>
        <v/>
      </c>
      <c r="AA317">
        <f>IFERROR(ROUND(((3*X317-(((E317/750000)+(F317/80)+(S317/1600))*1600/4+((E317/750000)*(F317/80))*1600/2)*(H317/1.0))/(1600/4+((S317/1600))*1600/2+((E317/750000)*(F317/80)*(S317/1600))*1600)*(H317/1.0)*2500)/J317,-1),"")</f>
        <v/>
      </c>
    </row>
    <row r="318">
      <c r="B318" s="7" t="inlineStr">
        <is>
          <t xml:space="preserve">  ↳ RA220mmrapid</t>
        </is>
      </c>
      <c r="C318" s="7" t="inlineStr">
        <is>
          <t>Armament</t>
        </is>
      </c>
      <c r="L318" s="6" t="n">
        <v>8000</v>
      </c>
      <c r="M318" s="6" t="n">
        <v>15</v>
      </c>
      <c r="N318" s="6" t="n">
        <v>1</v>
      </c>
      <c r="O318" s="6" t="n"/>
      <c r="P318" s="6" t="n">
        <v>5000</v>
      </c>
      <c r="Q318" s="6" t="n">
        <v>0.875</v>
      </c>
      <c r="R318">
        <f>M318+IF(MAX(N318-1,0)&gt;0,IF(ISBLANK(O318),5*MAX(N318-1,0),IF(ISNUMBER(O318),O318*MAX(N318-1,0),SUM(IFERROR(VALUE(TEXTSPLIT(O318,",")),0)))),0)</f>
        <v/>
      </c>
      <c r="S318">
        <f>IFERROR(L318*MAX(N318,1)/R318*IF(ISBLANK(K317),1,K317),0)</f>
        <v/>
      </c>
      <c r="AB318" s="7" t="inlineStr">
        <is>
          <t>^Warhead_Bullet_Light, ^Warhead_Bullet_Medium</t>
        </is>
      </c>
    </row>
    <row r="319">
      <c r="A319" t="inlineStr">
        <is>
          <t>redalert2</t>
        </is>
      </c>
      <c r="B319" t="inlineStr">
        <is>
          <t>ra2_allies_battlefortress_chrono</t>
        </is>
      </c>
      <c r="C319" t="inlineStr">
        <is>
          <t>Battle Fortress</t>
        </is>
      </c>
      <c r="D319" s="6" t="inlineStr">
        <is>
          <t>LineBreaker</t>
        </is>
      </c>
      <c r="E319" s="6" t="n">
        <v>320000</v>
      </c>
      <c r="F319" s="6" t="n">
        <v>60</v>
      </c>
      <c r="G319" t="inlineStr">
        <is>
          <t>Superheavy</t>
        </is>
      </c>
      <c r="H319" s="6" t="n">
        <v>0.5669999999999999</v>
      </c>
      <c r="I319" s="6" t="n">
        <v>1</v>
      </c>
      <c r="J319" s="6" t="n">
        <v>1</v>
      </c>
      <c r="P319">
        <f>MAX(P320)</f>
        <v/>
      </c>
      <c r="S319">
        <f>S320</f>
        <v/>
      </c>
      <c r="T319">
        <f>(E319/100000+F319/100+(P319/1000)*J319/5+S319/200)*200*I319*H319</f>
        <v/>
      </c>
      <c r="U319">
        <f>((E319*F319/25000)+((P319/1000)*J319*S319/2.5))*I319*H319</f>
        <v/>
      </c>
      <c r="V319">
        <f>(E319*F319*(P319/1000)*J319*S319*I319*H319)/12500000</f>
        <v/>
      </c>
      <c r="W319">
        <f>IFERROR((((E319/750000)+(F319/80)+(S319/1600)+((P319/2500)*J319))*1600/4+(((E319/750000)*(F319/80))+(((P319/2500)*J319)*(S319/1600)))*1600/2+((E319/750000)*(F319/80)*((P319/2500)*J319)*(S319/1600))*1600)*(H319/1.0)/3,"")</f>
        <v/>
      </c>
      <c r="X319" s="6" t="n">
        <v>4000</v>
      </c>
      <c r="Y319">
        <f>IFERROR(W319-X319,"")</f>
        <v/>
      </c>
      <c r="Z319">
        <f>IFERROR(ABS(Y319)/MAX(X319,1),"")</f>
        <v/>
      </c>
      <c r="AA319">
        <f>IFERROR(ROUND(((3*X319-(((E319/750000)+(F319/80)+(S319/1600))*1600/4+((E319/750000)*(F319/80))*1600/2)*(H319/1.0))/(1600/4+((S319/1600))*1600/2+((E319/750000)*(F319/80)*(S319/1600))*1600)*(H319/1.0)*2500)/J319,-1),"")</f>
        <v/>
      </c>
    </row>
    <row r="320">
      <c r="B320" s="7" t="inlineStr">
        <is>
          <t xml:space="preserve">  ↳ RA220mmrapid</t>
        </is>
      </c>
      <c r="C320" s="7" t="inlineStr">
        <is>
          <t>Armament</t>
        </is>
      </c>
      <c r="L320" s="6" t="n">
        <v>8000</v>
      </c>
      <c r="M320" s="6" t="n">
        <v>15</v>
      </c>
      <c r="N320" s="6" t="n">
        <v>1</v>
      </c>
      <c r="O320" s="6" t="n"/>
      <c r="P320" s="6" t="n">
        <v>5000</v>
      </c>
      <c r="Q320" s="6" t="n">
        <v>0.875</v>
      </c>
      <c r="R320">
        <f>M320+IF(MAX(N320-1,0)&gt;0,IF(ISBLANK(O320),5*MAX(N320-1,0),IF(ISNUMBER(O320),O320*MAX(N320-1,0),SUM(IFERROR(VALUE(TEXTSPLIT(O320,",")),0)))),0)</f>
        <v/>
      </c>
      <c r="S320">
        <f>IFERROR(L320*MAX(N320,1)/R320*IF(ISBLANK(K319),1,K319),0)</f>
        <v/>
      </c>
      <c r="AB320" s="7" t="inlineStr">
        <is>
          <t>^Warhead_Bullet_Light, ^Warhead_Bullet_Medium</t>
        </is>
      </c>
    </row>
    <row r="321">
      <c r="A321" t="inlineStr">
        <is>
          <t>redalert2</t>
        </is>
      </c>
      <c r="B321" t="inlineStr">
        <is>
          <t>ra2_allies_battlefortress_empty</t>
        </is>
      </c>
      <c r="C321" t="inlineStr">
        <is>
          <t>Battle Fortress</t>
        </is>
      </c>
      <c r="D321" s="6" t="inlineStr">
        <is>
          <t>LineBreaker</t>
        </is>
      </c>
      <c r="E321" s="6" t="n">
        <v>320000</v>
      </c>
      <c r="F321" s="6" t="n">
        <v>60</v>
      </c>
      <c r="G321" t="inlineStr">
        <is>
          <t>Superheavy</t>
        </is>
      </c>
      <c r="H321" s="6" t="n">
        <v>0.5669999999999999</v>
      </c>
      <c r="I321" s="6" t="n">
        <v>1</v>
      </c>
      <c r="J321" s="6" t="n">
        <v>1</v>
      </c>
      <c r="P321">
        <f>MAX(P322)</f>
        <v/>
      </c>
      <c r="S321">
        <f>S322</f>
        <v/>
      </c>
      <c r="T321">
        <f>(E321/100000+F321/100+(P321/1000)*J321/5+S321/200)*200*I321*H321</f>
        <v/>
      </c>
      <c r="U321">
        <f>((E321*F321/25000)+((P321/1000)*J321*S321/2.5))*I321*H321</f>
        <v/>
      </c>
      <c r="V321">
        <f>(E321*F321*(P321/1000)*J321*S321*I321*H321)/12500000</f>
        <v/>
      </c>
      <c r="W321">
        <f>IFERROR((((E321/750000)+(F321/80)+(S321/1600)+((P321/2500)*J321))*1600/4+(((E321/750000)*(F321/80))+(((P321/2500)*J321)*(S321/1600)))*1600/2+((E321/750000)*(F321/80)*((P321/2500)*J321)*(S321/1600))*1600)*(H321/1.0)/3,"")</f>
        <v/>
      </c>
      <c r="X321" s="6" t="n">
        <v>4000</v>
      </c>
      <c r="Y321">
        <f>IFERROR(W321-X321,"")</f>
        <v/>
      </c>
      <c r="Z321">
        <f>IFERROR(ABS(Y321)/MAX(X321,1),"")</f>
        <v/>
      </c>
      <c r="AA321">
        <f>IFERROR(ROUND(((3*X321-(((E321/750000)+(F321/80)+(S321/1600))*1600/4+((E321/750000)*(F321/80))*1600/2)*(H321/1.0))/(1600/4+((S321/1600))*1600/2+((E321/750000)*(F321/80)*(S321/1600))*1600)*(H321/1.0)*2500)/J321,-1),"")</f>
        <v/>
      </c>
    </row>
    <row r="322">
      <c r="B322" s="7" t="inlineStr">
        <is>
          <t xml:space="preserve">  ↳ RA220mmrapid</t>
        </is>
      </c>
      <c r="C322" s="7" t="inlineStr">
        <is>
          <t>Armament</t>
        </is>
      </c>
      <c r="L322" s="6" t="n">
        <v>8000</v>
      </c>
      <c r="M322" s="6" t="n">
        <v>15</v>
      </c>
      <c r="N322" s="6" t="n">
        <v>1</v>
      </c>
      <c r="O322" s="6" t="n"/>
      <c r="P322" s="6" t="n">
        <v>5000</v>
      </c>
      <c r="Q322" s="6" t="n">
        <v>0.875</v>
      </c>
      <c r="R322">
        <f>M322+IF(MAX(N322-1,0)&gt;0,IF(ISBLANK(O322),5*MAX(N322-1,0),IF(ISNUMBER(O322),O322*MAX(N322-1,0),SUM(IFERROR(VALUE(TEXTSPLIT(O322,",")),0)))),0)</f>
        <v/>
      </c>
      <c r="S322">
        <f>IFERROR(L322*MAX(N322,1)/R322*IF(ISBLANK(K321),1,K321),0)</f>
        <v/>
      </c>
      <c r="AB322" s="7" t="inlineStr">
        <is>
          <t>^Warhead_Bullet_Light, ^Warhead_Bullet_Medium</t>
        </is>
      </c>
    </row>
    <row r="323">
      <c r="A323" t="inlineStr">
        <is>
          <t>redalert2mod</t>
        </is>
      </c>
      <c r="B323" t="inlineStr">
        <is>
          <t>asianalliance_asianflametank</t>
        </is>
      </c>
      <c r="C323" t="inlineStr">
        <is>
          <t>Asian Flame Tank</t>
        </is>
      </c>
      <c r="D323" s="6" t="inlineStr">
        <is>
          <t>LineBreaker</t>
        </is>
      </c>
      <c r="E323" s="6" t="n">
        <v>85000</v>
      </c>
      <c r="F323" s="6" t="n">
        <v>85</v>
      </c>
      <c r="G323" t="inlineStr">
        <is>
          <t>Superheavy</t>
        </is>
      </c>
      <c r="H323" s="6" t="n">
        <v>0.8683999999999999</v>
      </c>
      <c r="I323" s="6" t="n">
        <v>1</v>
      </c>
      <c r="J323" s="6" t="n">
        <v>1</v>
      </c>
      <c r="K323" t="n">
        <v>0.0075</v>
      </c>
      <c r="P323">
        <f>MAX(P324,P325)</f>
        <v/>
      </c>
      <c r="S323">
        <f>S324+S325</f>
        <v/>
      </c>
      <c r="T323">
        <f>(E323/100000+F323/100+(P323/1000)*J323/5+S323/200)*200*I323*H323</f>
        <v/>
      </c>
      <c r="U323">
        <f>((E323*F323/25000)+((P323/1000)*J323*S323/2.5))*I323*H323</f>
        <v/>
      </c>
      <c r="V323">
        <f>(E323*F323*(P323/1000)*J323*S323*I323*H323)/12500000</f>
        <v/>
      </c>
      <c r="W323">
        <f>IFERROR((((E323/750000)+(F323/80)+(S323/1600)+((P323/2500)*J323))*1600/4+(((E323/750000)*(F323/80))+(((P323/2500)*J323)*(S323/1600)))*1600/2+((E323/750000)*(F323/80)*((P323/2500)*J323)*(S323/1600))*1600)*(H323/1.0)/3,"")</f>
        <v/>
      </c>
      <c r="X323" s="6" t="n">
        <v>1300</v>
      </c>
      <c r="Y323">
        <f>IFERROR(W323-X323,"")</f>
        <v/>
      </c>
      <c r="Z323">
        <f>IFERROR(ABS(Y323)/MAX(X323,1),"")</f>
        <v/>
      </c>
      <c r="AA323">
        <f>IFERROR(ROUND(((3*X323-(((E323/750000)+(F323/80)+(S323/1600))*1600/4+((E323/750000)*(F323/80))*1600/2)*(H323/1.0))/(1600/4+((S323/1600))*1600/2+((E323/750000)*(F323/80)*(S323/1600))*1600)*(H323/1.0)*2500)/J323,-1),"")</f>
        <v/>
      </c>
    </row>
    <row r="324">
      <c r="B324" s="7" t="inlineStr">
        <is>
          <t xml:space="preserve">  ↳ AsianFlamerTank</t>
        </is>
      </c>
      <c r="C324" s="7" t="inlineStr">
        <is>
          <t>Armament@AG</t>
        </is>
      </c>
      <c r="L324" s="6" t="n">
        <v>4000</v>
      </c>
      <c r="M324" s="6" t="n">
        <v>25</v>
      </c>
      <c r="N324" s="6" t="n">
        <v>6</v>
      </c>
      <c r="O324" s="6" t="n">
        <v>3</v>
      </c>
      <c r="P324" s="6" t="n">
        <v>3700</v>
      </c>
      <c r="Q324" s="6" t="n">
        <v>0.75</v>
      </c>
      <c r="R324">
        <f>M324+IF(MAX(N324-1,0)&gt;0,IF(ISBLANK(O324),5*MAX(N324-1,0),IF(ISNUMBER(O324),O324*MAX(N324-1,0),SUM(IFERROR(VALUE(TEXTSPLIT(O324,",")),0)))),0)</f>
        <v/>
      </c>
      <c r="S324">
        <f>IFERROR(L324*MAX(N324,1)/R324*IF(ISBLANK(K323),1,K323),0)</f>
        <v/>
      </c>
      <c r="AB324" s="7" t="inlineStr">
        <is>
          <t>^Warhead_Flame_Light</t>
        </is>
      </c>
    </row>
    <row r="325">
      <c r="B325" s="7" t="inlineStr">
        <is>
          <t xml:space="preserve">  ↳ AsianFlamerTank_elite</t>
        </is>
      </c>
      <c r="C325" s="7" t="inlineStr">
        <is>
          <t>Armament@ELITE</t>
        </is>
      </c>
      <c r="L325" s="6" t="n">
        <v>4000</v>
      </c>
      <c r="M325" s="6" t="n">
        <v>25</v>
      </c>
      <c r="N325" s="6" t="n">
        <v>12</v>
      </c>
      <c r="O325" s="6" t="n">
        <v>3</v>
      </c>
      <c r="P325" s="6" t="n">
        <v>4700</v>
      </c>
      <c r="Q325" s="6" t="n">
        <v>0.75</v>
      </c>
      <c r="R325">
        <f>M325+IF(MAX(N325-1,0)&gt;0,IF(ISBLANK(O325),5*MAX(N325-1,0),IF(ISNUMBER(O325),O325*MAX(N325-1,0),SUM(IFERROR(VALUE(TEXTSPLIT(O325,",")),0)))),0)</f>
        <v/>
      </c>
      <c r="S325">
        <f>IFERROR(L325*MAX(N325,1)/R325*IF(ISBLANK(K323),1,K323),0)</f>
        <v/>
      </c>
      <c r="AB325" s="7" t="inlineStr">
        <is>
          <t>^Warhead_Flame_Light</t>
        </is>
      </c>
    </row>
    <row r="326">
      <c r="A326" t="inlineStr">
        <is>
          <t>redalert2mod</t>
        </is>
      </c>
      <c r="B326" t="inlineStr">
        <is>
          <t>asianalliance_warturtle</t>
        </is>
      </c>
      <c r="C326" t="inlineStr">
        <is>
          <t>War Turtle</t>
        </is>
      </c>
      <c r="D326" s="6" t="inlineStr">
        <is>
          <t>LineBreaker</t>
        </is>
      </c>
      <c r="E326" s="6" t="n">
        <v>250000</v>
      </c>
      <c r="F326" s="6" t="n">
        <v>75</v>
      </c>
      <c r="G326" t="inlineStr">
        <is>
          <t>Superheavy</t>
        </is>
      </c>
      <c r="H326" s="6" t="n">
        <v>0.75</v>
      </c>
      <c r="I326" s="6" t="n">
        <v>1.25</v>
      </c>
      <c r="J326" s="6" t="n">
        <v>1</v>
      </c>
      <c r="P326">
        <f>MAX(P327)</f>
        <v/>
      </c>
      <c r="S326">
        <f>S327</f>
        <v/>
      </c>
      <c r="T326">
        <f>(E326/100000+F326/100+(P326/1000)*J326/5+S326/200)*200*I326*H326</f>
        <v/>
      </c>
      <c r="U326">
        <f>((E326*F326/25000)+((P326/1000)*J326*S326/2.5))*I326*H326</f>
        <v/>
      </c>
      <c r="V326">
        <f>(E326*F326*(P326/1000)*J326*S326*I326*H326)/12500000</f>
        <v/>
      </c>
      <c r="W326">
        <f>IFERROR((((E326/750000)+(F326/80)+(S326/1600)+((P326/2500)*J326))*1600/4+(((E326/750000)*(F326/80))+(((P326/2500)*J326)*(S326/1600)))*1600/2+((E326/750000)*(F326/80)*((P326/2500)*J326)*(S326/1600))*1600)*(H326/1.0)/3,"")</f>
        <v/>
      </c>
      <c r="X326" s="6" t="n">
        <v>5000</v>
      </c>
      <c r="Y326">
        <f>IFERROR(W326-X326,"")</f>
        <v/>
      </c>
      <c r="Z326">
        <f>IFERROR(ABS(Y326)/MAX(X326,1),"")</f>
        <v/>
      </c>
      <c r="AA326">
        <f>IFERROR(ROUND(((3*X326-(((E326/750000)+(F326/80)+(S326/1600))*1600/4+((E326/750000)*(F326/80))*1600/2)*(H326/1.0))/(1600/4+((S326/1600))*1600/2+((E326/750000)*(F326/80)*(S326/1600))*1600)*(H326/1.0)*2500)/J326,-1),"")</f>
        <v/>
      </c>
    </row>
    <row r="327">
      <c r="B327" s="7" t="inlineStr">
        <is>
          <t xml:space="preserve">  ↳ AsianGrenade</t>
        </is>
      </c>
      <c r="C327" s="7" t="inlineStr">
        <is>
          <t>Armament</t>
        </is>
      </c>
      <c r="L327" s="6" t="n">
        <v>8000</v>
      </c>
      <c r="M327" s="6" t="n">
        <v>92</v>
      </c>
      <c r="N327" s="6" t="n">
        <v>1</v>
      </c>
      <c r="O327" s="6" t="n"/>
      <c r="P327" s="6" t="n">
        <v>4567</v>
      </c>
      <c r="Q327" s="6" t="n">
        <v>1</v>
      </c>
      <c r="R327">
        <f>M327+IF(MAX(N327-1,0)&gt;0,IF(ISBLANK(O327),5*MAX(N327-1,0),IF(ISNUMBER(O327),O327*MAX(N327-1,0),SUM(IFERROR(VALUE(TEXTSPLIT(O327,",")),0)))),0)</f>
        <v/>
      </c>
      <c r="S327">
        <f>IFERROR(L327*MAX(N327,1)/R327*IF(ISBLANK(K326),1,K326),0)</f>
        <v/>
      </c>
      <c r="AB327" s="7" t="inlineStr">
        <is>
          <t>^Warhead_Concussion_Medium, ^Warhead_CannonHE_Medium</t>
        </is>
      </c>
    </row>
    <row r="328">
      <c r="A328" t="inlineStr">
        <is>
          <t>redalert2mod</t>
        </is>
      </c>
      <c r="B328" t="inlineStr">
        <is>
          <t>cobra.steel</t>
        </is>
      </c>
      <c r="C328" t="inlineStr">
        <is>
          <t>Federation Cobra</t>
        </is>
      </c>
      <c r="D328" s="6" t="inlineStr">
        <is>
          <t>LineBreaker</t>
        </is>
      </c>
      <c r="E328" s="6" t="n">
        <v>325000</v>
      </c>
      <c r="F328" s="6" t="n">
        <v>55</v>
      </c>
      <c r="G328" t="inlineStr">
        <is>
          <t>Superheavy</t>
        </is>
      </c>
      <c r="H328" s="6" t="n">
        <v>0.75</v>
      </c>
      <c r="I328" s="6" t="n">
        <v>1</v>
      </c>
      <c r="J328" s="6" t="n">
        <v>1</v>
      </c>
      <c r="P328">
        <f>MAX(P329,P330)</f>
        <v/>
      </c>
      <c r="S328">
        <f>S329+S330</f>
        <v/>
      </c>
      <c r="T328">
        <f>(E328/100000+F328/100+(P328/1000)*J328/5+S328/200)*200*I328*H328</f>
        <v/>
      </c>
      <c r="U328">
        <f>((E328*F328/25000)+((P328/1000)*J328*S328/2.5))*I328*H328</f>
        <v/>
      </c>
      <c r="V328">
        <f>(E328*F328*(P328/1000)*J328*S328*I328*H328)/12500000</f>
        <v/>
      </c>
      <c r="W328">
        <f>IFERROR((((E328/750000)+(F328/80)+(S328/1600)+((P328/2500)*J328))*1600/4+(((E328/750000)*(F328/80))+(((P328/2500)*J328)*(S328/1600)))*1600/2+((E328/750000)*(F328/80)*((P328/2500)*J328)*(S328/1600))*1600)*(H328/1.0)/3,"")</f>
        <v/>
      </c>
      <c r="X328" s="6" t="n">
        <v>3600</v>
      </c>
      <c r="Y328">
        <f>IFERROR(W328-X328,"")</f>
        <v/>
      </c>
      <c r="Z328">
        <f>IFERROR(ABS(Y328)/MAX(X328,1),"")</f>
        <v/>
      </c>
      <c r="AA328">
        <f>IFERROR(ROUND(((3*X328-(((E328/750000)+(F328/80)+(S328/1600))*1600/4+((E328/750000)*(F328/80))*1600/2)*(H328/1.0))/(1600/4+((S328/1600))*1600/2+((E328/750000)*(F328/80)*(S328/1600))*1600)*(H328/1.0)*2500)/J328,-1),"")</f>
        <v/>
      </c>
    </row>
    <row r="329">
      <c r="B329" s="7" t="inlineStr">
        <is>
          <t xml:space="preserve">  ↳ SteelQuantumTurretRail_EMP</t>
        </is>
      </c>
      <c r="C329" s="7" t="inlineStr">
        <is>
          <t>Armament@AG1</t>
        </is>
      </c>
      <c r="L329" s="6" t="n">
        <v>12000</v>
      </c>
      <c r="M329" s="6" t="n">
        <v>38</v>
      </c>
      <c r="N329" s="6" t="n">
        <v>1</v>
      </c>
      <c r="O329" s="6" t="n"/>
      <c r="P329" s="6" t="n">
        <v>8888</v>
      </c>
      <c r="Q329" s="6" t="n">
        <v>1.25</v>
      </c>
      <c r="R329">
        <f>M329+IF(MAX(N329-1,0)&gt;0,IF(ISBLANK(O329),5*MAX(N329-1,0),IF(ISNUMBER(O329),O329*MAX(N329-1,0),SUM(IFERROR(VALUE(TEXTSPLIT(O329,",")),0)))),0)</f>
        <v/>
      </c>
      <c r="S329">
        <f>IFERROR(L329*MAX(N329,1)/R329*IF(ISBLANK(K328),1,K328),0)</f>
        <v/>
      </c>
      <c r="AB329" s="7" t="inlineStr">
        <is>
          <t>^Warhead_CannonHE_Heavy</t>
        </is>
      </c>
    </row>
    <row r="330">
      <c r="B330" s="7" t="inlineStr">
        <is>
          <t xml:space="preserve">  ↳ SteelQuantumTurretRail_EMP</t>
        </is>
      </c>
      <c r="C330" s="7" t="inlineStr">
        <is>
          <t>Armament@AG2</t>
        </is>
      </c>
      <c r="L330" s="6" t="n">
        <v>12000</v>
      </c>
      <c r="M330" s="6" t="n">
        <v>38</v>
      </c>
      <c r="N330" s="6" t="n">
        <v>1</v>
      </c>
      <c r="O330" s="6" t="n"/>
      <c r="P330" s="6" t="n">
        <v>8888</v>
      </c>
      <c r="Q330" s="6" t="n">
        <v>1.25</v>
      </c>
      <c r="R330">
        <f>M330+IF(MAX(N330-1,0)&gt;0,IF(ISBLANK(O330),5*MAX(N330-1,0),IF(ISNUMBER(O330),O330*MAX(N330-1,0),SUM(IFERROR(VALUE(TEXTSPLIT(O330,",")),0)))),0)</f>
        <v/>
      </c>
      <c r="S330">
        <f>IFERROR(L330*MAX(N330,1)/R330*IF(ISBLANK(K328),1,K328),0)</f>
        <v/>
      </c>
      <c r="AB330" s="7" t="inlineStr">
        <is>
          <t>^Warhead_CannonHE_Heavy</t>
        </is>
      </c>
    </row>
    <row r="331">
      <c r="A331" t="inlineStr">
        <is>
          <t>redalert2mod</t>
        </is>
      </c>
      <c r="B331" t="inlineStr">
        <is>
          <t>steelconsortium_megalodon</t>
        </is>
      </c>
      <c r="C331" t="inlineStr">
        <is>
          <t>Megalodon</t>
        </is>
      </c>
      <c r="D331" s="6" t="inlineStr">
        <is>
          <t>LineBreaker</t>
        </is>
      </c>
      <c r="E331" s="6" t="n">
        <v>450000</v>
      </c>
      <c r="F331" s="6" t="n">
        <v>65</v>
      </c>
      <c r="G331" t="inlineStr">
        <is>
          <t>Superheavy</t>
        </is>
      </c>
      <c r="H331" s="6" t="n">
        <v>0.75</v>
      </c>
      <c r="I331" s="6" t="n">
        <v>1</v>
      </c>
      <c r="J331" s="6" t="n">
        <v>1</v>
      </c>
      <c r="P331">
        <f>MAX(P332,P333,P334)</f>
        <v/>
      </c>
      <c r="S331">
        <f>S332+S333+S334</f>
        <v/>
      </c>
      <c r="T331">
        <f>(E331/100000+F331/100+(P331/1000)*J331/5+S331/200)*200*I331*H331</f>
        <v/>
      </c>
      <c r="U331">
        <f>((E331*F331/25000)+((P331/1000)*J331*S331/2.5))*I331*H331</f>
        <v/>
      </c>
      <c r="V331">
        <f>(E331*F331*(P331/1000)*J331*S331*I331*H331)/12500000</f>
        <v/>
      </c>
      <c r="W331">
        <f>IFERROR((((E331/750000)+(F331/80)+(S331/1600)+((P331/2500)*J331))*1600/4+(((E331/750000)*(F331/80))+(((P331/2500)*J331)*(S331/1600)))*1600/2+((E331/750000)*(F331/80)*((P331/2500)*J331)*(S331/1600))*1600)*(H331/1.0)/3,"")</f>
        <v/>
      </c>
      <c r="X331" s="6" t="n">
        <v>4600</v>
      </c>
      <c r="Y331">
        <f>IFERROR(W331-X331,"")</f>
        <v/>
      </c>
      <c r="Z331">
        <f>IFERROR(ABS(Y331)/MAX(X331,1),"")</f>
        <v/>
      </c>
      <c r="AA331">
        <f>IFERROR(ROUND(((3*X331-(((E331/750000)+(F331/80)+(S331/1600))*1600/4+((E331/750000)*(F331/80))*1600/2)*(H331/1.0))/(1600/4+((S331/1600))*1600/2+((E331/750000)*(F331/80)*(S331/1600))*1600)*(H331/1.0)*2500)/J331,-1),"")</f>
        <v/>
      </c>
    </row>
    <row r="332">
      <c r="B332" s="7" t="inlineStr">
        <is>
          <t xml:space="preserve">  ↳ SteelMegaSword</t>
        </is>
      </c>
      <c r="C332" s="7" t="inlineStr">
        <is>
          <t>Armament@PRIMARY</t>
        </is>
      </c>
      <c r="L332" s="6" t="n">
        <v>60000</v>
      </c>
      <c r="M332" s="6" t="n">
        <v>24</v>
      </c>
      <c r="N332" s="6" t="n">
        <v>1</v>
      </c>
      <c r="O332" s="6" t="n"/>
      <c r="P332" s="6" t="n">
        <v>1600</v>
      </c>
      <c r="Q332" s="6" t="n">
        <v>1</v>
      </c>
      <c r="R332">
        <f>M332+IF(MAX(N332-1,0)&gt;0,IF(ISBLANK(O332),5*MAX(N332-1,0),IF(ISNUMBER(O332),O332*MAX(N332-1,0),SUM(IFERROR(VALUE(TEXTSPLIT(O332,",")),0)))),0)</f>
        <v/>
      </c>
      <c r="S332">
        <f>IFERROR(L332*MAX(N332,1)/R332*IF(ISBLANK(K331),1,K331),0)</f>
        <v/>
      </c>
      <c r="AB332" s="7" t="inlineStr">
        <is>
          <t>^LightChemicalWeapon, ^LaserWeapon, ^SwordWeapon</t>
        </is>
      </c>
    </row>
    <row r="333">
      <c r="B333" s="7" t="inlineStr">
        <is>
          <t xml:space="preserve">  ↳ SteelMegaSword_EMP</t>
        </is>
      </c>
      <c r="C333" s="7" t="inlineStr">
        <is>
          <t>Armament@ELITE</t>
        </is>
      </c>
      <c r="L333" s="6" t="n">
        <v>90000</v>
      </c>
      <c r="M333" s="6" t="n">
        <v>16</v>
      </c>
      <c r="N333" s="6" t="n">
        <v>1</v>
      </c>
      <c r="O333" s="6" t="n"/>
      <c r="P333" s="6" t="n">
        <v>2400</v>
      </c>
      <c r="Q333" s="6" t="n">
        <v>1</v>
      </c>
      <c r="R333">
        <f>M333+IF(MAX(N333-1,0)&gt;0,IF(ISBLANK(O333),5*MAX(N333-1,0),IF(ISNUMBER(O333),O333*MAX(N333-1,0),SUM(IFERROR(VALUE(TEXTSPLIT(O333,",")),0)))),0)</f>
        <v/>
      </c>
      <c r="S333">
        <f>IFERROR(L333*MAX(N333,1)/R333*IF(ISBLANK(K331),1,K331),0)</f>
        <v/>
      </c>
      <c r="AB333" s="7" t="inlineStr">
        <is>
          <t>^HeavyChemicalWeapon, ^LaserWeapon, ^TeslaWeapon</t>
        </is>
      </c>
    </row>
    <row r="334">
      <c r="B334" s="7" t="inlineStr">
        <is>
          <t xml:space="preserve">  ↳ SteelMegaSword_elite</t>
        </is>
      </c>
      <c r="C334" s="7" t="inlineStr">
        <is>
          <t>Armament@elite</t>
        </is>
      </c>
      <c r="L334" s="6" t="n">
        <v>120000</v>
      </c>
      <c r="M334" s="6" t="n">
        <v>16</v>
      </c>
      <c r="N334" s="6" t="n">
        <v>1</v>
      </c>
      <c r="O334" s="6" t="n"/>
      <c r="P334" s="6" t="n">
        <v>2400</v>
      </c>
      <c r="Q334" s="6" t="n">
        <v>1.25</v>
      </c>
      <c r="R334">
        <f>M334+IF(MAX(N334-1,0)&gt;0,IF(ISBLANK(O334),5*MAX(N334-1,0),IF(ISNUMBER(O334),O334*MAX(N334-1,0),SUM(IFERROR(VALUE(TEXTSPLIT(O334,",")),0)))),0)</f>
        <v/>
      </c>
      <c r="S334">
        <f>IFERROR(L334*MAX(N334,1)/R334*IF(ISBLANK(K331),1,K331),0)</f>
        <v/>
      </c>
      <c r="AB334" s="7" t="inlineStr">
        <is>
          <t>^Warhead_Railgun_Heavy</t>
        </is>
      </c>
    </row>
    <row r="335">
      <c r="A335" t="inlineStr">
        <is>
          <t>redalert2mod</t>
        </is>
      </c>
      <c r="B335" t="inlineStr">
        <is>
          <t>steelconsortium_poseidontank</t>
        </is>
      </c>
      <c r="C335" t="inlineStr">
        <is>
          <t>Poseidon Tank</t>
        </is>
      </c>
      <c r="D335" s="6" t="inlineStr">
        <is>
          <t>LineBreaker</t>
        </is>
      </c>
      <c r="E335" s="6" t="n">
        <v>125000</v>
      </c>
      <c r="F335" s="6" t="n">
        <v>50</v>
      </c>
      <c r="G335" t="inlineStr">
        <is>
          <t>Superheavy</t>
        </is>
      </c>
      <c r="H335" s="6" t="n">
        <v>0.75</v>
      </c>
      <c r="I335" s="6" t="n">
        <v>1.25</v>
      </c>
      <c r="J335" s="6" t="n">
        <v>1</v>
      </c>
      <c r="P335">
        <f>MAX(P336)</f>
        <v/>
      </c>
      <c r="S335">
        <f>S336</f>
        <v/>
      </c>
      <c r="T335">
        <f>(E335/100000+F335/100+(P335/1000)*J335/5+S335/200)*200*I335*H335</f>
        <v/>
      </c>
      <c r="U335">
        <f>((E335*F335/25000)+((P335/1000)*J335*S335/2.5))*I335*H335</f>
        <v/>
      </c>
      <c r="V335">
        <f>(E335*F335*(P335/1000)*J335*S335*I335*H335)/12500000</f>
        <v/>
      </c>
      <c r="W335">
        <f>IFERROR((((E335/750000)+(F335/80)+(S335/1600)+((P335/2500)*J335))*1600/4+(((E335/750000)*(F335/80))+(((P335/2500)*J335)*(S335/1600)))*1600/2+((E335/750000)*(F335/80)*((P335/2500)*J335)*(S335/1600))*1600)*(H335/1.0)/3,"")</f>
        <v/>
      </c>
      <c r="X335" s="6" t="n">
        <v>4000</v>
      </c>
      <c r="Y335">
        <f>IFERROR(W335-X335,"")</f>
        <v/>
      </c>
      <c r="Z335">
        <f>IFERROR(ABS(Y335)/MAX(X335,1),"")</f>
        <v/>
      </c>
      <c r="AA335">
        <f>IFERROR(ROUND(((3*X335-(((E335/750000)+(F335/80)+(S335/1600))*1600/4+((E335/750000)*(F335/80))*1600/2)*(H335/1.0))/(1600/4+((S335/1600))*1600/2+((E335/750000)*(F335/80)*(S335/1600))*1600)*(H335/1.0)*2500)/J335,-1),"")</f>
        <v/>
      </c>
    </row>
    <row r="336">
      <c r="B336" s="7" t="inlineStr">
        <is>
          <t xml:space="preserve">  ↳ SteelFortressWeapons</t>
        </is>
      </c>
      <c r="C336" s="7" t="inlineStr">
        <is>
          <t>Armament@1</t>
        </is>
      </c>
      <c r="L336" s="6" t="n">
        <v>14000</v>
      </c>
      <c r="M336" s="6" t="n">
        <v>41</v>
      </c>
      <c r="N336" s="6" t="n">
        <v>2</v>
      </c>
      <c r="O336" s="6" t="n">
        <v>0</v>
      </c>
      <c r="P336" s="6" t="n">
        <v>6333</v>
      </c>
      <c r="Q336" s="6" t="n">
        <v>1</v>
      </c>
      <c r="R336">
        <f>M336+IF(MAX(N336-1,0)&gt;0,IF(ISBLANK(O336),5*MAX(N336-1,0),IF(ISNUMBER(O336),O336*MAX(N336-1,0),SUM(IFERROR(VALUE(TEXTSPLIT(O336,",")),0)))),0)</f>
        <v/>
      </c>
      <c r="S336">
        <f>IFERROR(L336*MAX(N336,1)/R336*IF(ISBLANK(K335),1,K335),0)</f>
        <v/>
      </c>
      <c r="AB336" s="7" t="inlineStr">
        <is>
          <t>^Warhead_CannonHE_Medium</t>
        </is>
      </c>
    </row>
    <row r="337">
      <c r="A337" t="inlineStr">
        <is>
          <t>redalert2mod</t>
        </is>
      </c>
      <c r="B337" t="inlineStr">
        <is>
          <t>latinsyndicate_carteltruck</t>
        </is>
      </c>
      <c r="C337" t="inlineStr">
        <is>
          <t>Cartel Truck</t>
        </is>
      </c>
      <c r="D337" s="6" t="inlineStr">
        <is>
          <t>LineBreaker</t>
        </is>
      </c>
      <c r="E337" s="6" t="n">
        <v>167500</v>
      </c>
      <c r="F337" s="6" t="n">
        <v>70</v>
      </c>
      <c r="G337" t="inlineStr">
        <is>
          <t>Superheavy</t>
        </is>
      </c>
      <c r="H337" s="6" t="n">
        <v>0.75</v>
      </c>
      <c r="I337" s="6" t="n">
        <v>1.25</v>
      </c>
      <c r="J337" s="6" t="n">
        <v>1</v>
      </c>
      <c r="P337">
        <f>MAX(P338,P339)</f>
        <v/>
      </c>
      <c r="S337">
        <f>S338+S339</f>
        <v/>
      </c>
      <c r="T337">
        <f>(E337/100000+F337/100+(P337/1000)*J337/5+S337/200)*200*I337*H337</f>
        <v/>
      </c>
      <c r="U337">
        <f>((E337*F337/25000)+((P337/1000)*J337*S337/2.5))*I337*H337</f>
        <v/>
      </c>
      <c r="V337">
        <f>(E337*F337*(P337/1000)*J337*S337*I337*H337)/12500000</f>
        <v/>
      </c>
      <c r="W337">
        <f>IFERROR((((E337/750000)+(F337/80)+(S337/1600)+((P337/2500)*J337))*1600/4+(((E337/750000)*(F337/80))+(((P337/2500)*J337)*(S337/1600)))*1600/2+((E337/750000)*(F337/80)*((P337/2500)*J337)*(S337/1600))*1600)*(H337/1.0)/3,"")</f>
        <v/>
      </c>
      <c r="X337" s="6" t="n">
        <v>6000</v>
      </c>
      <c r="Y337">
        <f>IFERROR(W337-X337,"")</f>
        <v/>
      </c>
      <c r="Z337">
        <f>IFERROR(ABS(Y337)/MAX(X337,1),"")</f>
        <v/>
      </c>
      <c r="AA337">
        <f>IFERROR(ROUND(((3*X337-(((E337/750000)+(F337/80)+(S337/1600))*1600/4+((E337/750000)*(F337/80))*1600/2)*(H337/1.0))/(1600/4+((S337/1600))*1600/2+((E337/750000)*(F337/80)*(S337/1600))*1600)*(H337/1.0)*2500)/J337,-1),"")</f>
        <v/>
      </c>
    </row>
    <row r="338">
      <c r="B338" s="7" t="inlineStr">
        <is>
          <t xml:space="preserve">  ↳ RA2Narco60mm</t>
        </is>
      </c>
      <c r="C338" s="7" t="inlineStr">
        <is>
          <t>Armament@AG</t>
        </is>
      </c>
      <c r="L338" s="6" t="n">
        <v>16000</v>
      </c>
      <c r="M338" s="6" t="n">
        <v>20</v>
      </c>
      <c r="N338" s="6" t="n">
        <v>1</v>
      </c>
      <c r="O338" s="6" t="n"/>
      <c r="P338" s="6" t="n">
        <v>5800</v>
      </c>
      <c r="Q338" s="6" t="n">
        <v>1</v>
      </c>
      <c r="R338">
        <f>M338+IF(MAX(N338-1,0)&gt;0,IF(ISBLANK(O338),5*MAX(N338-1,0),IF(ISNUMBER(O338),O338*MAX(N338-1,0),SUM(IFERROR(VALUE(TEXTSPLIT(O338,",")),0)))),0)</f>
        <v/>
      </c>
      <c r="S338">
        <f>IFERROR(L338*MAX(N338,1)/R338*IF(ISBLANK(K337),1,K337),0)</f>
        <v/>
      </c>
      <c r="AB338" s="7" t="inlineStr">
        <is>
          <t>^Warhead_CannonHE_Medium</t>
        </is>
      </c>
    </row>
    <row r="339">
      <c r="B339" s="7" t="inlineStr">
        <is>
          <t xml:space="preserve">  ↳ RA2Narco60mm_elite</t>
        </is>
      </c>
      <c r="C339" s="7" t="inlineStr">
        <is>
          <t>Armament@AGE</t>
        </is>
      </c>
      <c r="L339" s="6" t="n">
        <v>16000</v>
      </c>
      <c r="M339" s="6" t="n">
        <v>20</v>
      </c>
      <c r="N339" s="6" t="n">
        <v>2</v>
      </c>
      <c r="O339" s="6" t="n">
        <v>3</v>
      </c>
      <c r="P339" s="6" t="n">
        <v>6800</v>
      </c>
      <c r="Q339" s="6" t="n">
        <v>1</v>
      </c>
      <c r="R339">
        <f>M339+IF(MAX(N339-1,0)&gt;0,IF(ISBLANK(O339),5*MAX(N339-1,0),IF(ISNUMBER(O339),O339*MAX(N339-1,0),SUM(IFERROR(VALUE(TEXTSPLIT(O339,",")),0)))),0)</f>
        <v/>
      </c>
      <c r="S339">
        <f>IFERROR(L339*MAX(N339,1)/R339*IF(ISBLANK(K337),1,K337),0)</f>
        <v/>
      </c>
      <c r="AB339" s="7" t="inlineStr">
        <is>
          <t>^Warhead_CannonHE_Medium</t>
        </is>
      </c>
    </row>
    <row r="340">
      <c r="A340" t="inlineStr">
        <is>
          <t>redalert2mod</t>
        </is>
      </c>
      <c r="B340" t="inlineStr">
        <is>
          <t>latinsyndicate_tortugatank</t>
        </is>
      </c>
      <c r="C340" t="inlineStr">
        <is>
          <t>Tortuga Tank</t>
        </is>
      </c>
      <c r="D340" s="6" t="inlineStr">
        <is>
          <t>LineBreaker</t>
        </is>
      </c>
      <c r="E340" s="6" t="n">
        <v>875000</v>
      </c>
      <c r="F340" s="6" t="n">
        <v>45</v>
      </c>
      <c r="G340" t="inlineStr">
        <is>
          <t>Superheavy</t>
        </is>
      </c>
      <c r="H340" s="6" t="n">
        <v>0.5</v>
      </c>
      <c r="I340" s="6" t="n">
        <v>1</v>
      </c>
      <c r="J340" s="6" t="n">
        <v>1</v>
      </c>
      <c r="P340">
        <f>MAX(P341,P342,P343,P344)</f>
        <v/>
      </c>
      <c r="S340">
        <f>S341+S342+S343+S344</f>
        <v/>
      </c>
      <c r="T340">
        <f>(E340/100000+F340/100+(P340/1000)*J340/5+S340/200)*200*I340*H340</f>
        <v/>
      </c>
      <c r="U340">
        <f>((E340*F340/25000)+((P340/1000)*J340*S340/2.5))*I340*H340</f>
        <v/>
      </c>
      <c r="V340">
        <f>(E340*F340*(P340/1000)*J340*S340*I340*H340)/12500000</f>
        <v/>
      </c>
      <c r="W340">
        <f>IFERROR((((E340/750000)+(F340/80)+(S340/1600)+((P340/2500)*J340))*1600/4+(((E340/750000)*(F340/80))+(((P340/2500)*J340)*(S340/1600)))*1600/2+((E340/750000)*(F340/80)*((P340/2500)*J340)*(S340/1600))*1600)*(H340/1.0)/3,"")</f>
        <v/>
      </c>
      <c r="X340" s="6" t="n">
        <v>3000</v>
      </c>
      <c r="Y340">
        <f>IFERROR(W340-X340,"")</f>
        <v/>
      </c>
      <c r="Z340">
        <f>IFERROR(ABS(Y340)/MAX(X340,1),"")</f>
        <v/>
      </c>
      <c r="AA340">
        <f>IFERROR(ROUND(((3*X340-(((E340/750000)+(F340/80)+(S340/1600))*1600/4+((E340/750000)*(F340/80))*1600/2)*(H340/1.0))/(1600/4+((S340/1600))*1600/2+((E340/750000)*(F340/80)*(S340/1600))*1600)*(H340/1.0)*2500)/J340,-1),"")</f>
        <v/>
      </c>
    </row>
    <row r="341">
      <c r="B341" s="7" t="inlineStr">
        <is>
          <t xml:space="preserve">  ↳ LatinBuggyMG</t>
        </is>
      </c>
      <c r="C341" s="7" t="inlineStr">
        <is>
          <t>Armament</t>
        </is>
      </c>
      <c r="L341" s="6" t="n">
        <v>8000</v>
      </c>
      <c r="M341" s="6" t="n">
        <v>35</v>
      </c>
      <c r="N341" s="6" t="n">
        <v>5</v>
      </c>
      <c r="O341" s="6" t="n">
        <v>5</v>
      </c>
      <c r="P341" s="6" t="n">
        <v>6000</v>
      </c>
      <c r="Q341" s="6" t="n">
        <v>0.875</v>
      </c>
      <c r="R341">
        <f>M341+IF(MAX(N341-1,0)&gt;0,IF(ISBLANK(O341),5*MAX(N341-1,0),IF(ISNUMBER(O341),O341*MAX(N341-1,0),SUM(IFERROR(VALUE(TEXTSPLIT(O341,",")),0)))),0)</f>
        <v/>
      </c>
      <c r="S341">
        <f>IFERROR(L341*MAX(N341,1)/R341*IF(ISBLANK(K340),1,K340),0)</f>
        <v/>
      </c>
      <c r="AB341" s="7" t="inlineStr">
        <is>
          <t>^Warhead_Bullet_Light, ^Warhead_Bullet_Medium</t>
        </is>
      </c>
    </row>
    <row r="342">
      <c r="B342" s="7" t="inlineStr">
        <is>
          <t xml:space="preserve">  ↳ LatinBuggyMG_elite</t>
        </is>
      </c>
      <c r="C342" s="7" t="inlineStr">
        <is>
          <t>Armament@Elite</t>
        </is>
      </c>
      <c r="L342" s="6" t="n">
        <v>8000</v>
      </c>
      <c r="M342" s="6" t="n">
        <v>35</v>
      </c>
      <c r="N342" s="6" t="n">
        <v>10</v>
      </c>
      <c r="O342" s="6" t="n">
        <v>3</v>
      </c>
      <c r="P342" s="6" t="n">
        <v>7000</v>
      </c>
      <c r="Q342" s="6" t="n">
        <v>0.875</v>
      </c>
      <c r="R342">
        <f>M342+IF(MAX(N342-1,0)&gt;0,IF(ISBLANK(O342),5*MAX(N342-1,0),IF(ISNUMBER(O342),O342*MAX(N342-1,0),SUM(IFERROR(VALUE(TEXTSPLIT(O342,",")),0)))),0)</f>
        <v/>
      </c>
      <c r="S342">
        <f>IFERROR(L342*MAX(N342,1)/R342*IF(ISBLANK(K340),1,K340),0)</f>
        <v/>
      </c>
      <c r="AB342" s="7" t="inlineStr">
        <is>
          <t>^Warhead_Bullet_Light, ^Warhead_Bullet_Medium</t>
        </is>
      </c>
    </row>
    <row r="343">
      <c r="B343" s="7" t="inlineStr">
        <is>
          <t xml:space="preserve">  ↳ LatinBuggyChaingun</t>
        </is>
      </c>
      <c r="C343" s="7" t="inlineStr">
        <is>
          <t>Armament@Gatling</t>
        </is>
      </c>
      <c r="L343" s="6" t="n">
        <v>8000</v>
      </c>
      <c r="M343" s="6" t="n">
        <v>11</v>
      </c>
      <c r="N343" s="6" t="n">
        <v>1</v>
      </c>
      <c r="O343" s="6" t="n"/>
      <c r="P343" s="6" t="n">
        <v>6000</v>
      </c>
      <c r="Q343" s="6" t="n">
        <v>1</v>
      </c>
      <c r="R343">
        <f>M343+IF(MAX(N343-1,0)&gt;0,IF(ISBLANK(O343),5*MAX(N343-1,0),IF(ISNUMBER(O343),O343*MAX(N343-1,0),SUM(IFERROR(VALUE(TEXTSPLIT(O343,",")),0)))),0)</f>
        <v/>
      </c>
      <c r="S343">
        <f>IFERROR(L343*MAX(N343,1)/R343*IF(ISBLANK(K340),1,K340),0)</f>
        <v/>
      </c>
      <c r="AB343" s="7" t="inlineStr">
        <is>
          <t>^Warhead_CannonAP_Light, ^Warhead_Flak_Medium, ^Warhead_Bullet_Light, ^Warhead_Bullet_Medium</t>
        </is>
      </c>
    </row>
    <row r="344">
      <c r="B344" s="7" t="inlineStr">
        <is>
          <t xml:space="preserve">  ↳ LatinBuggyChaingun_elite</t>
        </is>
      </c>
      <c r="C344" s="7" t="inlineStr">
        <is>
          <t>Armament@GatlingElite</t>
        </is>
      </c>
      <c r="L344" s="6" t="n">
        <v>8000</v>
      </c>
      <c r="M344" s="6" t="n">
        <v>11</v>
      </c>
      <c r="N344" s="6" t="n">
        <v>1</v>
      </c>
      <c r="O344" s="6" t="n"/>
      <c r="P344" s="6" t="n">
        <v>7000</v>
      </c>
      <c r="Q344" s="6" t="n">
        <v>1</v>
      </c>
      <c r="R344">
        <f>M344+IF(MAX(N344-1,0)&gt;0,IF(ISBLANK(O344),5*MAX(N344-1,0),IF(ISNUMBER(O344),O344*MAX(N344-1,0),SUM(IFERROR(VALUE(TEXTSPLIT(O344,",")),0)))),0)</f>
        <v/>
      </c>
      <c r="S344">
        <f>IFERROR(L344*MAX(N344,1)/R344*IF(ISBLANK(K340),1,K340),0)</f>
        <v/>
      </c>
      <c r="AB344" s="7" t="inlineStr">
        <is>
          <t>^Warhead_CannonAP_Light, ^Warhead_Flak_Medium, ^Warhead_Bullet_Light, ^Warhead_Bullet_Medium</t>
        </is>
      </c>
    </row>
    <row r="345">
      <c r="A345" t="inlineStr">
        <is>
          <t>redalert2mod</t>
        </is>
      </c>
      <c r="B345" t="inlineStr">
        <is>
          <t>naxis_oldtank</t>
        </is>
      </c>
      <c r="C345" t="inlineStr">
        <is>
          <t>Old Tank</t>
        </is>
      </c>
      <c r="D345" s="6" t="inlineStr">
        <is>
          <t>LineBreaker</t>
        </is>
      </c>
      <c r="E345" s="6" t="n">
        <v>110000</v>
      </c>
      <c r="F345" s="6" t="n">
        <v>50</v>
      </c>
      <c r="G345" t="inlineStr">
        <is>
          <t>Superheavy</t>
        </is>
      </c>
      <c r="H345" s="6" t="n">
        <v>0.6846</v>
      </c>
      <c r="I345" s="6" t="n">
        <v>1</v>
      </c>
      <c r="J345" s="6" t="n">
        <v>1</v>
      </c>
      <c r="P345">
        <f>MAX(P346)</f>
        <v/>
      </c>
      <c r="S345">
        <f>S346</f>
        <v/>
      </c>
      <c r="T345">
        <f>(E345/100000+F345/100+(P345/1000)*J345/5+S345/200)*200*I345*H345</f>
        <v/>
      </c>
      <c r="U345">
        <f>((E345*F345/25000)+((P345/1000)*J345*S345/2.5))*I345*H345</f>
        <v/>
      </c>
      <c r="V345">
        <f>(E345*F345*(P345/1000)*J345*S345*I345*H345)/12500000</f>
        <v/>
      </c>
      <c r="W345">
        <f>IFERROR((((E345/750000)+(F345/80)+(S345/1600)+((P345/2500)*J345))*1600/4+(((E345/750000)*(F345/80))+(((P345/2500)*J345)*(S345/1600)))*1600/2+((E345/750000)*(F345/80)*((P345/2500)*J345)*(S345/1600))*1600)*(H345/1.0)/3,"")</f>
        <v/>
      </c>
      <c r="X345" s="6" t="n">
        <v>2000</v>
      </c>
      <c r="Y345">
        <f>IFERROR(W345-X345,"")</f>
        <v/>
      </c>
      <c r="Z345">
        <f>IFERROR(ABS(Y345)/MAX(X345,1),"")</f>
        <v/>
      </c>
      <c r="AA345">
        <f>IFERROR(ROUND(((3*X345-(((E345/750000)+(F345/80)+(S345/1600))*1600/4+((E345/750000)*(F345/80))*1600/2)*(H345/1.0))/(1600/4+((S345/1600))*1600/2+((E345/750000)*(F345/80)*(S345/1600))*1600)*(H345/1.0)*2500)/J345,-1),"")</f>
        <v/>
      </c>
    </row>
    <row r="346">
      <c r="B346" s="7" t="inlineStr">
        <is>
          <t xml:space="preserve">  ↳ NaxiAntiTankCannon</t>
        </is>
      </c>
      <c r="C346" s="7" t="inlineStr">
        <is>
          <t>Armament</t>
        </is>
      </c>
      <c r="L346" s="6" t="n">
        <v>28000</v>
      </c>
      <c r="M346" s="6" t="n">
        <v>75</v>
      </c>
      <c r="N346" s="6" t="n">
        <v>1</v>
      </c>
      <c r="O346" s="6" t="n"/>
      <c r="P346" s="6" t="n">
        <v>7361</v>
      </c>
      <c r="Q346" s="6" t="n">
        <v>0.875</v>
      </c>
      <c r="R346">
        <f>M346+IF(MAX(N346-1,0)&gt;0,IF(ISBLANK(O346),5*MAX(N346-1,0),IF(ISNUMBER(O346),O346*MAX(N346-1,0),SUM(IFERROR(VALUE(TEXTSPLIT(O346,",")),0)))),0)</f>
        <v/>
      </c>
      <c r="S346">
        <f>IFERROR(L346*MAX(N346,1)/R346*IF(ISBLANK(K345),1,K345),0)</f>
        <v/>
      </c>
      <c r="AB346" s="7" t="inlineStr">
        <is>
          <t>^Warhead_CannonHE_Medium, ^Warhead_CannonAP_Light</t>
        </is>
      </c>
    </row>
    <row r="347">
      <c r="A347" t="inlineStr">
        <is>
          <t>redalert2mod</t>
        </is>
      </c>
      <c r="B347" t="inlineStr">
        <is>
          <t>futuretech_plasmastrider</t>
        </is>
      </c>
      <c r="C347" t="inlineStr">
        <is>
          <t>Plasma Strider</t>
        </is>
      </c>
      <c r="D347" s="6" t="inlineStr">
        <is>
          <t>LineBreaker</t>
        </is>
      </c>
      <c r="E347" s="6" t="n">
        <v>240000</v>
      </c>
      <c r="F347" s="6" t="n">
        <v>40</v>
      </c>
      <c r="G347" t="inlineStr">
        <is>
          <t>Superheavy</t>
        </is>
      </c>
      <c r="H347" s="6" t="n">
        <v>0.305</v>
      </c>
      <c r="I347" s="6" t="n">
        <v>1</v>
      </c>
      <c r="J347" s="6" t="n">
        <v>1</v>
      </c>
      <c r="P347">
        <f>MAX(P348,P349)</f>
        <v/>
      </c>
      <c r="S347">
        <f>S348+S349</f>
        <v/>
      </c>
      <c r="T347">
        <f>(E347/100000+F347/100+(P347/1000)*J347/5+S347/200)*200*I347*H347</f>
        <v/>
      </c>
      <c r="U347">
        <f>((E347*F347/25000)+((P347/1000)*J347*S347/2.5))*I347*H347</f>
        <v/>
      </c>
      <c r="V347">
        <f>(E347*F347*(P347/1000)*J347*S347*I347*H347)/12500000</f>
        <v/>
      </c>
      <c r="W347">
        <f>IFERROR((((E347/750000)+(F347/80)+(S347/1600)+((P347/2500)*J347))*1600/4+(((E347/750000)*(F347/80))+(((P347/2500)*J347)*(S347/1600)))*1600/2+((E347/750000)*(F347/80)*((P347/2500)*J347)*(S347/1600))*1600)*(H347/1.0)/3,"")</f>
        <v/>
      </c>
      <c r="X347" s="6" t="n">
        <v>2600</v>
      </c>
      <c r="Y347">
        <f>IFERROR(W347-X347,"")</f>
        <v/>
      </c>
      <c r="Z347">
        <f>IFERROR(ABS(Y347)/MAX(X347,1),"")</f>
        <v/>
      </c>
      <c r="AA347">
        <f>IFERROR(ROUND(((3*X347-(((E347/750000)+(F347/80)+(S347/1600))*1600/4+((E347/750000)*(F347/80))*1600/2)*(H347/1.0))/(1600/4+((S347/1600))*1600/2+((E347/750000)*(F347/80)*(S347/1600))*1600)*(H347/1.0)*2500)/J347,-1),"")</f>
        <v/>
      </c>
    </row>
    <row r="348">
      <c r="B348" s="7" t="inlineStr">
        <is>
          <t xml:space="preserve">  ↳ FutureMechPlasma</t>
        </is>
      </c>
      <c r="C348" s="7" t="inlineStr">
        <is>
          <t>Armament@PRIMARY</t>
        </is>
      </c>
      <c r="L348" s="6" t="n">
        <v>30000</v>
      </c>
      <c r="M348" s="6" t="n">
        <v>50</v>
      </c>
      <c r="N348" s="6" t="n">
        <v>2</v>
      </c>
      <c r="O348" s="6" t="n">
        <v>10</v>
      </c>
      <c r="P348" s="6" t="n">
        <v>7000</v>
      </c>
      <c r="Q348" s="6" t="n">
        <v>1.25</v>
      </c>
      <c r="R348">
        <f>M348+IF(MAX(N348-1,0)&gt;0,IF(ISBLANK(O348),5*MAX(N348-1,0),IF(ISNUMBER(O348),O348*MAX(N348-1,0),SUM(IFERROR(VALUE(TEXTSPLIT(O348,",")),0)))),0)</f>
        <v/>
      </c>
      <c r="S348">
        <f>IFERROR(L348*MAX(N348,1)/R348*IF(ISBLANK(K347),1,K347),0)</f>
        <v/>
      </c>
      <c r="AB348" s="7" t="inlineStr">
        <is>
          <t>^Warhead_CannonHE_Heavy</t>
        </is>
      </c>
    </row>
    <row r="349">
      <c r="B349" s="7" t="inlineStr">
        <is>
          <t xml:space="preserve">  ↳ FutureMechPlasma_elite</t>
        </is>
      </c>
      <c r="C349" s="7" t="inlineStr">
        <is>
          <t>Armament@ELITE</t>
        </is>
      </c>
      <c r="L349" s="6" t="n">
        <v>30000</v>
      </c>
      <c r="M349" s="6" t="n">
        <v>50</v>
      </c>
      <c r="N349" s="6" t="n">
        <v>4</v>
      </c>
      <c r="O349" s="6" t="n">
        <v>5</v>
      </c>
      <c r="P349" s="6" t="n">
        <v>8000</v>
      </c>
      <c r="Q349" s="6" t="n">
        <v>1.25</v>
      </c>
      <c r="R349">
        <f>M349+IF(MAX(N349-1,0)&gt;0,IF(ISBLANK(O349),5*MAX(N349-1,0),IF(ISNUMBER(O349),O349*MAX(N349-1,0),SUM(IFERROR(VALUE(TEXTSPLIT(O349,",")),0)))),0)</f>
        <v/>
      </c>
      <c r="S349">
        <f>IFERROR(L349*MAX(N349,1)/R349*IF(ISBLANK(K347),1,K347),0)</f>
        <v/>
      </c>
      <c r="AB349" s="7" t="inlineStr">
        <is>
          <t>^Warhead_CannonHE_Heavy</t>
        </is>
      </c>
    </row>
    <row r="350">
      <c r="A350" t="inlineStr">
        <is>
          <t>redalert2mod</t>
        </is>
      </c>
      <c r="B350" t="inlineStr">
        <is>
          <t>futuretech_shotgundroid</t>
        </is>
      </c>
      <c r="C350" t="inlineStr">
        <is>
          <t>Shotgun Droid</t>
        </is>
      </c>
      <c r="D350" s="6" t="inlineStr">
        <is>
          <t>LineBreaker</t>
        </is>
      </c>
      <c r="E350" s="6" t="n">
        <v>55000</v>
      </c>
      <c r="F350" s="6" t="n">
        <v>55</v>
      </c>
      <c r="G350" t="inlineStr">
        <is>
          <t>Plate</t>
        </is>
      </c>
      <c r="H350" s="6" t="n">
        <v>0.6322</v>
      </c>
      <c r="I350" s="6" t="n">
        <v>1</v>
      </c>
      <c r="J350" s="6" t="n">
        <v>1</v>
      </c>
      <c r="P350">
        <f>MAX(P351,P352)</f>
        <v/>
      </c>
      <c r="S350">
        <f>S351+S352</f>
        <v/>
      </c>
      <c r="T350">
        <f>(E350/100000+F350/100+(P350/1000)*J350/5+S350/200)*200*I350*H350</f>
        <v/>
      </c>
      <c r="U350">
        <f>((E350*F350/25000)+((P350/1000)*J350*S350/2.5))*I350*H350</f>
        <v/>
      </c>
      <c r="V350">
        <f>(E350*F350*(P350/1000)*J350*S350*I350*H350)/12500000</f>
        <v/>
      </c>
      <c r="W350">
        <f>IFERROR((((E350/50000)+(F350/75)+(S350/250)+((P350/3500)*J350))*200/4+(((E350/50000)*(F350/75))+(((P350/3500)*J350)*(S350/250)))*200/2+((E350/50000)*(F350/75)*((P350/3500)*J350)*(S350/250))*200)*(H350/1.0)/3,"")</f>
        <v/>
      </c>
      <c r="X350" s="6" t="n">
        <v>400</v>
      </c>
      <c r="Y350">
        <f>IFERROR(W350-X350,"")</f>
        <v/>
      </c>
      <c r="Z350">
        <f>IFERROR(ABS(Y350)/MAX(X350,1),"")</f>
        <v/>
      </c>
      <c r="AA350">
        <f>IFERROR(ROUND(((3*X350-(((E350/50000)+(F350/75)+(S350/250))*200/4+((E350/50000)*(F350/75))*200/2)*(H350/1.0))/(200/4+((S350/250))*200/2+((E350/50000)*(F350/75)*(S350/250))*200)*(H350/1.0)*3500)/J350,-1),"")</f>
        <v/>
      </c>
    </row>
    <row r="351">
      <c r="B351" s="7" t="inlineStr">
        <is>
          <t xml:space="preserve">  ↳ ShotgunAttackRobotGun</t>
        </is>
      </c>
      <c r="C351" s="7" t="inlineStr">
        <is>
          <t>Armament@PRIMARY</t>
        </is>
      </c>
      <c r="L351" s="6" t="n">
        <v>12000</v>
      </c>
      <c r="M351" s="6" t="n">
        <v>55</v>
      </c>
      <c r="N351" s="6" t="n">
        <v>1</v>
      </c>
      <c r="O351" s="6" t="n"/>
      <c r="P351" s="6" t="n">
        <v>4110</v>
      </c>
      <c r="Q351" s="6" t="n">
        <v>1</v>
      </c>
      <c r="R351">
        <f>M351+IF(MAX(N351-1,0)&gt;0,IF(ISBLANK(O351),5*MAX(N351-1,0),IF(ISNUMBER(O351),O351*MAX(N351-1,0),SUM(IFERROR(VALUE(TEXTSPLIT(O351,",")),0)))),0)</f>
        <v/>
      </c>
      <c r="S351">
        <f>IFERROR(L351*MAX(N351,1)/R351*IF(ISBLANK(K350),1,K350),0)</f>
        <v/>
      </c>
      <c r="AB351" s="7" t="inlineStr">
        <is>
          <t>^Warhead_CannonHE_Medium, ^Warhead_Bullet_Medium</t>
        </is>
      </c>
    </row>
    <row r="352">
      <c r="B352" s="7" t="inlineStr">
        <is>
          <t xml:space="preserve">  ↳ ShotgunAttackRobotGun_elite</t>
        </is>
      </c>
      <c r="C352" s="7" t="inlineStr">
        <is>
          <t>Armament@ELITE</t>
        </is>
      </c>
      <c r="L352" s="6" t="n">
        <v>12000</v>
      </c>
      <c r="M352" s="6" t="n">
        <v>25</v>
      </c>
      <c r="N352" s="6" t="n">
        <v>2</v>
      </c>
      <c r="O352" s="6" t="n">
        <v>3</v>
      </c>
      <c r="P352" s="6" t="n">
        <v>5110</v>
      </c>
      <c r="Q352" s="6" t="n">
        <v>1</v>
      </c>
      <c r="R352">
        <f>M352+IF(MAX(N352-1,0)&gt;0,IF(ISBLANK(O352),5*MAX(N352-1,0),IF(ISNUMBER(O352),O352*MAX(N352-1,0),SUM(IFERROR(VALUE(TEXTSPLIT(O352,",")),0)))),0)</f>
        <v/>
      </c>
      <c r="S352">
        <f>IFERROR(L352*MAX(N352,1)/R352*IF(ISBLANK(K350),1,K350),0)</f>
        <v/>
      </c>
      <c r="AB352" s="7" t="inlineStr">
        <is>
          <t>^Warhead_CannonHE_Medium, ^Warhead_Bullet_Medium</t>
        </is>
      </c>
    </row>
    <row r="353">
      <c r="B353" s="7" t="inlineStr">
        <is>
          <t xml:space="preserve">  ↳ ShotgunAttackRobotGun</t>
        </is>
      </c>
      <c r="C353" s="7" t="inlineStr">
        <is>
          <t>Armament@GARRISONED</t>
        </is>
      </c>
      <c r="L353" s="6" t="n">
        <v>12000</v>
      </c>
      <c r="M353" s="6" t="n">
        <v>55</v>
      </c>
      <c r="N353" s="6" t="n">
        <v>1</v>
      </c>
      <c r="O353" s="6" t="n"/>
      <c r="P353" s="6" t="n">
        <v>4110</v>
      </c>
      <c r="Q353" s="6" t="n">
        <v>1</v>
      </c>
      <c r="R353">
        <f>M353+IF(MAX(N353-1,0)&gt;0,IF(ISBLANK(O353),5*MAX(N353-1,0),IF(ISNUMBER(O353),O353*MAX(N353-1,0),SUM(IFERROR(VALUE(TEXTSPLIT(O353,",")),0)))),0)</f>
        <v/>
      </c>
      <c r="S353">
        <f>IFERROR(L353*MAX(N353,1)/R353*IF(ISBLANK(K350),1,K350),0)</f>
        <v/>
      </c>
      <c r="AB353" s="7" t="inlineStr">
        <is>
          <t>^Warhead_CannonHE_Medium, ^Warhead_Bullet_Medium</t>
        </is>
      </c>
    </row>
    <row r="354">
      <c r="B354" s="7" t="inlineStr">
        <is>
          <t xml:space="preserve">  ↳ ShotgunAttackRobotGun_elite</t>
        </is>
      </c>
      <c r="C354" s="7" t="inlineStr">
        <is>
          <t>Armament@GARRISONEDELITE</t>
        </is>
      </c>
      <c r="L354" s="6" t="n">
        <v>12000</v>
      </c>
      <c r="M354" s="6" t="n">
        <v>25</v>
      </c>
      <c r="N354" s="6" t="n">
        <v>2</v>
      </c>
      <c r="O354" s="6" t="n">
        <v>3</v>
      </c>
      <c r="P354" s="6" t="n">
        <v>5110</v>
      </c>
      <c r="Q354" s="6" t="n">
        <v>1</v>
      </c>
      <c r="R354">
        <f>M354+IF(MAX(N354-1,0)&gt;0,IF(ISBLANK(O354),5*MAX(N354-1,0),IF(ISNUMBER(O354),O354*MAX(N354-1,0),SUM(IFERROR(VALUE(TEXTSPLIT(O354,",")),0)))),0)</f>
        <v/>
      </c>
      <c r="S354">
        <f>IFERROR(L354*MAX(N354,1)/R354*IF(ISBLANK(K350),1,K350),0)</f>
        <v/>
      </c>
      <c r="AB354" s="7" t="inlineStr">
        <is>
          <t>^Warhead_CannonHE_Medium, ^Warhead_Bullet_Medium</t>
        </is>
      </c>
    </row>
    <row r="355">
      <c r="A355" t="inlineStr">
        <is>
          <t>redalert2mod</t>
        </is>
      </c>
      <c r="B355" t="inlineStr">
        <is>
          <t>tkm_battlebus</t>
        </is>
      </c>
      <c r="C355" t="inlineStr">
        <is>
          <t>Battle Bus</t>
        </is>
      </c>
      <c r="D355" s="6" t="inlineStr">
        <is>
          <t>LineBreaker</t>
        </is>
      </c>
      <c r="E355" s="6" t="n">
        <v>50000</v>
      </c>
      <c r="F355" s="6" t="n">
        <v>100</v>
      </c>
      <c r="G355" t="inlineStr">
        <is>
          <t>Superheavy</t>
        </is>
      </c>
      <c r="H355" s="6" t="n">
        <v>0.4955</v>
      </c>
      <c r="I355" s="6" t="n">
        <v>1</v>
      </c>
      <c r="J355" s="6" t="n">
        <v>1</v>
      </c>
      <c r="P355">
        <f>MAX(P356)</f>
        <v/>
      </c>
      <c r="S355">
        <f>S356</f>
        <v/>
      </c>
      <c r="T355">
        <f>(E355/100000+F355/100+(P355/1000)*J355/5+S355/200)*200*I355*H355</f>
        <v/>
      </c>
      <c r="U355">
        <f>((E355*F355/25000)+((P355/1000)*J355*S355/2.5))*I355*H355</f>
        <v/>
      </c>
      <c r="V355">
        <f>(E355*F355*(P355/1000)*J355*S355*I355*H355)/12500000</f>
        <v/>
      </c>
      <c r="W355">
        <f>IFERROR((((E355/750000)+(F355/80)+(S355/1600)+((P355/2500)*J355))*1600/4+(((E355/750000)*(F355/80))+(((P355/2500)*J355)*(S355/1600)))*1600/2+((E355/750000)*(F355/80)*((P355/2500)*J355)*(S355/1600))*1600)*(H355/1.0)/3,"")</f>
        <v/>
      </c>
      <c r="X355" s="6" t="n">
        <v>1250</v>
      </c>
      <c r="Y355">
        <f>IFERROR(W355-X355,"")</f>
        <v/>
      </c>
      <c r="Z355">
        <f>IFERROR(ABS(Y355)/MAX(X355,1),"")</f>
        <v/>
      </c>
      <c r="AA355">
        <f>IFERROR(ROUND(((3*X355-(((E355/750000)+(F355/80)+(S355/1600))*1600/4+((E355/750000)*(F355/80))*1600/2)*(H355/1.0))/(1600/4+((S355/1600))*1600/2+((E355/750000)*(F355/80)*(S355/1600))*1600)*(H355/1.0)*2500)/J355,-1),"")</f>
        <v/>
      </c>
    </row>
    <row r="356">
      <c r="B356" s="7" t="inlineStr">
        <is>
          <t xml:space="preserve">  ↳ TKMMedicHeal</t>
        </is>
      </c>
      <c r="C356" s="7" t="inlineStr">
        <is>
          <t>Armament</t>
        </is>
      </c>
      <c r="L356" s="6" t="n">
        <v>-3000</v>
      </c>
      <c r="M356" s="6" t="n">
        <v>5</v>
      </c>
      <c r="N356" s="6" t="n">
        <v>1</v>
      </c>
      <c r="O356" s="6" t="n"/>
      <c r="P356" s="6" t="n">
        <v>4831</v>
      </c>
      <c r="Q356" s="6" t="n">
        <v>1</v>
      </c>
      <c r="R356">
        <f>M356+IF(MAX(N356-1,0)&gt;0,IF(ISBLANK(O356),5*MAX(N356-1,0),IF(ISNUMBER(O356),O356*MAX(N356-1,0),SUM(IFERROR(VALUE(TEXTSPLIT(O356,",")),0)))),0)</f>
        <v/>
      </c>
      <c r="S356">
        <f>IFERROR(L356*MAX(N356,1)/R356*IF(ISBLANK(K355),1,K355),0)</f>
        <v/>
      </c>
      <c r="AB356" s="7" t="inlineStr">
        <is>
          <t>^HealingWeapon</t>
        </is>
      </c>
    </row>
    <row r="357">
      <c r="A357" t="inlineStr">
        <is>
          <t>d2k</t>
        </is>
      </c>
      <c r="B357" t="inlineStr">
        <is>
          <t>ordos_heavyautoguntank</t>
        </is>
      </c>
      <c r="C357" t="inlineStr">
        <is>
          <t>Heavy Autogun Tank</t>
        </is>
      </c>
      <c r="D357" s="6" t="inlineStr">
        <is>
          <t>LineBreaker</t>
        </is>
      </c>
      <c r="E357" s="6" t="n">
        <v>160000</v>
      </c>
      <c r="F357" s="6" t="n">
        <v>75</v>
      </c>
      <c r="G357" t="inlineStr">
        <is>
          <t>Superheavy</t>
        </is>
      </c>
      <c r="H357" s="6" t="n">
        <v>0.75</v>
      </c>
      <c r="I357" s="6" t="n">
        <v>1</v>
      </c>
      <c r="J357" s="6" t="n">
        <v>1.25</v>
      </c>
      <c r="K357" t="n">
        <v>0.004</v>
      </c>
      <c r="P357">
        <f>MAX(P358)</f>
        <v/>
      </c>
      <c r="S357">
        <f>S358</f>
        <v/>
      </c>
      <c r="T357">
        <f>(E357/100000+F357/100+(P357/1000)*J357/5+S357/200)*200*I357*H357</f>
        <v/>
      </c>
      <c r="U357">
        <f>((E357*F357/25000)+((P357/1000)*J357*S357/2.5))*I357*H357</f>
        <v/>
      </c>
      <c r="V357">
        <f>(E357*F357*(P357/1000)*J357*S357*I357*H357)/12500000</f>
        <v/>
      </c>
      <c r="W357">
        <f>IFERROR((((E357/750000)+(F357/80)+(S357/1600)+((P357/2500)*J357))*1600/4+(((E357/750000)*(F357/80))+(((P357/2500)*J357)*(S357/1600)))*1600/2+((E357/750000)*(F357/80)*((P357/2500)*J357)*(S357/1600))*1600)*(H357/1.0)/3,"")</f>
        <v/>
      </c>
      <c r="X357" s="6" t="n">
        <v>2800</v>
      </c>
      <c r="Y357">
        <f>IFERROR(W357-X357,"")</f>
        <v/>
      </c>
      <c r="Z357">
        <f>IFERROR(ABS(Y357)/MAX(X357,1),"")</f>
        <v/>
      </c>
      <c r="AA357">
        <f>IFERROR(ROUND(((3*X357-(((E357/750000)+(F357/80)+(S357/1600))*1600/4+((E357/750000)*(F357/80))*1600/2)*(H357/1.0))/(1600/4+((S357/1600))*1600/2+((E357/750000)*(F357/80)*(S357/1600))*1600)*(H357/1.0)*2500)/J357,-1),"")</f>
        <v/>
      </c>
    </row>
    <row r="358">
      <c r="B358" s="7" t="inlineStr">
        <is>
          <t xml:space="preserve">  ↳ autogun_tank</t>
        </is>
      </c>
      <c r="C358" s="7" t="inlineStr">
        <is>
          <t>Armament</t>
        </is>
      </c>
      <c r="L358" s="6" t="n">
        <v>12000</v>
      </c>
      <c r="M358" s="6" t="n">
        <v>24</v>
      </c>
      <c r="N358" s="6" t="n">
        <v>4</v>
      </c>
      <c r="O358" s="6" t="n">
        <v>2</v>
      </c>
      <c r="P358" s="6" t="n">
        <v>7480</v>
      </c>
      <c r="Q358" s="6" t="n">
        <v>1.25</v>
      </c>
      <c r="R358">
        <f>M358+IF(MAX(N358-1,0)&gt;0,IF(ISBLANK(O358),5*MAX(N358-1,0),IF(ISNUMBER(O358),O358*MAX(N358-1,0),SUM(IFERROR(VALUE(TEXTSPLIT(O358,",")),0)))),0)</f>
        <v/>
      </c>
      <c r="S358">
        <f>IFERROR(L358*MAX(N358,1)/R358*IF(ISBLANK(K357),1,K357),0)</f>
        <v/>
      </c>
      <c r="AB358" s="7" t="inlineStr">
        <is>
          <t>^Warhead_CannonHE_Heavy, ^Warhead_MissileAP_Heavy</t>
        </is>
      </c>
    </row>
    <row r="359">
      <c r="A359" t="inlineStr">
        <is>
          <t>starcraft</t>
        </is>
      </c>
      <c r="B359" t="inlineStr">
        <is>
          <t>protoss_archon</t>
        </is>
      </c>
      <c r="C359" t="inlineStr">
        <is>
          <t>Archon</t>
        </is>
      </c>
      <c r="D359" s="6" t="inlineStr">
        <is>
          <t>LineBreaker</t>
        </is>
      </c>
      <c r="E359" s="6" t="n">
        <v>350000</v>
      </c>
      <c r="F359" s="6" t="n">
        <v>75</v>
      </c>
      <c r="G359" t="inlineStr">
        <is>
          <t>Superheavy</t>
        </is>
      </c>
      <c r="H359" s="6" t="n">
        <v>0.75</v>
      </c>
      <c r="I359" s="6" t="n">
        <v>1</v>
      </c>
      <c r="J359" s="6" t="n">
        <v>1.25</v>
      </c>
      <c r="P359">
        <f>MAX(P360)</f>
        <v/>
      </c>
      <c r="S359">
        <f>S360</f>
        <v/>
      </c>
      <c r="T359">
        <f>(E359/100000+F359/100+(P359/1000)*J359/5+S359/200)*200*I359*H359</f>
        <v/>
      </c>
      <c r="U359">
        <f>((E359*F359/25000)+((P359/1000)*J359*S359/2.5))*I359*H359</f>
        <v/>
      </c>
      <c r="V359">
        <f>(E359*F359*(P359/1000)*J359*S359*I359*H359)/12500000</f>
        <v/>
      </c>
      <c r="W359">
        <f>IFERROR((((E359/750000)+(F359/80)+(S359/1600)+((P359/2500)*J359))*1600/4+(((E359/750000)*(F359/80))+(((P359/2500)*J359)*(S359/1600)))*1600/2+((E359/750000)*(F359/80)*((P359/2500)*J359)*(S359/1600))*1600)*(H359/1.0)/3,"")</f>
        <v/>
      </c>
      <c r="X359" s="6" t="n">
        <v>5600</v>
      </c>
      <c r="Y359">
        <f>IFERROR(W359-X359,"")</f>
        <v/>
      </c>
      <c r="Z359">
        <f>IFERROR(ABS(Y359)/MAX(X359,1),"")</f>
        <v/>
      </c>
      <c r="AA359">
        <f>IFERROR(ROUND(((3*X359-(((E359/750000)+(F359/80)+(S359/1600))*1600/4+((E359/750000)*(F359/80))*1600/2)*(H359/1.0))/(1600/4+((S359/1600))*1600/2+((E359/750000)*(F359/80)*(S359/1600))*1600)*(H359/1.0)*2500)/J359,-1),"")</f>
        <v/>
      </c>
    </row>
    <row r="360">
      <c r="B360" s="7" t="inlineStr">
        <is>
          <t xml:space="preserve">  ↳ PsionicShockwave</t>
        </is>
      </c>
      <c r="C360" s="7" t="inlineStr">
        <is>
          <t>Armament</t>
        </is>
      </c>
      <c r="L360" s="6" t="n">
        <v>30000</v>
      </c>
      <c r="M360" s="6" t="n">
        <v>20</v>
      </c>
      <c r="N360" s="6" t="n">
        <v>1</v>
      </c>
      <c r="O360" s="6" t="n"/>
      <c r="P360" s="6" t="n">
        <v>3152</v>
      </c>
      <c r="Q360" s="6" t="n">
        <v>1</v>
      </c>
      <c r="R360">
        <f>M360+IF(MAX(N360-1,0)&gt;0,IF(ISBLANK(O360),5*MAX(N360-1,0),IF(ISNUMBER(O360),O360*MAX(N360-1,0),SUM(IFERROR(VALUE(TEXTSPLIT(O360,",")),0)))),0)</f>
        <v/>
      </c>
      <c r="S360">
        <f>IFERROR(L360*MAX(N360,1)/R360*IF(ISBLANK(K359),1,K359),0)</f>
        <v/>
      </c>
      <c r="AB360" s="7" t="inlineStr">
        <is>
          <t>^Warhead_Tesla_Super</t>
        </is>
      </c>
    </row>
    <row r="361">
      <c r="A361" t="inlineStr">
        <is>
          <t>starcraft</t>
        </is>
      </c>
      <c r="B361" t="inlineStr">
        <is>
          <t>zerg_ultralisk</t>
        </is>
      </c>
      <c r="C361" t="inlineStr">
        <is>
          <t>Ultralisk</t>
        </is>
      </c>
      <c r="D361" s="6" t="inlineStr">
        <is>
          <t>LineBreaker</t>
        </is>
      </c>
      <c r="E361" s="6" t="n">
        <v>400000</v>
      </c>
      <c r="F361" s="6" t="n">
        <v>80</v>
      </c>
      <c r="G361" t="inlineStr">
        <is>
          <t>Heavy</t>
        </is>
      </c>
      <c r="H361" s="6" t="n">
        <v>0.75</v>
      </c>
      <c r="I361" s="6" t="n">
        <v>1</v>
      </c>
      <c r="J361" s="6" t="n">
        <v>1</v>
      </c>
      <c r="P361">
        <f>MAX(P362)</f>
        <v/>
      </c>
      <c r="S361">
        <f>S362</f>
        <v/>
      </c>
      <c r="T361">
        <f>(E361/100000+F361/100+(P361/1000)*J361/5+S361/200)*200*I361*H361</f>
        <v/>
      </c>
      <c r="U361">
        <f>((E361*F361/25000)+((P361/1000)*J361*S361/2.5))*I361*H361</f>
        <v/>
      </c>
      <c r="V361">
        <f>(E361*F361*(P361/1000)*J361*S361*I361*H361)/12500000</f>
        <v/>
      </c>
      <c r="W361">
        <f>IFERROR((((E361/240000)+(F361/95)+(S361/600)+((P361/5500)*J361))*800/4+(((E361/240000)*(F361/95))+(((P361/5500)*J361)*(S361/600)))*800/2+((E361/240000)*(F361/95)*((P361/5500)*J361)*(S361/600))*800)*(H361/1.0)/3,"")</f>
        <v/>
      </c>
      <c r="X361" s="6" t="n">
        <v>4400</v>
      </c>
      <c r="Y361">
        <f>IFERROR(W361-X361,"")</f>
        <v/>
      </c>
      <c r="Z361">
        <f>IFERROR(ABS(Y361)/MAX(X361,1),"")</f>
        <v/>
      </c>
      <c r="AA361">
        <f>IFERROR(ROUND(((3*X361-(((E361/240000)+(F361/95)+(S361/600))*800/4+((E361/240000)*(F361/95))*800/2)*(H361/1.0))/(800/4+((S361/600))*800/2+((E361/240000)*(F361/95)*(S361/600))*800)*(H361/1.0)*5500)/J361,-1),"")</f>
        <v/>
      </c>
    </row>
    <row r="362">
      <c r="B362" s="7" t="inlineStr">
        <is>
          <t xml:space="preserve">  ↳ UltraliskHusk</t>
        </is>
      </c>
      <c r="C362" s="7" t="inlineStr">
        <is>
          <t>Armament</t>
        </is>
      </c>
      <c r="L362" s="6" t="n">
        <v>40000</v>
      </c>
      <c r="M362" s="6" t="n">
        <v>15</v>
      </c>
      <c r="N362" s="6" t="n">
        <v>1</v>
      </c>
      <c r="O362" s="6" t="n"/>
      <c r="P362" s="6" t="n">
        <v>1600</v>
      </c>
      <c r="Q362" s="6" t="n">
        <v>1</v>
      </c>
      <c r="R362">
        <f>M362+IF(MAX(N362-1,0)&gt;0,IF(ISBLANK(O362),5*MAX(N362-1,0),IF(ISNUMBER(O362),O362*MAX(N362-1,0),SUM(IFERROR(VALUE(TEXTSPLIT(O362,",")),0)))),0)</f>
        <v/>
      </c>
      <c r="S362">
        <f>IFERROR(L362*MAX(N362,1)/R362*IF(ISBLANK(K361),1,K361),0)</f>
        <v/>
      </c>
      <c r="AB362" s="7" t="inlineStr">
        <is>
          <t>^Warhead_Melee_Medium</t>
        </is>
      </c>
    </row>
    <row r="363">
      <c r="A363" t="inlineStr">
        <is>
          <t>warcraft2</t>
        </is>
      </c>
      <c r="B363" t="inlineStr">
        <is>
          <t>wc2_orcs_goblinsappers</t>
        </is>
      </c>
      <c r="C363" t="inlineStr">
        <is>
          <t>Goblin Sappers</t>
        </is>
      </c>
      <c r="D363" s="6" t="inlineStr">
        <is>
          <t>LineBreaker</t>
        </is>
      </c>
      <c r="E363" s="6" t="n">
        <v>40000</v>
      </c>
      <c r="F363" s="6" t="n">
        <v>80</v>
      </c>
      <c r="G363" t="inlineStr">
        <is>
          <t>Superheavy</t>
        </is>
      </c>
      <c r="H363" s="6" t="n">
        <v>1</v>
      </c>
      <c r="I363" s="6" t="n">
        <v>1</v>
      </c>
      <c r="J363" s="6" t="n">
        <v>1</v>
      </c>
      <c r="P363">
        <f>MAX(P365)</f>
        <v/>
      </c>
      <c r="S363">
        <f>S365</f>
        <v/>
      </c>
      <c r="T363">
        <f>(E363/100000+F363/100+(P363/1000)*J363/5+S363/200)*200*I363*H363</f>
        <v/>
      </c>
      <c r="U363">
        <f>((E363*F363/25000)+((P363/1000)*J363*S363/2.5))*I363*H363</f>
        <v/>
      </c>
      <c r="V363">
        <f>(E363*F363*(P363/1000)*J363*S363*I363*H363)/12500000</f>
        <v/>
      </c>
      <c r="W363">
        <f>IFERROR((((E363/750000)+(F363/80)+(S363/1600)+((P363/2500)*J363))*1600/4+(((E363/750000)*(F363/80))+(((P363/2500)*J363)*(S363/1600)))*1600/2+((E363/750000)*(F363/80)*((P363/2500)*J363)*(S363/1600))*1600)*(H363/1.0)/3,"")</f>
        <v/>
      </c>
      <c r="X363" s="6" t="n">
        <v>800</v>
      </c>
      <c r="Y363">
        <f>IFERROR(W363-X363,"")</f>
        <v/>
      </c>
      <c r="Z363">
        <f>IFERROR(ABS(Y363)/MAX(X363,1),"")</f>
        <v/>
      </c>
      <c r="AA363">
        <f>IFERROR(ROUND(((3*X363-(((E363/750000)+(F363/80)+(S363/1600))*1600/4+((E363/750000)*(F363/80))*1600/2)*(H363/1.0))/(1600/4+((S363/1600))*1600/2+((E363/750000)*(F363/80)*(S363/1600))*1600)*(H363/1.0)*2500)/J363,-1),"")</f>
        <v/>
      </c>
    </row>
    <row r="364">
      <c r="B364" s="7" t="inlineStr">
        <is>
          <t xml:space="preserve">  ↳ wc2demolitionsquadTargeting</t>
        </is>
      </c>
      <c r="C364" s="7" t="inlineStr">
        <is>
          <t>Armament</t>
        </is>
      </c>
      <c r="M364" s="6" t="n">
        <v>1</v>
      </c>
      <c r="N364" s="6" t="n">
        <v>1</v>
      </c>
      <c r="O364" s="6" t="n"/>
      <c r="P364" s="6" t="n">
        <v>1536</v>
      </c>
      <c r="Q364" s="6" t="n">
        <v>1</v>
      </c>
      <c r="R364">
        <f>M364+IF(MAX(N364-1,0)&gt;0,IF(ISBLANK(O364),5*MAX(N364-1,0),IF(ISNUMBER(O364),O364*MAX(N364-1,0),SUM(IFERROR(VALUE(TEXTSPLIT(O364,",")),0)))),0)</f>
        <v/>
      </c>
      <c r="S364">
        <f>IFERROR(L364*MAX(N364,1)/R364*IF(ISBLANK(K363),1,K363),0)</f>
        <v/>
      </c>
      <c r="AB364" s="7" t="inlineStr"/>
    </row>
    <row r="365">
      <c r="B365" s="7" t="inlineStr">
        <is>
          <t xml:space="preserve">  ↳ wc2demolitionsquadMelee</t>
        </is>
      </c>
      <c r="C365" s="7" t="inlineStr">
        <is>
          <t>Armament@Melee</t>
        </is>
      </c>
      <c r="L365" s="6" t="n">
        <v>12000</v>
      </c>
      <c r="M365" s="6" t="n">
        <v>15</v>
      </c>
      <c r="N365" s="6" t="n">
        <v>1</v>
      </c>
      <c r="O365" s="6" t="n"/>
      <c r="P365" s="6" t="n">
        <v>1333</v>
      </c>
      <c r="Q365" s="6" t="n">
        <v>1</v>
      </c>
      <c r="R365">
        <f>M365+IF(MAX(N365-1,0)&gt;0,IF(ISBLANK(O365),5*MAX(N365-1,0),IF(ISNUMBER(O365),O365*MAX(N365-1,0),SUM(IFERROR(VALUE(TEXTSPLIT(O365,",")),0)))),0)</f>
        <v/>
      </c>
      <c r="S365">
        <f>IFERROR(L365*MAX(N365,1)/R365*IF(ISBLANK(K363),1,K363),0)</f>
        <v/>
      </c>
      <c r="AB365" s="7" t="inlineStr">
        <is>
          <t>^Warhead_Melee_Medium</t>
        </is>
      </c>
    </row>
    <row r="366">
      <c r="A366" t="inlineStr">
        <is>
          <t>warcraft2</t>
        </is>
      </c>
      <c r="B366" t="inlineStr">
        <is>
          <t>wc2_orcs_ogre</t>
        </is>
      </c>
      <c r="C366" t="inlineStr">
        <is>
          <t>Ogre</t>
        </is>
      </c>
      <c r="D366" s="6" t="inlineStr">
        <is>
          <t>LineBreaker</t>
        </is>
      </c>
      <c r="E366" s="6" t="n">
        <v>200000</v>
      </c>
      <c r="F366" s="6" t="n">
        <v>85</v>
      </c>
      <c r="G366" t="inlineStr">
        <is>
          <t>Superheavy</t>
        </is>
      </c>
      <c r="H366" s="6" t="n">
        <v>0.75</v>
      </c>
      <c r="I366" s="6" t="n">
        <v>1</v>
      </c>
      <c r="J366" s="6" t="n">
        <v>1</v>
      </c>
      <c r="P366">
        <f>MAX(P367,P368,P369,P370)</f>
        <v/>
      </c>
      <c r="S366">
        <f>S367+S368+S369+S370</f>
        <v/>
      </c>
      <c r="T366">
        <f>(E366/100000+F366/100+(P366/1000)*J366/5+S366/200)*200*I366*H366</f>
        <v/>
      </c>
      <c r="U366">
        <f>((E366*F366/25000)+((P366/1000)*J366*S366/2.5))*I366*H366</f>
        <v/>
      </c>
      <c r="V366">
        <f>(E366*F366*(P366/1000)*J366*S366*I366*H366)/12500000</f>
        <v/>
      </c>
      <c r="W366">
        <f>IFERROR((((E366/240000)+(F366/95)+(S366/600)+((P366/5500)*J366))*800/4+(((E366/240000)*(F366/95))+(((P366/5500)*J366)*(S366/600)))*800/2+((E366/240000)*(F366/95)*((P366/5500)*J366)*(S366/600))*800)*(H366/1.0)/3,"")</f>
        <v/>
      </c>
      <c r="X366" s="6" t="n">
        <v>1800</v>
      </c>
      <c r="Y366">
        <f>IFERROR(W366-X366,"")</f>
        <v/>
      </c>
      <c r="Z366">
        <f>IFERROR(ABS(Y366)/MAX(X366,1),"")</f>
        <v/>
      </c>
      <c r="AA366">
        <f>IFERROR(ROUND(((3*X366-(((E366/240000)+(F366/95)+(S366/600))*800/4+((E366/240000)*(F366/95))*800/2)*(H366/1.0))/(800/4+((S366/600))*800/2+((E366/240000)*(F366/95)*(S366/600))*800)*(H366/1.0)*5500)/J366,-1),"")</f>
        <v/>
      </c>
    </row>
    <row r="367">
      <c r="B367" s="7" t="inlineStr">
        <is>
          <t xml:space="preserve">  ↳ wc2ogrepunch</t>
        </is>
      </c>
      <c r="C367" s="7" t="inlineStr">
        <is>
          <t>Armament</t>
        </is>
      </c>
      <c r="L367" s="6" t="n">
        <v>30000</v>
      </c>
      <c r="M367" s="6" t="n">
        <v>20</v>
      </c>
      <c r="N367" s="6" t="n">
        <v>1</v>
      </c>
      <c r="O367" s="6" t="n"/>
      <c r="P367" s="6" t="n">
        <v>1660</v>
      </c>
      <c r="Q367" s="6" t="n">
        <v>1</v>
      </c>
      <c r="R367">
        <f>M367+IF(MAX(N367-1,0)&gt;0,IF(ISBLANK(O367),5*MAX(N367-1,0),IF(ISNUMBER(O367),O367*MAX(N367-1,0),SUM(IFERROR(VALUE(TEXTSPLIT(O367,",")),0)))),0)</f>
        <v/>
      </c>
      <c r="S367">
        <f>IFERROR(L367*MAX(N367,1)/R367*IF(ISBLANK(K366),1,K366),0)</f>
        <v/>
      </c>
      <c r="AB367" s="7" t="inlineStr">
        <is>
          <t>^Warhead_Melee_Medium</t>
        </is>
      </c>
    </row>
    <row r="368">
      <c r="B368" s="7" t="inlineStr">
        <is>
          <t xml:space="preserve">  ↳ wc2ogremageEyeOfKilrogg</t>
        </is>
      </c>
      <c r="C368" s="7" t="inlineStr">
        <is>
          <t>Armament@EYEOFKILROGG</t>
        </is>
      </c>
      <c r="L368" t="n">
        <v>0</v>
      </c>
      <c r="M368" s="6" t="n">
        <v>60</v>
      </c>
      <c r="N368" s="6" t="n">
        <v>1</v>
      </c>
      <c r="O368" s="6" t="n"/>
      <c r="P368" s="6" t="n">
        <v>5120</v>
      </c>
      <c r="Q368" s="6" t="n">
        <v>1</v>
      </c>
      <c r="R368">
        <f>M368+IF(MAX(N368-1,0)&gt;0,IF(ISBLANK(O368),5*MAX(N368-1,0),IF(ISNUMBER(O368),O368*MAX(N368-1,0),SUM(IFERROR(VALUE(TEXTSPLIT(O368,",")),0)))),0)</f>
        <v/>
      </c>
      <c r="S368">
        <f>IFERROR(L368*MAX(N368,1)/R368*IF(ISBLANK(K366),1,K366),0)</f>
        <v/>
      </c>
      <c r="AB368" s="7" t="inlineStr"/>
    </row>
    <row r="369">
      <c r="B369" s="7" t="inlineStr">
        <is>
          <t xml:space="preserve">  ↳ wc2ogremageBloodlust</t>
        </is>
      </c>
      <c r="C369" s="7" t="inlineStr">
        <is>
          <t>Armament@BLOODLUST</t>
        </is>
      </c>
      <c r="L369" s="6" t="n">
        <v>1</v>
      </c>
      <c r="M369" s="6" t="n">
        <v>60</v>
      </c>
      <c r="N369" s="6" t="n">
        <v>1</v>
      </c>
      <c r="O369" s="6" t="n"/>
      <c r="P369" s="6" t="n">
        <v>5120</v>
      </c>
      <c r="Q369" s="6" t="n">
        <v>1</v>
      </c>
      <c r="R369">
        <f>M369+IF(MAX(N369-1,0)&gt;0,IF(ISBLANK(O369),5*MAX(N369-1,0),IF(ISNUMBER(O369),O369*MAX(N369-1,0),SUM(IFERROR(VALUE(TEXTSPLIT(O369,",")),0)))),0)</f>
        <v/>
      </c>
      <c r="S369">
        <f>IFERROR(L369*MAX(N369,1)/R369*IF(ISBLANK(K366),1,K366),0)</f>
        <v/>
      </c>
      <c r="AB369" s="7" t="inlineStr"/>
    </row>
    <row r="370">
      <c r="B370" s="7" t="inlineStr">
        <is>
          <t xml:space="preserve">  ↳ wc2ogremageRunes</t>
        </is>
      </c>
      <c r="C370" s="7" t="inlineStr">
        <is>
          <t>Armament@RUNES</t>
        </is>
      </c>
      <c r="L370" t="n">
        <v>0</v>
      </c>
      <c r="M370" s="6" t="n">
        <v>60</v>
      </c>
      <c r="N370" s="6" t="n">
        <v>1</v>
      </c>
      <c r="O370" s="6" t="n"/>
      <c r="P370" s="6" t="n">
        <v>5120</v>
      </c>
      <c r="Q370" s="6" t="n">
        <v>1</v>
      </c>
      <c r="R370">
        <f>M370+IF(MAX(N370-1,0)&gt;0,IF(ISBLANK(O370),5*MAX(N370-1,0),IF(ISNUMBER(O370),O370*MAX(N370-1,0),SUM(IFERROR(VALUE(TEXTSPLIT(O370,",")),0)))),0)</f>
        <v/>
      </c>
      <c r="S370">
        <f>IFERROR(L370*MAX(N370,1)/R370*IF(ISBLANK(K366),1,K366),0)</f>
        <v/>
      </c>
      <c r="AB370" s="7" t="inlineStr"/>
    </row>
    <row r="371">
      <c r="A371" t="inlineStr">
        <is>
          <t>warcraft2</t>
        </is>
      </c>
      <c r="B371" t="inlineStr">
        <is>
          <t>wc2_orcs_ogremage</t>
        </is>
      </c>
      <c r="C371" t="inlineStr">
        <is>
          <t>Ogre-Mage</t>
        </is>
      </c>
      <c r="D371" s="6" t="inlineStr">
        <is>
          <t>LineBreaker</t>
        </is>
      </c>
      <c r="E371" s="6" t="n">
        <v>200000</v>
      </c>
      <c r="F371" s="6" t="n">
        <v>85</v>
      </c>
      <c r="G371" t="inlineStr">
        <is>
          <t>Superheavy</t>
        </is>
      </c>
      <c r="H371" s="6" t="n">
        <v>0.9429</v>
      </c>
      <c r="I371" s="6" t="n">
        <v>1</v>
      </c>
      <c r="J371" s="6" t="n">
        <v>1</v>
      </c>
      <c r="P371">
        <f>MAX(P372,P373,P374,P375)</f>
        <v/>
      </c>
      <c r="S371">
        <f>S372+S373+S374+S375</f>
        <v/>
      </c>
      <c r="T371">
        <f>(E371/100000+F371/100+(P371/1000)*J371/5+S371/200)*200*I371*H371</f>
        <v/>
      </c>
      <c r="U371">
        <f>((E371*F371/25000)+((P371/1000)*J371*S371/2.5))*I371*H371</f>
        <v/>
      </c>
      <c r="V371">
        <f>(E371*F371*(P371/1000)*J371*S371*I371*H371)/12500000</f>
        <v/>
      </c>
      <c r="W371">
        <f>IFERROR((((E371/750000)+(F371/80)+(S371/1600)+((P371/2500)*J371))*1600/4+(((E371/750000)*(F371/80))+(((P371/2500)*J371)*(S371/1600)))*1600/2+((E371/750000)*(F371/80)*((P371/2500)*J371)*(S371/1600))*1600)*(H371/1.0)/3,"")</f>
        <v/>
      </c>
      <c r="X371" s="6" t="n">
        <v>1800</v>
      </c>
      <c r="Y371">
        <f>IFERROR(W371-X371,"")</f>
        <v/>
      </c>
      <c r="Z371">
        <f>IFERROR(ABS(Y371)/MAX(X371,1),"")</f>
        <v/>
      </c>
      <c r="AA371">
        <f>IFERROR(ROUND(((3*X371-(((E371/750000)+(F371/80)+(S371/1600))*1600/4+((E371/750000)*(F371/80))*1600/2)*(H371/1.0))/(1600/4+((S371/1600))*1600/2+((E371/750000)*(F371/80)*(S371/1600))*1600)*(H371/1.0)*2500)/J371,-1),"")</f>
        <v/>
      </c>
    </row>
    <row r="372">
      <c r="B372" s="7" t="inlineStr">
        <is>
          <t xml:space="preserve">  ↳ wc2ogrepunch</t>
        </is>
      </c>
      <c r="C372" s="7" t="inlineStr">
        <is>
          <t>Armament</t>
        </is>
      </c>
      <c r="L372" s="6" t="n">
        <v>30000</v>
      </c>
      <c r="M372" s="6" t="n">
        <v>20</v>
      </c>
      <c r="N372" s="6" t="n">
        <v>1</v>
      </c>
      <c r="O372" s="6" t="n"/>
      <c r="P372" s="6" t="n">
        <v>1660</v>
      </c>
      <c r="Q372" s="6" t="n">
        <v>1</v>
      </c>
      <c r="R372">
        <f>M372+IF(MAX(N372-1,0)&gt;0,IF(ISBLANK(O372),5*MAX(N372-1,0),IF(ISNUMBER(O372),O372*MAX(N372-1,0),SUM(IFERROR(VALUE(TEXTSPLIT(O372,",")),0)))),0)</f>
        <v/>
      </c>
      <c r="S372">
        <f>IFERROR(L372*MAX(N372,1)/R372*IF(ISBLANK(K371),1,K371),0)</f>
        <v/>
      </c>
      <c r="AB372" s="7" t="inlineStr">
        <is>
          <t>^Warhead_Melee_Medium</t>
        </is>
      </c>
    </row>
    <row r="373">
      <c r="B373" s="7" t="inlineStr">
        <is>
          <t xml:space="preserve">  ↳ wc2ogremageEyeOfKilrogg</t>
        </is>
      </c>
      <c r="C373" s="7" t="inlineStr">
        <is>
          <t>Armament@EYEOFKILROGG</t>
        </is>
      </c>
      <c r="L373" t="n">
        <v>0</v>
      </c>
      <c r="M373" s="6" t="n">
        <v>60</v>
      </c>
      <c r="N373" s="6" t="n">
        <v>1</v>
      </c>
      <c r="O373" s="6" t="n"/>
      <c r="P373" s="6" t="n">
        <v>5120</v>
      </c>
      <c r="Q373" s="6" t="n">
        <v>1</v>
      </c>
      <c r="R373">
        <f>M373+IF(MAX(N373-1,0)&gt;0,IF(ISBLANK(O373),5*MAX(N373-1,0),IF(ISNUMBER(O373),O373*MAX(N373-1,0),SUM(IFERROR(VALUE(TEXTSPLIT(O373,",")),0)))),0)</f>
        <v/>
      </c>
      <c r="S373">
        <f>IFERROR(L373*MAX(N373,1)/R373*IF(ISBLANK(K371),1,K371),0)</f>
        <v/>
      </c>
      <c r="AB373" s="7" t="inlineStr"/>
    </row>
    <row r="374">
      <c r="B374" s="7" t="inlineStr">
        <is>
          <t xml:space="preserve">  ↳ wc2ogremageBloodlust</t>
        </is>
      </c>
      <c r="C374" s="7" t="inlineStr">
        <is>
          <t>Armament@BLOODLUST</t>
        </is>
      </c>
      <c r="L374" s="6" t="n">
        <v>1</v>
      </c>
      <c r="M374" s="6" t="n">
        <v>60</v>
      </c>
      <c r="N374" s="6" t="n">
        <v>1</v>
      </c>
      <c r="O374" s="6" t="n"/>
      <c r="P374" s="6" t="n">
        <v>5120</v>
      </c>
      <c r="Q374" s="6" t="n">
        <v>1</v>
      </c>
      <c r="R374">
        <f>M374+IF(MAX(N374-1,0)&gt;0,IF(ISBLANK(O374),5*MAX(N374-1,0),IF(ISNUMBER(O374),O374*MAX(N374-1,0),SUM(IFERROR(VALUE(TEXTSPLIT(O374,",")),0)))),0)</f>
        <v/>
      </c>
      <c r="S374">
        <f>IFERROR(L374*MAX(N374,1)/R374*IF(ISBLANK(K371),1,K371),0)</f>
        <v/>
      </c>
      <c r="AB374" s="7" t="inlineStr"/>
    </row>
    <row r="375">
      <c r="B375" s="7" t="inlineStr">
        <is>
          <t xml:space="preserve">  ↳ wc2ogremageRunes</t>
        </is>
      </c>
      <c r="C375" s="7" t="inlineStr">
        <is>
          <t>Armament@RUNES</t>
        </is>
      </c>
      <c r="L375" t="n">
        <v>0</v>
      </c>
      <c r="M375" s="6" t="n">
        <v>60</v>
      </c>
      <c r="N375" s="6" t="n">
        <v>1</v>
      </c>
      <c r="O375" s="6" t="n"/>
      <c r="P375" s="6" t="n">
        <v>5120</v>
      </c>
      <c r="Q375" s="6" t="n">
        <v>1</v>
      </c>
      <c r="R375">
        <f>M375+IF(MAX(N375-1,0)&gt;0,IF(ISBLANK(O375),5*MAX(N375-1,0),IF(ISNUMBER(O375),O375*MAX(N375-1,0),SUM(IFERROR(VALUE(TEXTSPLIT(O375,",")),0)))),0)</f>
        <v/>
      </c>
      <c r="S375">
        <f>IFERROR(L375*MAX(N375,1)/R375*IF(ISBLANK(K371),1,K371),0)</f>
        <v/>
      </c>
      <c r="AB375" s="7" t="inlineStr"/>
    </row>
    <row r="376">
      <c r="A376" t="inlineStr">
        <is>
          <t>warcraft2</t>
        </is>
      </c>
      <c r="B376" t="inlineStr">
        <is>
          <t>wc2_humans_demolitionsquad</t>
        </is>
      </c>
      <c r="C376" t="inlineStr">
        <is>
          <t>Demolition Squad</t>
        </is>
      </c>
      <c r="D376" s="6" t="inlineStr">
        <is>
          <t>LineBreaker</t>
        </is>
      </c>
      <c r="E376" s="6" t="n">
        <v>40000</v>
      </c>
      <c r="F376" s="6" t="n">
        <v>80</v>
      </c>
      <c r="G376" t="inlineStr">
        <is>
          <t>Superheavy</t>
        </is>
      </c>
      <c r="H376" s="6" t="n">
        <v>1</v>
      </c>
      <c r="I376" s="6" t="n">
        <v>1</v>
      </c>
      <c r="J376" s="6" t="n">
        <v>1</v>
      </c>
      <c r="P376">
        <f>MAX(P378)</f>
        <v/>
      </c>
      <c r="S376">
        <f>S378</f>
        <v/>
      </c>
      <c r="T376">
        <f>(E376/100000+F376/100+(P376/1000)*J376/5+S376/200)*200*I376*H376</f>
        <v/>
      </c>
      <c r="U376">
        <f>((E376*F376/25000)+((P376/1000)*J376*S376/2.5))*I376*H376</f>
        <v/>
      </c>
      <c r="V376">
        <f>(E376*F376*(P376/1000)*J376*S376*I376*H376)/12500000</f>
        <v/>
      </c>
      <c r="W376">
        <f>IFERROR((((E376/750000)+(F376/80)+(S376/1600)+((P376/2500)*J376))*1600/4+(((E376/750000)*(F376/80))+(((P376/2500)*J376)*(S376/1600)))*1600/2+((E376/750000)*(F376/80)*((P376/2500)*J376)*(S376/1600))*1600)*(H376/1.0)/3,"")</f>
        <v/>
      </c>
      <c r="X376" s="6" t="n">
        <v>800</v>
      </c>
      <c r="Y376">
        <f>IFERROR(W376-X376,"")</f>
        <v/>
      </c>
      <c r="Z376">
        <f>IFERROR(ABS(Y376)/MAX(X376,1),"")</f>
        <v/>
      </c>
      <c r="AA376">
        <f>IFERROR(ROUND(((3*X376-(((E376/750000)+(F376/80)+(S376/1600))*1600/4+((E376/750000)*(F376/80))*1600/2)*(H376/1.0))/(1600/4+((S376/1600))*1600/2+((E376/750000)*(F376/80)*(S376/1600))*1600)*(H376/1.0)*2500)/J376,-1),"")</f>
        <v/>
      </c>
    </row>
    <row r="377">
      <c r="B377" s="7" t="inlineStr">
        <is>
          <t xml:space="preserve">  ↳ wc2demolitionsquadTargeting</t>
        </is>
      </c>
      <c r="C377" s="7" t="inlineStr">
        <is>
          <t>Armament</t>
        </is>
      </c>
      <c r="M377" s="6" t="n">
        <v>1</v>
      </c>
      <c r="N377" s="6" t="n">
        <v>1</v>
      </c>
      <c r="O377" s="6" t="n"/>
      <c r="P377" s="6" t="n">
        <v>1536</v>
      </c>
      <c r="Q377" s="6" t="n">
        <v>1</v>
      </c>
      <c r="R377">
        <f>M377+IF(MAX(N377-1,0)&gt;0,IF(ISBLANK(O377),5*MAX(N377-1,0),IF(ISNUMBER(O377),O377*MAX(N377-1,0),SUM(IFERROR(VALUE(TEXTSPLIT(O377,",")),0)))),0)</f>
        <v/>
      </c>
      <c r="S377">
        <f>IFERROR(L377*MAX(N377,1)/R377*IF(ISBLANK(K376),1,K376),0)</f>
        <v/>
      </c>
      <c r="AB377" s="7" t="inlineStr"/>
    </row>
    <row r="378">
      <c r="B378" s="7" t="inlineStr">
        <is>
          <t xml:space="preserve">  ↳ wc2demolitionsquadMelee</t>
        </is>
      </c>
      <c r="C378" s="7" t="inlineStr">
        <is>
          <t>Armament@Melee</t>
        </is>
      </c>
      <c r="L378" s="6" t="n">
        <v>12000</v>
      </c>
      <c r="M378" s="6" t="n">
        <v>15</v>
      </c>
      <c r="N378" s="6" t="n">
        <v>1</v>
      </c>
      <c r="O378" s="6" t="n"/>
      <c r="P378" s="6" t="n">
        <v>1333</v>
      </c>
      <c r="Q378" s="6" t="n">
        <v>1</v>
      </c>
      <c r="R378">
        <f>M378+IF(MAX(N378-1,0)&gt;0,IF(ISBLANK(O378),5*MAX(N378-1,0),IF(ISNUMBER(O378),O378*MAX(N378-1,0),SUM(IFERROR(VALUE(TEXTSPLIT(O378,",")),0)))),0)</f>
        <v/>
      </c>
      <c r="S378">
        <f>IFERROR(L378*MAX(N378,1)/R378*IF(ISBLANK(K376),1,K376),0)</f>
        <v/>
      </c>
      <c r="AB378" s="7" t="inlineStr">
        <is>
          <t>^Warhead_Melee_Medium</t>
        </is>
      </c>
    </row>
    <row r="379">
      <c r="A379" t="inlineStr">
        <is>
          <t>warcraft2</t>
        </is>
      </c>
      <c r="B379" t="inlineStr">
        <is>
          <t>wc2_humans_knight</t>
        </is>
      </c>
      <c r="C379" t="inlineStr">
        <is>
          <t>Knight</t>
        </is>
      </c>
      <c r="D379" s="6" t="inlineStr">
        <is>
          <t>LineBreaker</t>
        </is>
      </c>
      <c r="E379" s="6" t="n">
        <v>167500</v>
      </c>
      <c r="F379" s="6" t="n">
        <v>115</v>
      </c>
      <c r="G379" t="inlineStr">
        <is>
          <t>Medium</t>
        </is>
      </c>
      <c r="H379" s="6" t="n">
        <v>0.75</v>
      </c>
      <c r="I379" s="6" t="n">
        <v>1</v>
      </c>
      <c r="J379" s="6" t="n">
        <v>1</v>
      </c>
      <c r="P379">
        <f>MAX(P380,P381,P382,P383)</f>
        <v/>
      </c>
      <c r="S379">
        <f>S380+S381+S382+S383</f>
        <v/>
      </c>
      <c r="T379">
        <f>(E379/100000+F379/100+(P379/1000)*J379/5+S379/200)*200*I379*H379</f>
        <v/>
      </c>
      <c r="U379">
        <f>((E379*F379/25000)+((P379/1000)*J379*S379/2.5))*I379*H379</f>
        <v/>
      </c>
      <c r="V379">
        <f>(E379*F379*(P379/1000)*J379*S379*I379*H379)/12500000</f>
        <v/>
      </c>
      <c r="W379">
        <f>IFERROR((((E379/240000)+(F379/95)+(S379/600)+((P379/5500)*J379))*800/4+(((E379/240000)*(F379/95))+(((P379/5500)*J379)*(S379/600)))*800/2+((E379/240000)*(F379/95)*((P379/5500)*J379)*(S379/600))*800)*(H379/1.0)/3,"")</f>
        <v/>
      </c>
      <c r="X379" s="6" t="n">
        <v>1600</v>
      </c>
      <c r="Y379">
        <f>IFERROR(W379-X379,"")</f>
        <v/>
      </c>
      <c r="Z379">
        <f>IFERROR(ABS(Y379)/MAX(X379,1),"")</f>
        <v/>
      </c>
      <c r="AA379">
        <f>IFERROR(ROUND(((3*X379-(((E379/240000)+(F379/95)+(S379/600))*800/4+((E379/240000)*(F379/95))*800/2)*(H379/1.0))/(800/4+((S379/600))*800/2+((E379/240000)*(F379/95)*(S379/600))*800)*(H379/1.0)*5500)/J379,-1),"")</f>
        <v/>
      </c>
    </row>
    <row r="380">
      <c r="B380" s="7" t="inlineStr">
        <is>
          <t xml:space="preserve">  ↳ wc2knightslice</t>
        </is>
      </c>
      <c r="C380" s="7" t="inlineStr">
        <is>
          <t>Armament</t>
        </is>
      </c>
      <c r="L380" s="6" t="n">
        <v>16000</v>
      </c>
      <c r="M380" s="6" t="n">
        <v>12</v>
      </c>
      <c r="N380" s="6" t="n">
        <v>1</v>
      </c>
      <c r="O380" s="6" t="n"/>
      <c r="P380" s="6" t="n">
        <v>1420</v>
      </c>
      <c r="Q380" s="6" t="n">
        <v>1</v>
      </c>
      <c r="R380">
        <f>M380+IF(MAX(N380-1,0)&gt;0,IF(ISBLANK(O380),5*MAX(N380-1,0),IF(ISNUMBER(O380),O380*MAX(N380-1,0),SUM(IFERROR(VALUE(TEXTSPLIT(O380,",")),0)))),0)</f>
        <v/>
      </c>
      <c r="S380">
        <f>IFERROR(L380*MAX(N380,1)/R380*IF(ISBLANK(K379),1,K379),0)</f>
        <v/>
      </c>
      <c r="AB380" s="7" t="inlineStr">
        <is>
          <t>^Warhead_Melee_Medium</t>
        </is>
      </c>
    </row>
    <row r="381">
      <c r="B381" s="7" t="inlineStr">
        <is>
          <t xml:space="preserve">  ↳ wc2paladinholyvision</t>
        </is>
      </c>
      <c r="C381" s="7" t="inlineStr">
        <is>
          <t>Armament@HOLYVISION</t>
        </is>
      </c>
      <c r="L381" t="n">
        <v>0</v>
      </c>
      <c r="M381" s="6" t="n">
        <v>60</v>
      </c>
      <c r="N381" s="6" t="n">
        <v>1</v>
      </c>
      <c r="O381" s="6" t="n"/>
      <c r="P381" s="6" t="n">
        <v>512000</v>
      </c>
      <c r="Q381" s="6" t="n">
        <v>1</v>
      </c>
      <c r="R381">
        <f>M381+IF(MAX(N381-1,0)&gt;0,IF(ISBLANK(O381),5*MAX(N381-1,0),IF(ISNUMBER(O381),O381*MAX(N381-1,0),SUM(IFERROR(VALUE(TEXTSPLIT(O381,",")),0)))),0)</f>
        <v/>
      </c>
      <c r="S381">
        <f>IFERROR(L381*MAX(N381,1)/R381*IF(ISBLANK(K379),1,K379),0)</f>
        <v/>
      </c>
      <c r="AB381" s="7" t="inlineStr"/>
    </row>
    <row r="382">
      <c r="B382" s="7" t="inlineStr">
        <is>
          <t xml:space="preserve">  ↳ wc2paladinhealing</t>
        </is>
      </c>
      <c r="C382" s="7" t="inlineStr">
        <is>
          <t>Armament@HEAL</t>
        </is>
      </c>
      <c r="L382" s="6" t="n">
        <v>-4025</v>
      </c>
      <c r="M382" s="6" t="n">
        <v>60</v>
      </c>
      <c r="N382" s="6" t="n">
        <v>1</v>
      </c>
      <c r="O382" s="6" t="n"/>
      <c r="P382" s="6" t="n">
        <v>5120</v>
      </c>
      <c r="Q382" s="6" t="n">
        <v>1</v>
      </c>
      <c r="R382">
        <f>M382+IF(MAX(N382-1,0)&gt;0,IF(ISBLANK(O382),5*MAX(N382-1,0),IF(ISNUMBER(O382),O382*MAX(N382-1,0),SUM(IFERROR(VALUE(TEXTSPLIT(O382,",")),0)))),0)</f>
        <v/>
      </c>
      <c r="S382">
        <f>IFERROR(L382*MAX(N382,1)/R382*IF(ISBLANK(K379),1,K379),0)</f>
        <v/>
      </c>
      <c r="AB382" s="7" t="inlineStr"/>
    </row>
    <row r="383">
      <c r="B383" s="7" t="inlineStr">
        <is>
          <t xml:space="preserve">  ↳ wc2paladinexorcism</t>
        </is>
      </c>
      <c r="C383" s="7" t="inlineStr">
        <is>
          <t>Armament@EXORCISM</t>
        </is>
      </c>
      <c r="L383" s="6" t="n">
        <v>4025</v>
      </c>
      <c r="M383" s="6" t="n">
        <v>60</v>
      </c>
      <c r="N383" s="6" t="n">
        <v>1</v>
      </c>
      <c r="O383" s="6" t="n"/>
      <c r="P383" s="6" t="n">
        <v>5120</v>
      </c>
      <c r="Q383" s="6" t="n">
        <v>1</v>
      </c>
      <c r="R383">
        <f>M383+IF(MAX(N383-1,0)&gt;0,IF(ISBLANK(O383),5*MAX(N383-1,0),IF(ISNUMBER(O383),O383*MAX(N383-1,0),SUM(IFERROR(VALUE(TEXTSPLIT(O383,",")),0)))),0)</f>
        <v/>
      </c>
      <c r="S383">
        <f>IFERROR(L383*MAX(N383,1)/R383*IF(ISBLANK(K379),1,K379),0)</f>
        <v/>
      </c>
      <c r="AB383" s="7" t="inlineStr"/>
    </row>
    <row r="384">
      <c r="A384" t="inlineStr">
        <is>
          <t>warcraft2</t>
        </is>
      </c>
      <c r="B384" t="inlineStr">
        <is>
          <t>wc2_humans_paladin</t>
        </is>
      </c>
      <c r="C384" t="inlineStr">
        <is>
          <t>Paladin</t>
        </is>
      </c>
      <c r="D384" s="6" t="inlineStr">
        <is>
          <t>LineBreaker</t>
        </is>
      </c>
      <c r="E384" s="6" t="n">
        <v>167500</v>
      </c>
      <c r="F384" s="6" t="n">
        <v>115</v>
      </c>
      <c r="G384" t="inlineStr">
        <is>
          <t>Medium</t>
        </is>
      </c>
      <c r="H384" s="6" t="n">
        <v>0.9429</v>
      </c>
      <c r="I384" s="6" t="n">
        <v>1</v>
      </c>
      <c r="J384" s="6" t="n">
        <v>1</v>
      </c>
      <c r="P384">
        <f>MAX(P385,P386,P387,P388)</f>
        <v/>
      </c>
      <c r="S384">
        <f>S385+S386+S387+S388</f>
        <v/>
      </c>
      <c r="T384">
        <f>(E384/100000+F384/100+(P384/1000)*J384/5+S384/200)*200*I384*H384</f>
        <v/>
      </c>
      <c r="U384">
        <f>((E384*F384/25000)+((P384/1000)*J384*S384/2.5))*I384*H384</f>
        <v/>
      </c>
      <c r="V384">
        <f>(E384*F384*(P384/1000)*J384*S384*I384*H384)/12500000</f>
        <v/>
      </c>
      <c r="W384">
        <f>IFERROR((((E384/750000)+(F384/80)+(S384/1600)+((P384/2500)*J384))*1600/4+(((E384/750000)*(F384/80))+(((P384/2500)*J384)*(S384/1600)))*1600/2+((E384/750000)*(F384/80)*((P384/2500)*J384)*(S384/1600))*1600)*(H384/1.0)/3,"")</f>
        <v/>
      </c>
      <c r="X384" s="6" t="n">
        <v>1600</v>
      </c>
      <c r="Y384">
        <f>IFERROR(W384-X384,"")</f>
        <v/>
      </c>
      <c r="Z384">
        <f>IFERROR(ABS(Y384)/MAX(X384,1),"")</f>
        <v/>
      </c>
      <c r="AA384">
        <f>IFERROR(ROUND(((3*X384-(((E384/750000)+(F384/80)+(S384/1600))*1600/4+((E384/750000)*(F384/80))*1600/2)*(H384/1.0))/(1600/4+((S384/1600))*1600/2+((E384/750000)*(F384/80)*(S384/1600))*1600)*(H384/1.0)*2500)/J384,-1),"")</f>
        <v/>
      </c>
    </row>
    <row r="385">
      <c r="B385" s="7" t="inlineStr">
        <is>
          <t xml:space="preserve">  ↳ wc2knightslice</t>
        </is>
      </c>
      <c r="C385" s="7" t="inlineStr">
        <is>
          <t>Armament</t>
        </is>
      </c>
      <c r="L385" s="6" t="n">
        <v>16000</v>
      </c>
      <c r="M385" s="6" t="n">
        <v>12</v>
      </c>
      <c r="N385" s="6" t="n">
        <v>1</v>
      </c>
      <c r="O385" s="6" t="n"/>
      <c r="P385" s="6" t="n">
        <v>1420</v>
      </c>
      <c r="Q385" s="6" t="n">
        <v>1</v>
      </c>
      <c r="R385">
        <f>M385+IF(MAX(N385-1,0)&gt;0,IF(ISBLANK(O385),5*MAX(N385-1,0),IF(ISNUMBER(O385),O385*MAX(N385-1,0),SUM(IFERROR(VALUE(TEXTSPLIT(O385,",")),0)))),0)</f>
        <v/>
      </c>
      <c r="S385">
        <f>IFERROR(L385*MAX(N385,1)/R385*IF(ISBLANK(K384),1,K384),0)</f>
        <v/>
      </c>
      <c r="AB385" s="7" t="inlineStr">
        <is>
          <t>^Warhead_Melee_Medium</t>
        </is>
      </c>
    </row>
    <row r="386">
      <c r="B386" s="7" t="inlineStr">
        <is>
          <t xml:space="preserve">  ↳ wc2paladinholyvision</t>
        </is>
      </c>
      <c r="C386" s="7" t="inlineStr">
        <is>
          <t>Armament@HOLYVISION</t>
        </is>
      </c>
      <c r="L386" t="n">
        <v>0</v>
      </c>
      <c r="M386" s="6" t="n">
        <v>60</v>
      </c>
      <c r="N386" s="6" t="n">
        <v>1</v>
      </c>
      <c r="O386" s="6" t="n"/>
      <c r="P386" s="6" t="n">
        <v>512000</v>
      </c>
      <c r="Q386" s="6" t="n">
        <v>1</v>
      </c>
      <c r="R386">
        <f>M386+IF(MAX(N386-1,0)&gt;0,IF(ISBLANK(O386),5*MAX(N386-1,0),IF(ISNUMBER(O386),O386*MAX(N386-1,0),SUM(IFERROR(VALUE(TEXTSPLIT(O386,",")),0)))),0)</f>
        <v/>
      </c>
      <c r="S386">
        <f>IFERROR(L386*MAX(N386,1)/R386*IF(ISBLANK(K384),1,K384),0)</f>
        <v/>
      </c>
      <c r="AB386" s="7" t="inlineStr"/>
    </row>
    <row r="387">
      <c r="B387" s="7" t="inlineStr">
        <is>
          <t xml:space="preserve">  ↳ wc2paladinhealing</t>
        </is>
      </c>
      <c r="C387" s="7" t="inlineStr">
        <is>
          <t>Armament@HEAL</t>
        </is>
      </c>
      <c r="L387" s="6" t="n">
        <v>-4025</v>
      </c>
      <c r="M387" s="6" t="n">
        <v>60</v>
      </c>
      <c r="N387" s="6" t="n">
        <v>1</v>
      </c>
      <c r="O387" s="6" t="n"/>
      <c r="P387" s="6" t="n">
        <v>5120</v>
      </c>
      <c r="Q387" s="6" t="n">
        <v>1</v>
      </c>
      <c r="R387">
        <f>M387+IF(MAX(N387-1,0)&gt;0,IF(ISBLANK(O387),5*MAX(N387-1,0),IF(ISNUMBER(O387),O387*MAX(N387-1,0),SUM(IFERROR(VALUE(TEXTSPLIT(O387,",")),0)))),0)</f>
        <v/>
      </c>
      <c r="S387">
        <f>IFERROR(L387*MAX(N387,1)/R387*IF(ISBLANK(K384),1,K384),0)</f>
        <v/>
      </c>
      <c r="AB387" s="7" t="inlineStr"/>
    </row>
    <row r="388">
      <c r="B388" s="7" t="inlineStr">
        <is>
          <t xml:space="preserve">  ↳ wc2paladinexorcism</t>
        </is>
      </c>
      <c r="C388" s="7" t="inlineStr">
        <is>
          <t>Armament@EXORCISM</t>
        </is>
      </c>
      <c r="L388" s="6" t="n">
        <v>4025</v>
      </c>
      <c r="M388" s="6" t="n">
        <v>60</v>
      </c>
      <c r="N388" s="6" t="n">
        <v>1</v>
      </c>
      <c r="O388" s="6" t="n"/>
      <c r="P388" s="6" t="n">
        <v>5120</v>
      </c>
      <c r="Q388" s="6" t="n">
        <v>1</v>
      </c>
      <c r="R388">
        <f>M388+IF(MAX(N388-1,0)&gt;0,IF(ISBLANK(O388),5*MAX(N388-1,0),IF(ISNUMBER(O388),O388*MAX(N388-1,0),SUM(IFERROR(VALUE(TEXTSPLIT(O388,",")),0)))),0)</f>
        <v/>
      </c>
      <c r="S388">
        <f>IFERROR(L388*MAX(N388,1)/R388*IF(ISBLANK(K384),1,K384),0)</f>
        <v/>
      </c>
      <c r="AB388" s="7" t="inlineStr"/>
    </row>
    <row r="389">
      <c r="A389" t="inlineStr">
        <is>
          <t>warcraft2</t>
        </is>
      </c>
      <c r="B389" t="inlineStr">
        <is>
          <t>wc2_humans_warcraft3knight</t>
        </is>
      </c>
      <c r="C389" t="inlineStr">
        <is>
          <t>Warcraft 3 Knight</t>
        </is>
      </c>
      <c r="D389" s="6" t="inlineStr">
        <is>
          <t>LineBreaker</t>
        </is>
      </c>
      <c r="E389" s="6" t="n">
        <v>180000</v>
      </c>
      <c r="F389" s="6" t="n">
        <v>120</v>
      </c>
      <c r="G389" t="inlineStr">
        <is>
          <t>Superheavy</t>
        </is>
      </c>
      <c r="H389" s="6" t="n">
        <v>1</v>
      </c>
      <c r="I389" s="6" t="n">
        <v>1</v>
      </c>
      <c r="J389" s="6" t="n">
        <v>1</v>
      </c>
      <c r="P389">
        <f>MAX(P390,P391,P392,P393)</f>
        <v/>
      </c>
      <c r="S389">
        <f>S390+S391+S392+S393</f>
        <v/>
      </c>
      <c r="T389">
        <f>(E389/100000+F389/100+(P389/1000)*J389/5+S389/200)*200*I389*H389</f>
        <v/>
      </c>
      <c r="U389">
        <f>((E389*F389/25000)+((P389/1000)*J389*S389/2.5))*I389*H389</f>
        <v/>
      </c>
      <c r="V389">
        <f>(E389*F389*(P389/1000)*J389*S389*I389*H389)/12500000</f>
        <v/>
      </c>
      <c r="W389">
        <f>IFERROR((((E389/750000)+(F389/80)+(S389/1600)+((P389/2500)*J389))*1600/4+(((E389/750000)*(F389/80))+(((P389/2500)*J389)*(S389/1600)))*1600/2+((E389/750000)*(F389/80)*((P389/2500)*J389)*(S389/1600))*1600)*(H389/1.0)/3,"")</f>
        <v/>
      </c>
      <c r="X389" s="6" t="n">
        <v>2200</v>
      </c>
      <c r="Y389">
        <f>IFERROR(W389-X389,"")</f>
        <v/>
      </c>
      <c r="Z389">
        <f>IFERROR(ABS(Y389)/MAX(X389,1),"")</f>
        <v/>
      </c>
      <c r="AA389">
        <f>IFERROR(ROUND(((3*X389-(((E389/750000)+(F389/80)+(S389/1600))*1600/4+((E389/750000)*(F389/80))*1600/2)*(H389/1.0))/(1600/4+((S389/1600))*1600/2+((E389/750000)*(F389/80)*(S389/1600))*1600)*(H389/1.0)*2500)/J389,-1),"")</f>
        <v/>
      </c>
    </row>
    <row r="390">
      <c r="B390" s="7" t="inlineStr">
        <is>
          <t xml:space="preserve">  ↳ wc2knightslice</t>
        </is>
      </c>
      <c r="C390" s="7" t="inlineStr">
        <is>
          <t>Armament</t>
        </is>
      </c>
      <c r="L390" s="6" t="n">
        <v>16000</v>
      </c>
      <c r="M390" s="6" t="n">
        <v>12</v>
      </c>
      <c r="N390" s="6" t="n">
        <v>1</v>
      </c>
      <c r="O390" s="6" t="n"/>
      <c r="P390" s="6" t="n">
        <v>1420</v>
      </c>
      <c r="Q390" s="6" t="n">
        <v>1</v>
      </c>
      <c r="R390">
        <f>M390+IF(MAX(N390-1,0)&gt;0,IF(ISBLANK(O390),5*MAX(N390-1,0),IF(ISNUMBER(O390),O390*MAX(N390-1,0),SUM(IFERROR(VALUE(TEXTSPLIT(O390,",")),0)))),0)</f>
        <v/>
      </c>
      <c r="S390">
        <f>IFERROR(L390*MAX(N390,1)/R390*IF(ISBLANK(K389),1,K389),0)</f>
        <v/>
      </c>
      <c r="AB390" s="7" t="inlineStr">
        <is>
          <t>^Warhead_Melee_Medium</t>
        </is>
      </c>
    </row>
    <row r="391">
      <c r="B391" s="7" t="inlineStr">
        <is>
          <t xml:space="preserve">  ↳ wc2paladinholyvision</t>
        </is>
      </c>
      <c r="C391" s="7" t="inlineStr">
        <is>
          <t>Armament@HOLYVISION</t>
        </is>
      </c>
      <c r="L391" t="n">
        <v>0</v>
      </c>
      <c r="M391" s="6" t="n">
        <v>60</v>
      </c>
      <c r="N391" s="6" t="n">
        <v>1</v>
      </c>
      <c r="O391" s="6" t="n"/>
      <c r="P391" s="6" t="n">
        <v>512000</v>
      </c>
      <c r="Q391" s="6" t="n">
        <v>1</v>
      </c>
      <c r="R391">
        <f>M391+IF(MAX(N391-1,0)&gt;0,IF(ISBLANK(O391),5*MAX(N391-1,0),IF(ISNUMBER(O391),O391*MAX(N391-1,0),SUM(IFERROR(VALUE(TEXTSPLIT(O391,",")),0)))),0)</f>
        <v/>
      </c>
      <c r="S391">
        <f>IFERROR(L391*MAX(N391,1)/R391*IF(ISBLANK(K389),1,K389),0)</f>
        <v/>
      </c>
      <c r="AB391" s="7" t="inlineStr"/>
    </row>
    <row r="392">
      <c r="B392" s="7" t="inlineStr">
        <is>
          <t xml:space="preserve">  ↳ wc2paladinhealing</t>
        </is>
      </c>
      <c r="C392" s="7" t="inlineStr">
        <is>
          <t>Armament@HEAL</t>
        </is>
      </c>
      <c r="L392" s="6" t="n">
        <v>-4025</v>
      </c>
      <c r="M392" s="6" t="n">
        <v>60</v>
      </c>
      <c r="N392" s="6" t="n">
        <v>1</v>
      </c>
      <c r="O392" s="6" t="n"/>
      <c r="P392" s="6" t="n">
        <v>5120</v>
      </c>
      <c r="Q392" s="6" t="n">
        <v>1</v>
      </c>
      <c r="R392">
        <f>M392+IF(MAX(N392-1,0)&gt;0,IF(ISBLANK(O392),5*MAX(N392-1,0),IF(ISNUMBER(O392),O392*MAX(N392-1,0),SUM(IFERROR(VALUE(TEXTSPLIT(O392,",")),0)))),0)</f>
        <v/>
      </c>
      <c r="S392">
        <f>IFERROR(L392*MAX(N392,1)/R392*IF(ISBLANK(K389),1,K389),0)</f>
        <v/>
      </c>
      <c r="AB392" s="7" t="inlineStr"/>
    </row>
    <row r="393">
      <c r="B393" s="7" t="inlineStr">
        <is>
          <t xml:space="preserve">  ↳ wc2paladinexorcism</t>
        </is>
      </c>
      <c r="C393" s="7" t="inlineStr">
        <is>
          <t>Armament@EXORCISM</t>
        </is>
      </c>
      <c r="L393" s="6" t="n">
        <v>4025</v>
      </c>
      <c r="M393" s="6" t="n">
        <v>60</v>
      </c>
      <c r="N393" s="6" t="n">
        <v>1</v>
      </c>
      <c r="O393" s="6" t="n"/>
      <c r="P393" s="6" t="n">
        <v>5120</v>
      </c>
      <c r="Q393" s="6" t="n">
        <v>1</v>
      </c>
      <c r="R393">
        <f>M393+IF(MAX(N393-1,0)&gt;0,IF(ISBLANK(O393),5*MAX(N393-1,0),IF(ISNUMBER(O393),O393*MAX(N393-1,0),SUM(IFERROR(VALUE(TEXTSPLIT(O393,",")),0)))),0)</f>
        <v/>
      </c>
      <c r="S393">
        <f>IFERROR(L393*MAX(N393,1)/R393*IF(ISBLANK(K389),1,K389),0)</f>
        <v/>
      </c>
      <c r="AB393" s="7" t="inlineStr"/>
    </row>
    <row r="394">
      <c r="A394" s="4" t="inlineStr">
        <is>
          <t>LightTank</t>
        </is>
      </c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  <c r="AB394" s="5" t="n"/>
    </row>
    <row r="395">
      <c r="A395" t="inlineStr">
        <is>
          <t>tiberiandawn</t>
        </is>
      </c>
      <c r="B395" t="inlineStr">
        <is>
          <t>td_nod_lighttank</t>
        </is>
      </c>
      <c r="C395" t="inlineStr">
        <is>
          <t>Nod Light Tank</t>
        </is>
      </c>
      <c r="D395" s="6" t="inlineStr">
        <is>
          <t>LightTank</t>
        </is>
      </c>
      <c r="E395" s="6" t="n">
        <v>80000</v>
      </c>
      <c r="F395" s="6" t="n">
        <v>110</v>
      </c>
      <c r="G395" t="inlineStr">
        <is>
          <t>Medium</t>
        </is>
      </c>
      <c r="H395" s="6" t="n">
        <v>1</v>
      </c>
      <c r="I395" s="6" t="n">
        <v>1</v>
      </c>
      <c r="J395" s="6" t="n">
        <v>1</v>
      </c>
      <c r="P395">
        <f>MAX(P396,P397)</f>
        <v/>
      </c>
      <c r="S395">
        <f>S396+S397</f>
        <v/>
      </c>
      <c r="T395">
        <f>(E395/100000+F395/100+(P395/1000)*J395/5+S395/200)*200*I395*H395</f>
        <v/>
      </c>
      <c r="U395">
        <f>((E395*F395/25000)+((P395/1000)*J395*S395/2.5))*I395*H395</f>
        <v/>
      </c>
      <c r="V395">
        <f>(E395*F395*(P395/1000)*J395*S395*I395*H395)/12500000</f>
        <v/>
      </c>
      <c r="W395">
        <f>IFERROR((((E395/100000)+(F395/125)+(S395/200)+((P395/5000)*J395))*400/4+(((E395/100000)*(F395/125))+(((P395/5000)*J395)*(S395/200)))*400/2+((E395/100000)*(F395/125)*((P395/5000)*J395)*(S395/200))*400)*(H395/1.0)/3,"")</f>
        <v/>
      </c>
      <c r="X395" s="6" t="n">
        <v>600</v>
      </c>
      <c r="Y395">
        <f>IFERROR(W395-X395,"")</f>
        <v/>
      </c>
      <c r="Z395">
        <f>IFERROR(ABS(Y395)/MAX(X395,1),"")</f>
        <v/>
      </c>
      <c r="AA395">
        <f>IFERROR(ROUND(((3*X395-(((E395/100000)+(F395/125)+(S395/200))*400/4+((E395/100000)*(F395/125))*400/2)*(H395/1.0))/(400/4+((S395/200))*400/2+((E395/100000)*(F395/125)*(S395/200))*400)*(H395/1.0)*5000)/J395,-1),"")</f>
        <v/>
      </c>
    </row>
    <row r="396">
      <c r="B396" s="7" t="inlineStr">
        <is>
          <t xml:space="preserve">  ↳ 70mm</t>
        </is>
      </c>
      <c r="C396" s="7" t="inlineStr">
        <is>
          <t>Armament</t>
        </is>
      </c>
      <c r="L396" s="6" t="n">
        <v>6000</v>
      </c>
      <c r="M396" s="6" t="n">
        <v>45</v>
      </c>
      <c r="N396" s="6" t="n">
        <v>1</v>
      </c>
      <c r="O396" s="6" t="n"/>
      <c r="P396" s="6" t="n">
        <v>4993</v>
      </c>
      <c r="Q396" s="6" t="n">
        <v>1</v>
      </c>
      <c r="R396">
        <f>M396+IF(MAX(N396-1,0)&gt;0,IF(ISBLANK(O396),5*MAX(N396-1,0),IF(ISNUMBER(O396),O396*MAX(N396-1,0),SUM(IFERROR(VALUE(TEXTSPLIT(O396,",")),0)))),0)</f>
        <v/>
      </c>
      <c r="S396">
        <f>IFERROR(L396*MAX(N396,1)/R396*IF(ISBLANK(K395),1,K395),0)</f>
        <v/>
      </c>
      <c r="AB396" s="7" t="inlineStr">
        <is>
          <t>^Warhead_CannonHE_Medium</t>
        </is>
      </c>
    </row>
    <row r="397">
      <c r="B397" s="7" t="inlineStr">
        <is>
          <t xml:space="preserve">  ↳ LTNKMissiles</t>
        </is>
      </c>
      <c r="C397" s="7" t="inlineStr">
        <is>
          <t>Armament@Missile</t>
        </is>
      </c>
      <c r="L397" s="6" t="n">
        <v>6000</v>
      </c>
      <c r="M397" s="6" t="n">
        <v>45</v>
      </c>
      <c r="N397" s="6" t="n">
        <v>1</v>
      </c>
      <c r="O397" s="6" t="n"/>
      <c r="P397" s="6" t="n">
        <v>4993</v>
      </c>
      <c r="Q397" s="6" t="n">
        <v>1</v>
      </c>
      <c r="R397">
        <f>M397+IF(MAX(N397-1,0)&gt;0,IF(ISBLANK(O397),5*MAX(N397-1,0),IF(ISNUMBER(O397),O397*MAX(N397-1,0),SUM(IFERROR(VALUE(TEXTSPLIT(O397,",")),0)))),0)</f>
        <v/>
      </c>
      <c r="S397">
        <f>IFERROR(L397*MAX(N397,1)/R397*IF(ISBLANK(K395),1,K395),0)</f>
        <v/>
      </c>
      <c r="AB397" s="7" t="inlineStr">
        <is>
          <t>^Warhead_MissileAP_Medium</t>
        </is>
      </c>
    </row>
    <row r="398">
      <c r="A398" t="inlineStr">
        <is>
          <t>tiberiandawn</t>
        </is>
      </c>
      <c r="B398" t="inlineStr">
        <is>
          <t>td_nod_lighttankmkii</t>
        </is>
      </c>
      <c r="C398" t="inlineStr">
        <is>
          <t>Light Tank Mk. II</t>
        </is>
      </c>
      <c r="D398" s="6" t="inlineStr">
        <is>
          <t>LightTank</t>
        </is>
      </c>
      <c r="E398" s="6" t="n">
        <v>80000</v>
      </c>
      <c r="F398" s="6" t="n">
        <v>100</v>
      </c>
      <c r="G398" t="inlineStr">
        <is>
          <t>Medium</t>
        </is>
      </c>
      <c r="H398" s="6" t="n">
        <v>0.9429</v>
      </c>
      <c r="I398" s="6" t="n">
        <v>1</v>
      </c>
      <c r="J398" s="6" t="n">
        <v>1</v>
      </c>
      <c r="P398">
        <f>MAX(P399,P400,P401)</f>
        <v/>
      </c>
      <c r="S398">
        <f>S399+S400+S401</f>
        <v/>
      </c>
      <c r="T398">
        <f>(E398/100000+F398/100+(P398/1000)*J398/5+S398/200)*200*I398*H398</f>
        <v/>
      </c>
      <c r="U398">
        <f>((E398*F398/25000)+((P398/1000)*J398*S398/2.5))*I398*H398</f>
        <v/>
      </c>
      <c r="V398">
        <f>(E398*F398*(P398/1000)*J398*S398*I398*H398)/12500000</f>
        <v/>
      </c>
      <c r="W398">
        <f>IFERROR((((E398/100000)+(F398/125)+(S398/200)+((P398/5000)*J398))*400/4+(((E398/100000)*(F398/125))+(((P398/5000)*J398)*(S398/200)))*400/2+((E398/100000)*(F398/125)*((P398/5000)*J398)*(S398/200))*400)*(H398/1.0)/3,"")</f>
        <v/>
      </c>
      <c r="X398" s="6" t="n">
        <v>800</v>
      </c>
      <c r="Y398">
        <f>IFERROR(W398-X398,"")</f>
        <v/>
      </c>
      <c r="Z398">
        <f>IFERROR(ABS(Y398)/MAX(X398,1),"")</f>
        <v/>
      </c>
      <c r="AA398">
        <f>IFERROR(ROUND(((3*X398-(((E398/100000)+(F398/125)+(S398/200))*400/4+((E398/100000)*(F398/125))*400/2)*(H398/1.0))/(400/4+((S398/200))*400/2+((E398/100000)*(F398/125)*(S398/200))*400)*(H398/1.0)*5000)/J398,-1),"")</f>
        <v/>
      </c>
    </row>
    <row r="399">
      <c r="B399" s="7" t="inlineStr">
        <is>
          <t xml:space="preserve">  ↳ PDLaserLTNK2</t>
        </is>
      </c>
      <c r="C399" s="7" t="inlineStr">
        <is>
          <t>Armament@pointdefense</t>
        </is>
      </c>
      <c r="L399" s="6" t="n">
        <v>1</v>
      </c>
      <c r="M399" s="6" t="n">
        <v>25</v>
      </c>
      <c r="N399" s="6" t="n">
        <v>1</v>
      </c>
      <c r="O399" s="6" t="n"/>
      <c r="P399" s="6" t="n">
        <v>4903</v>
      </c>
      <c r="Q399" s="6" t="n">
        <v>1</v>
      </c>
      <c r="R399">
        <f>M399+IF(MAX(N399-1,0)&gt;0,IF(ISBLANK(O399),5*MAX(N399-1,0),IF(ISNUMBER(O399),O399*MAX(N399-1,0),SUM(IFERROR(VALUE(TEXTSPLIT(O399,",")),0)))),0)</f>
        <v/>
      </c>
      <c r="S399">
        <f>IFERROR(L399*MAX(N399,1)/R399*IF(ISBLANK(K398),1,K398),0)</f>
        <v/>
      </c>
      <c r="AB399" s="7" t="inlineStr">
        <is>
          <t>PDLaser</t>
        </is>
      </c>
    </row>
    <row r="400">
      <c r="B400" s="7" t="inlineStr">
        <is>
          <t xml:space="preserve">  ↳ LightTank2Cannon</t>
        </is>
      </c>
      <c r="C400" s="7" t="inlineStr">
        <is>
          <t>Armament</t>
        </is>
      </c>
      <c r="L400" s="6" t="n">
        <v>8000</v>
      </c>
      <c r="M400" s="6" t="n">
        <v>35</v>
      </c>
      <c r="N400" s="6" t="n">
        <v>1</v>
      </c>
      <c r="O400" s="6" t="n"/>
      <c r="P400" s="6" t="n">
        <v>4903</v>
      </c>
      <c r="Q400" s="6" t="n">
        <v>1</v>
      </c>
      <c r="R400">
        <f>M400+IF(MAX(N400-1,0)&gt;0,IF(ISBLANK(O400),5*MAX(N400-1,0),IF(ISNUMBER(O400),O400*MAX(N400-1,0),SUM(IFERROR(VALUE(TEXTSPLIT(O400,",")),0)))),0)</f>
        <v/>
      </c>
      <c r="S400">
        <f>IFERROR(L400*MAX(N400,1)/R400*IF(ISBLANK(K398),1,K398),0)</f>
        <v/>
      </c>
      <c r="AB400" s="7" t="inlineStr">
        <is>
          <t>^LightChemicalWeapon, ^MediumCannon</t>
        </is>
      </c>
    </row>
    <row r="401">
      <c r="B401" s="7" t="inlineStr">
        <is>
          <t xml:space="preserve">  ↳ LightTank2Missiles</t>
        </is>
      </c>
      <c r="C401" s="7" t="inlineStr">
        <is>
          <t>Armament@Missile</t>
        </is>
      </c>
      <c r="L401" s="6" t="n">
        <v>8000</v>
      </c>
      <c r="M401" s="6" t="n">
        <v>35</v>
      </c>
      <c r="N401" s="6" t="n">
        <v>1</v>
      </c>
      <c r="O401" s="6" t="n"/>
      <c r="P401" s="6" t="n">
        <v>4903</v>
      </c>
      <c r="Q401" s="6" t="n">
        <v>0.875</v>
      </c>
      <c r="R401">
        <f>M401+IF(MAX(N401-1,0)&gt;0,IF(ISBLANK(O401),5*MAX(N401-1,0),IF(ISNUMBER(O401),O401*MAX(N401-1,0),SUM(IFERROR(VALUE(TEXTSPLIT(O401,",")),0)))),0)</f>
        <v/>
      </c>
      <c r="S401">
        <f>IFERROR(L401*MAX(N401,1)/R401*IF(ISBLANK(K398),1,K398),0)</f>
        <v/>
      </c>
      <c r="AB401" s="7" t="inlineStr">
        <is>
          <t>^Warhead_Flame_Light, ^Warhead_MissileAP_Medium</t>
        </is>
      </c>
    </row>
    <row r="402">
      <c r="A402" t="inlineStr">
        <is>
          <t>redalert</t>
        </is>
      </c>
      <c r="B402" t="inlineStr">
        <is>
          <t>japan_shrineminitank</t>
        </is>
      </c>
      <c r="C402" t="inlineStr">
        <is>
          <t>Shrine Minitank</t>
        </is>
      </c>
      <c r="D402" s="6" t="inlineStr">
        <is>
          <t>LightTank</t>
        </is>
      </c>
      <c r="E402" s="6" t="n">
        <v>60000</v>
      </c>
      <c r="F402" s="6" t="n">
        <v>120</v>
      </c>
      <c r="G402" t="inlineStr">
        <is>
          <t>Medium</t>
        </is>
      </c>
      <c r="H402" s="6" t="n">
        <v>0.8683999999999999</v>
      </c>
      <c r="I402" s="6" t="n">
        <v>1</v>
      </c>
      <c r="J402" s="6" t="n">
        <v>1</v>
      </c>
      <c r="P402">
        <f>MAX(P403)</f>
        <v/>
      </c>
      <c r="S402">
        <f>S403</f>
        <v/>
      </c>
      <c r="T402">
        <f>(E402/100000+F402/100+(P402/1000)*J402/5+S402/200)*200*I402*H402</f>
        <v/>
      </c>
      <c r="U402">
        <f>((E402*F402/25000)+((P402/1000)*J402*S402/2.5))*I402*H402</f>
        <v/>
      </c>
      <c r="V402">
        <f>(E402*F402*(P402/1000)*J402*S402*I402*H402)/12500000</f>
        <v/>
      </c>
      <c r="W402">
        <f>IFERROR((((E402/100000)+(F402/125)+(S402/200)+((P402/5000)*J402))*400/4+(((E402/100000)*(F402/125))+(((P402/5000)*J402)*(S402/200)))*400/2+((E402/100000)*(F402/125)*((P402/5000)*J402)*(S402/200))*400)*(H402/1.0)/3,"")</f>
        <v/>
      </c>
      <c r="X402" s="6" t="n">
        <v>1600</v>
      </c>
      <c r="Y402">
        <f>IFERROR(W402-X402,"")</f>
        <v/>
      </c>
      <c r="Z402">
        <f>IFERROR(ABS(Y402)/MAX(X402,1),"")</f>
        <v/>
      </c>
      <c r="AA402">
        <f>IFERROR(ROUND(((3*X402-(((E402/100000)+(F402/125)+(S402/200))*400/4+((E402/100000)*(F402/125))*400/2)*(H402/1.0))/(400/4+((S402/200))*400/2+((E402/100000)*(F402/125)*(S402/200))*400)*(H402/1.0)*5000)/J402,-1),"")</f>
        <v/>
      </c>
    </row>
    <row r="403">
      <c r="B403" s="7" t="inlineStr">
        <is>
          <t xml:space="preserve">  ↳ ShrineTankCannon</t>
        </is>
      </c>
      <c r="C403" s="7" t="inlineStr">
        <is>
          <t>Armament</t>
        </is>
      </c>
      <c r="L403" s="6" t="n">
        <v>24000</v>
      </c>
      <c r="M403" s="6" t="n">
        <v>50</v>
      </c>
      <c r="N403" s="6" t="n">
        <v>1</v>
      </c>
      <c r="O403" s="6" t="n"/>
      <c r="P403" s="6" t="n">
        <v>6370</v>
      </c>
      <c r="Q403" s="6" t="n">
        <v>1.25</v>
      </c>
      <c r="R403">
        <f>M403+IF(MAX(N403-1,0)&gt;0,IF(ISBLANK(O403),5*MAX(N403-1,0),IF(ISNUMBER(O403),O403*MAX(N403-1,0),SUM(IFERROR(VALUE(TEXTSPLIT(O403,",")),0)))),0)</f>
        <v/>
      </c>
      <c r="S403">
        <f>IFERROR(L403*MAX(N403,1)/R403*IF(ISBLANK(K402),1,K402),0)</f>
        <v/>
      </c>
      <c r="AB403" s="7" t="inlineStr">
        <is>
          <t>^Warhead_Magic_Heavy</t>
        </is>
      </c>
    </row>
    <row r="404">
      <c r="A404" t="inlineStr">
        <is>
          <t>redalert</t>
        </is>
      </c>
      <c r="B404" t="inlineStr">
        <is>
          <t>ra1_allies_alliedlighttank</t>
        </is>
      </c>
      <c r="C404" t="inlineStr">
        <is>
          <t>Allied Light Tank</t>
        </is>
      </c>
      <c r="D404" s="6" t="inlineStr">
        <is>
          <t>LightTank</t>
        </is>
      </c>
      <c r="E404" s="6" t="n">
        <v>50000</v>
      </c>
      <c r="F404" s="6" t="n">
        <v>120</v>
      </c>
      <c r="G404" t="inlineStr">
        <is>
          <t>Medium</t>
        </is>
      </c>
      <c r="H404" s="6" t="n">
        <v>1</v>
      </c>
      <c r="I404" s="6" t="n">
        <v>1</v>
      </c>
      <c r="J404" s="6" t="n">
        <v>1</v>
      </c>
      <c r="K404" t="n">
        <v>0.005</v>
      </c>
      <c r="P404">
        <f>MAX(P405)</f>
        <v/>
      </c>
      <c r="S404">
        <f>S405</f>
        <v/>
      </c>
      <c r="T404">
        <f>(E404/100000+F404/100+(P404/1000)*J404/5+S404/200)*200*I404*H404</f>
        <v/>
      </c>
      <c r="U404">
        <f>((E404*F404/25000)+((P404/1000)*J404*S404/2.5))*I404*H404</f>
        <v/>
      </c>
      <c r="V404">
        <f>(E404*F404*(P404/1000)*J404*S404*I404*H404)/12500000</f>
        <v/>
      </c>
      <c r="W404">
        <f>IFERROR((((E404/100000)+(F404/125)+(S404/200)+((P404/5000)*J404))*400/4+(((E404/100000)*(F404/125))+(((P404/5000)*J404)*(S404/200)))*400/2+((E404/100000)*(F404/125)*((P404/5000)*J404)*(S404/200))*400)*(H404/1.0)/3,"")</f>
        <v/>
      </c>
      <c r="X404" s="6" t="n">
        <v>500</v>
      </c>
      <c r="Y404">
        <f>IFERROR(W404-X404,"")</f>
        <v/>
      </c>
      <c r="Z404">
        <f>IFERROR(ABS(Y404)/MAX(X404,1),"")</f>
        <v/>
      </c>
      <c r="AA404">
        <f>IFERROR(ROUND(((3*X404-(((E404/100000)+(F404/125)+(S404/200))*400/4+((E404/100000)*(F404/125))*400/2)*(H404/1.0))/(400/4+((S404/200))*400/2+((E404/100000)*(F404/125)*(S404/200))*400)*(H404/1.0)*5000)/J404,-1),"")</f>
        <v/>
      </c>
    </row>
    <row r="405">
      <c r="B405" s="7" t="inlineStr">
        <is>
          <t xml:space="preserve">  ↳ 25mm</t>
        </is>
      </c>
      <c r="C405" s="7" t="inlineStr">
        <is>
          <t>Armament</t>
        </is>
      </c>
      <c r="L405" s="6" t="n">
        <v>12000</v>
      </c>
      <c r="M405" s="6" t="n">
        <v>37</v>
      </c>
      <c r="N405" s="6" t="n">
        <v>1</v>
      </c>
      <c r="O405" s="6" t="n"/>
      <c r="P405" s="6" t="n">
        <v>4720</v>
      </c>
      <c r="Q405" s="6" t="n">
        <v>1</v>
      </c>
      <c r="R405">
        <f>M405+IF(MAX(N405-1,0)&gt;0,IF(ISBLANK(O405),5*MAX(N405-1,0),IF(ISNUMBER(O405),O405*MAX(N405-1,0),SUM(IFERROR(VALUE(TEXTSPLIT(O405,",")),0)))),0)</f>
        <v/>
      </c>
      <c r="S405">
        <f>IFERROR(L405*MAX(N405,1)/R405*IF(ISBLANK(K404),1,K404),0)</f>
        <v/>
      </c>
      <c r="AB405" s="7" t="inlineStr">
        <is>
          <t>^Warhead_CannonHE_Medium</t>
        </is>
      </c>
    </row>
    <row r="406">
      <c r="A406" t="inlineStr">
        <is>
          <t>redalert</t>
        </is>
      </c>
      <c r="B406" t="inlineStr">
        <is>
          <t>ra1_allies_sheridanassaulttank</t>
        </is>
      </c>
      <c r="C406" t="inlineStr">
        <is>
          <t>Sheridan Assault Tank</t>
        </is>
      </c>
      <c r="D406" s="6" t="inlineStr">
        <is>
          <t>LightTank</t>
        </is>
      </c>
      <c r="E406" s="6" t="n">
        <v>85000</v>
      </c>
      <c r="F406" s="6" t="n">
        <v>85</v>
      </c>
      <c r="G406" t="inlineStr">
        <is>
          <t>Medium</t>
        </is>
      </c>
      <c r="H406" s="6" t="n">
        <v>0.8919</v>
      </c>
      <c r="I406" s="6" t="n">
        <v>1</v>
      </c>
      <c r="J406" s="6" t="n">
        <v>1</v>
      </c>
      <c r="K406" t="n">
        <v>0.0025</v>
      </c>
      <c r="P406">
        <f>MAX(P407,P408,P409,P410,P411,P412)</f>
        <v/>
      </c>
      <c r="S406">
        <f>S407+S408+S409+S410+S411+S412</f>
        <v/>
      </c>
      <c r="T406">
        <f>(E406/100000+F406/100+(P406/1000)*J406/5+S406/200)*200*I406*H406</f>
        <v/>
      </c>
      <c r="U406">
        <f>((E406*F406/25000)+((P406/1000)*J406*S406/2.5))*I406*H406</f>
        <v/>
      </c>
      <c r="V406">
        <f>(E406*F406*(P406/1000)*J406*S406*I406*H406)/12500000</f>
        <v/>
      </c>
      <c r="W406">
        <f>IFERROR((((E406/100000)+(F406/125)+(S406/200)+((P406/5000)*J406))*400/4+(((E406/100000)*(F406/125))+(((P406/5000)*J406)*(S406/200)))*400/2+((E406/100000)*(F406/125)*((P406/5000)*J406)*(S406/200))*400)*(H406/1.0)/3,"")</f>
        <v/>
      </c>
      <c r="X406" s="6" t="n">
        <v>600</v>
      </c>
      <c r="Y406">
        <f>IFERROR(W406-X406,"")</f>
        <v/>
      </c>
      <c r="Z406">
        <f>IFERROR(ABS(Y406)/MAX(X406,1),"")</f>
        <v/>
      </c>
      <c r="AA406">
        <f>IFERROR(ROUND(((3*X406-(((E406/100000)+(F406/125)+(S406/200))*400/4+((E406/100000)*(F406/125))*400/2)*(H406/1.0))/(400/4+((S406/200))*400/2+((E406/100000)*(F406/125)*(S406/200))*400)*(H406/1.0)*5000)/J406,-1),"")</f>
        <v/>
      </c>
    </row>
    <row r="407">
      <c r="B407" s="7" t="inlineStr">
        <is>
          <t xml:space="preserve">  ↳ SheridanCannon</t>
        </is>
      </c>
      <c r="C407" s="7" t="inlineStr">
        <is>
          <t>Armament</t>
        </is>
      </c>
      <c r="L407" s="6" t="n">
        <v>16000</v>
      </c>
      <c r="M407" s="6" t="n">
        <v>64</v>
      </c>
      <c r="N407" s="6" t="n">
        <v>1</v>
      </c>
      <c r="O407" s="6" t="n"/>
      <c r="P407" s="6" t="n">
        <v>5023</v>
      </c>
      <c r="Q407" s="6" t="n">
        <v>0.875</v>
      </c>
      <c r="R407">
        <f>M407+IF(MAX(N407-1,0)&gt;0,IF(ISBLANK(O407),5*MAX(N407-1,0),IF(ISNUMBER(O407),O407*MAX(N407-1,0),SUM(IFERROR(VALUE(TEXTSPLIT(O407,",")),0)))),0)</f>
        <v/>
      </c>
      <c r="S407">
        <f>IFERROR(L407*MAX(N407,1)/R407*IF(ISBLANK(K406),1,K406),0)</f>
        <v/>
      </c>
      <c r="AB407" s="7" t="inlineStr">
        <is>
          <t>^Warhead_CannonAP_Light, ^Warhead_CannonHE_Medium</t>
        </is>
      </c>
    </row>
    <row r="408">
      <c r="B408" s="7" t="inlineStr">
        <is>
          <t xml:space="preserve">  ↳ SheridanMissiles</t>
        </is>
      </c>
      <c r="C408" s="7" t="inlineStr">
        <is>
          <t>Armament@Missile</t>
        </is>
      </c>
      <c r="L408" s="6" t="n">
        <v>16000</v>
      </c>
      <c r="M408" s="6" t="n">
        <v>64</v>
      </c>
      <c r="N408" s="6" t="n">
        <v>1</v>
      </c>
      <c r="O408" s="6" t="n"/>
      <c r="P408" s="6" t="n">
        <v>5023</v>
      </c>
      <c r="Q408" s="6" t="n">
        <v>0.875</v>
      </c>
      <c r="R408">
        <f>M408+IF(MAX(N408-1,0)&gt;0,IF(ISBLANK(O408),5*MAX(N408-1,0),IF(ISNUMBER(O408),O408*MAX(N408-1,0),SUM(IFERROR(VALUE(TEXTSPLIT(O408,",")),0)))),0)</f>
        <v/>
      </c>
      <c r="S408">
        <f>IFERROR(L408*MAX(N408,1)/R408*IF(ISBLANK(K406),1,K406),0)</f>
        <v/>
      </c>
      <c r="AB408" s="7" t="inlineStr">
        <is>
          <t>^Warhead_MissileHE_Medium, ^Warhead_MissileHE_Light</t>
        </is>
      </c>
    </row>
    <row r="409">
      <c r="B409" s="7" t="inlineStr">
        <is>
          <t xml:space="preserve">  ↳ SheridanMissilesCryo</t>
        </is>
      </c>
      <c r="C409" s="7" t="inlineStr">
        <is>
          <t>Armament@Upgrade</t>
        </is>
      </c>
      <c r="L409" s="6" t="n">
        <v>16000</v>
      </c>
      <c r="M409" s="6" t="n">
        <v>64</v>
      </c>
      <c r="N409" s="6" t="n">
        <v>1</v>
      </c>
      <c r="O409" s="6" t="n"/>
      <c r="P409" s="6" t="n">
        <v>5023</v>
      </c>
      <c r="Q409" s="6" t="n">
        <v>1</v>
      </c>
      <c r="R409">
        <f>M409+IF(MAX(N409-1,0)&gt;0,IF(ISBLANK(O409),5*MAX(N409-1,0),IF(ISNUMBER(O409),O409*MAX(N409-1,0),SUM(IFERROR(VALUE(TEXTSPLIT(O409,",")),0)))),0)</f>
        <v/>
      </c>
      <c r="S409">
        <f>IFERROR(L409*MAX(N409,1)/R409*IF(ISBLANK(K406),1,K406),0)</f>
        <v/>
      </c>
      <c r="AB409" s="7" t="inlineStr">
        <is>
          <t>^Warhead_MissileCryo_Medium</t>
        </is>
      </c>
    </row>
    <row r="410">
      <c r="B410" s="7" t="inlineStr">
        <is>
          <t xml:space="preserve">  ↳ SheridanVulcan</t>
        </is>
      </c>
      <c r="C410" s="7" t="inlineStr">
        <is>
          <t>Armament@MG</t>
        </is>
      </c>
      <c r="L410" s="6" t="n">
        <v>4000</v>
      </c>
      <c r="M410" s="6" t="n">
        <v>58</v>
      </c>
      <c r="N410" s="6" t="n">
        <v>4</v>
      </c>
      <c r="O410" s="6" t="n">
        <v>2</v>
      </c>
      <c r="P410" s="6" t="n">
        <v>5023</v>
      </c>
      <c r="Q410" s="6" t="n">
        <v>0.875</v>
      </c>
      <c r="R410">
        <f>M410+IF(MAX(N410-1,0)&gt;0,IF(ISBLANK(O410),5*MAX(N410-1,0),IF(ISNUMBER(O410),O410*MAX(N410-1,0),SUM(IFERROR(VALUE(TEXTSPLIT(O410,",")),0)))),0)</f>
        <v/>
      </c>
      <c r="S410">
        <f>IFERROR(L410*MAX(N410,1)/R410*IF(ISBLANK(K406),1,K406),0)</f>
        <v/>
      </c>
      <c r="AB410" s="7" t="inlineStr">
        <is>
          <t>^Warhead_Bullet_Light, ^Warhead_Bullet_Medium</t>
        </is>
      </c>
    </row>
    <row r="411">
      <c r="B411" s="7" t="inlineStr">
        <is>
          <t xml:space="preserve">  ↳ SheridanCannonCryo</t>
        </is>
      </c>
      <c r="C411" s="7" t="inlineStr">
        <is>
          <t>Armament@Cryo</t>
        </is>
      </c>
      <c r="L411" s="6" t="n">
        <v>16000</v>
      </c>
      <c r="M411" s="6" t="n">
        <v>64</v>
      </c>
      <c r="N411" s="6" t="n">
        <v>1</v>
      </c>
      <c r="O411" s="6" t="n"/>
      <c r="P411" s="6" t="n">
        <v>5023</v>
      </c>
      <c r="Q411" s="6" t="n">
        <v>1</v>
      </c>
      <c r="R411">
        <f>M411+IF(MAX(N411-1,0)&gt;0,IF(ISBLANK(O411),5*MAX(N411-1,0),IF(ISNUMBER(O411),O411*MAX(N411-1,0),SUM(IFERROR(VALUE(TEXTSPLIT(O411,",")),0)))),0)</f>
        <v/>
      </c>
      <c r="S411">
        <f>IFERROR(L411*MAX(N411,1)/R411*IF(ISBLANK(K406),1,K406),0)</f>
        <v/>
      </c>
      <c r="AB411" s="7" t="inlineStr">
        <is>
          <t>^Warhead_CannonCryo_Medium</t>
        </is>
      </c>
    </row>
    <row r="412">
      <c r="B412" s="7" t="inlineStr">
        <is>
          <t xml:space="preserve">  ↳ SheridanVulcanCryo</t>
        </is>
      </c>
      <c r="C412" s="7" t="inlineStr">
        <is>
          <t>Armament@MGCryo</t>
        </is>
      </c>
      <c r="L412" s="6" t="n">
        <v>4000</v>
      </c>
      <c r="M412" s="6" t="n">
        <v>58</v>
      </c>
      <c r="N412" s="6" t="n">
        <v>4</v>
      </c>
      <c r="O412" s="6" t="n">
        <v>2</v>
      </c>
      <c r="P412" s="6" t="n">
        <v>5023</v>
      </c>
      <c r="Q412" s="6" t="n">
        <v>1</v>
      </c>
      <c r="R412">
        <f>M412+IF(MAX(N412-1,0)&gt;0,IF(ISBLANK(O412),5*MAX(N412-1,0),IF(ISNUMBER(O412),O412*MAX(N412-1,0),SUM(IFERROR(VALUE(TEXTSPLIT(O412,",")),0)))),0)</f>
        <v/>
      </c>
      <c r="S412">
        <f>IFERROR(L412*MAX(N412,1)/R412*IF(ISBLANK(K406),1,K406),0)</f>
        <v/>
      </c>
      <c r="AB412" s="7" t="inlineStr">
        <is>
          <t>^Warhead_BulletCryo_Medium</t>
        </is>
      </c>
    </row>
    <row r="413">
      <c r="A413" t="inlineStr">
        <is>
          <t>tiberiansun</t>
        </is>
      </c>
      <c r="B413" t="inlineStr">
        <is>
          <t>cabal_ravager</t>
        </is>
      </c>
      <c r="C413" t="inlineStr">
        <is>
          <t>Ravager</t>
        </is>
      </c>
      <c r="D413" s="6" t="inlineStr">
        <is>
          <t>LightTank</t>
        </is>
      </c>
      <c r="E413" s="6" t="n">
        <v>70000</v>
      </c>
      <c r="F413" s="6" t="n">
        <v>130</v>
      </c>
      <c r="G413" t="inlineStr">
        <is>
          <t>Plate</t>
        </is>
      </c>
      <c r="H413" s="6" t="n">
        <v>1</v>
      </c>
      <c r="I413" s="6" t="n">
        <v>0.8</v>
      </c>
      <c r="J413" s="6" t="n">
        <v>1</v>
      </c>
      <c r="P413">
        <f>MAX(P414,P415)</f>
        <v/>
      </c>
      <c r="S413">
        <f>S414+S415</f>
        <v/>
      </c>
      <c r="T413">
        <f>(E413/100000+F413/100+(P413/1000)*J413/5+S413/200)*200*I413*H413</f>
        <v/>
      </c>
      <c r="U413">
        <f>((E413*F413/25000)+((P413/1000)*J413*S413/2.5))*I413*H413</f>
        <v/>
      </c>
      <c r="V413">
        <f>(E413*F413*(P413/1000)*J413*S413*I413*H413)/12500000</f>
        <v/>
      </c>
      <c r="W413">
        <f>IFERROR((((E413/100000)+(F413/125)+(S413/200)+((P413/5000)*J413))*400/4+(((E413/100000)*(F413/125))+(((P413/5000)*J413)*(S413/200)))*400/2+((E413/100000)*(F413/125)*((P413/5000)*J413)*(S413/200))*400)*(H413/1.0)/3,"")</f>
        <v/>
      </c>
      <c r="X413" s="6" t="n">
        <v>1500</v>
      </c>
      <c r="Y413">
        <f>IFERROR(W413-X413,"")</f>
        <v/>
      </c>
      <c r="Z413">
        <f>IFERROR(ABS(Y413)/MAX(X413,1),"")</f>
        <v/>
      </c>
      <c r="AA413">
        <f>IFERROR(ROUND(((3*X413-(((E413/100000)+(F413/125)+(S413/200))*400/4+((E413/100000)*(F413/125))*400/2)*(H413/1.0))/(400/4+((S413/200))*400/2+((E413/100000)*(F413/125)*(S413/200))*400)*(H413/1.0)*5000)/J413,-1),"")</f>
        <v/>
      </c>
    </row>
    <row r="414">
      <c r="B414" s="7" t="inlineStr">
        <is>
          <t xml:space="preserve">  ↳ CabalRavagerPlasma</t>
        </is>
      </c>
      <c r="C414" s="7" t="inlineStr">
        <is>
          <t>Armament@PRIMARY</t>
        </is>
      </c>
      <c r="L414" s="6" t="n">
        <v>32000</v>
      </c>
      <c r="M414" s="6" t="n">
        <v>30</v>
      </c>
      <c r="N414" s="6" t="n">
        <v>1</v>
      </c>
      <c r="O414" s="6" t="n"/>
      <c r="P414" s="6" t="n">
        <v>3000</v>
      </c>
      <c r="Q414" s="6" t="n">
        <v>1</v>
      </c>
      <c r="R414">
        <f>M414+IF(MAX(N414-1,0)&gt;0,IF(ISBLANK(O414),5*MAX(N414-1,0),IF(ISNUMBER(O414),O414*MAX(N414-1,0),SUM(IFERROR(VALUE(TEXTSPLIT(O414,",")),0)))),0)</f>
        <v/>
      </c>
      <c r="S414">
        <f>IFERROR(L414*MAX(N414,1)/R414*IF(ISBLANK(K413),1,K413),0)</f>
        <v/>
      </c>
      <c r="AB414" s="7" t="inlineStr">
        <is>
          <t>^Warhead_Chemical_Medium</t>
        </is>
      </c>
    </row>
    <row r="415">
      <c r="B415" s="7" t="inlineStr">
        <is>
          <t xml:space="preserve">  ↳ CabalRavagerPlasmaNeutron</t>
        </is>
      </c>
      <c r="C415" s="7" t="inlineStr">
        <is>
          <t>Armament@Upgraded</t>
        </is>
      </c>
      <c r="L415" s="6" t="n">
        <v>32000</v>
      </c>
      <c r="M415" s="6" t="n">
        <v>30</v>
      </c>
      <c r="N415" s="6" t="n">
        <v>1</v>
      </c>
      <c r="O415" s="6" t="n"/>
      <c r="P415" s="6" t="n">
        <v>3000</v>
      </c>
      <c r="Q415" s="6" t="n">
        <v>1</v>
      </c>
      <c r="R415">
        <f>M415+IF(MAX(N415-1,0)&gt;0,IF(ISBLANK(O415),5*MAX(N415-1,0),IF(ISNUMBER(O415),O415*MAX(N415-1,0),SUM(IFERROR(VALUE(TEXTSPLIT(O415,",")),0)))),0)</f>
        <v/>
      </c>
      <c r="S415">
        <f>IFERROR(L415*MAX(N415,1)/R415*IF(ISBLANK(K413),1,K413),0)</f>
        <v/>
      </c>
      <c r="AB415" s="7" t="inlineStr">
        <is>
          <t>^Warhead_Chemical_Medium</t>
        </is>
      </c>
    </row>
    <row r="416">
      <c r="A416" t="inlineStr">
        <is>
          <t>redalert2</t>
        </is>
      </c>
      <c r="B416" t="inlineStr">
        <is>
          <t>yuri_lashertank</t>
        </is>
      </c>
      <c r="C416" t="inlineStr">
        <is>
          <t>Lasher Tank</t>
        </is>
      </c>
      <c r="D416" s="6" t="inlineStr">
        <is>
          <t>LightTank</t>
        </is>
      </c>
      <c r="E416" s="6" t="n">
        <v>70000</v>
      </c>
      <c r="F416" s="6" t="n">
        <v>105</v>
      </c>
      <c r="G416" t="inlineStr">
        <is>
          <t>Medium</t>
        </is>
      </c>
      <c r="H416" s="6" t="n">
        <v>1</v>
      </c>
      <c r="I416" s="6" t="n">
        <v>1</v>
      </c>
      <c r="J416" s="6" t="n">
        <v>1</v>
      </c>
      <c r="P416">
        <f>MAX(P417,P418,P419,P420,P421,P422)</f>
        <v/>
      </c>
      <c r="S416">
        <f>S417+S418+S419+S420+S421+S422</f>
        <v/>
      </c>
      <c r="T416">
        <f>(E416/100000+F416/100+(P416/1000)*J416/5+S416/200)*200*I416*H416</f>
        <v/>
      </c>
      <c r="U416">
        <f>((E416*F416/25000)+((P416/1000)*J416*S416/2.5))*I416*H416</f>
        <v/>
      </c>
      <c r="V416">
        <f>(E416*F416*(P416/1000)*J416*S416*I416*H416)/12500000</f>
        <v/>
      </c>
      <c r="W416">
        <f>IFERROR((((E416/100000)+(F416/125)+(S416/200)+((P416/5000)*J416))*400/4+(((E416/100000)*(F416/125))+(((P416/5000)*J416)*(S416/200)))*400/2+((E416/100000)*(F416/125)*((P416/5000)*J416)*(S416/200))*400)*(H416/1.0)/3,"")</f>
        <v/>
      </c>
      <c r="X416" s="6" t="n">
        <v>600</v>
      </c>
      <c r="Y416">
        <f>IFERROR(W416-X416,"")</f>
        <v/>
      </c>
      <c r="Z416">
        <f>IFERROR(ABS(Y416)/MAX(X416,1),"")</f>
        <v/>
      </c>
      <c r="AA416">
        <f>IFERROR(ROUND(((3*X416-(((E416/100000)+(F416/125)+(S416/200))*400/4+((E416/100000)*(F416/125))*400/2)*(H416/1.0))/(400/4+((S416/200))*400/2+((E416/100000)*(F416/125)*(S416/200))*400)*(H416/1.0)*5000)/J416,-1),"")</f>
        <v/>
      </c>
    </row>
    <row r="417">
      <c r="B417" s="7" t="inlineStr">
        <is>
          <t xml:space="preserve">  ↳ RA2LasherCannon</t>
        </is>
      </c>
      <c r="C417" s="7" t="inlineStr">
        <is>
          <t>Armament@PRIMARY</t>
        </is>
      </c>
      <c r="L417" s="6" t="n">
        <v>12000</v>
      </c>
      <c r="M417" s="6" t="n">
        <v>68</v>
      </c>
      <c r="N417" s="6" t="n">
        <v>1</v>
      </c>
      <c r="O417" s="6" t="n"/>
      <c r="P417" s="6" t="n">
        <v>5201</v>
      </c>
      <c r="Q417" s="6" t="n">
        <v>1</v>
      </c>
      <c r="R417">
        <f>M417+IF(MAX(N417-1,0)&gt;0,IF(ISBLANK(O417),5*MAX(N417-1,0),IF(ISNUMBER(O417),O417*MAX(N417-1,0),SUM(IFERROR(VALUE(TEXTSPLIT(O417,",")),0)))),0)</f>
        <v/>
      </c>
      <c r="S417">
        <f>IFERROR(L417*MAX(N417,1)/R417*IF(ISBLANK(K416),1,K416),0)</f>
        <v/>
      </c>
      <c r="AB417" s="7" t="inlineStr">
        <is>
          <t>^Warhead_CannonHE_Medium</t>
        </is>
      </c>
    </row>
    <row r="418">
      <c r="B418" s="7" t="inlineStr">
        <is>
          <t xml:space="preserve">  ↳ RA2LasherCannon_elite</t>
        </is>
      </c>
      <c r="C418" s="7" t="inlineStr">
        <is>
          <t>Armament@ELITE</t>
        </is>
      </c>
      <c r="L418" s="6" t="n">
        <v>12000</v>
      </c>
      <c r="M418" s="6" t="n">
        <v>68</v>
      </c>
      <c r="N418" s="6" t="n">
        <v>2</v>
      </c>
      <c r="O418" s="6" t="n">
        <v>3</v>
      </c>
      <c r="P418" s="6" t="n">
        <v>6201</v>
      </c>
      <c r="Q418" s="6" t="n">
        <v>1</v>
      </c>
      <c r="R418">
        <f>M418+IF(MAX(N418-1,0)&gt;0,IF(ISBLANK(O418),5*MAX(N418-1,0),IF(ISNUMBER(O418),O418*MAX(N418-1,0),SUM(IFERROR(VALUE(TEXTSPLIT(O418,",")),0)))),0)</f>
        <v/>
      </c>
      <c r="S418">
        <f>IFERROR(L418*MAX(N418,1)/R418*IF(ISBLANK(K416),1,K416),0)</f>
        <v/>
      </c>
      <c r="AB418" s="7" t="inlineStr">
        <is>
          <t>^Warhead_CannonHE_Medium</t>
        </is>
      </c>
    </row>
    <row r="419">
      <c r="B419" s="7" t="inlineStr">
        <is>
          <t xml:space="preserve">  ↳ RA2LasherToxicMortar</t>
        </is>
      </c>
      <c r="C419" s="7" t="inlineStr">
        <is>
          <t>Armament@Toxic</t>
        </is>
      </c>
      <c r="L419" s="6" t="n">
        <v>18000</v>
      </c>
      <c r="M419" s="6" t="n">
        <v>105</v>
      </c>
      <c r="N419" s="6" t="n">
        <v>1</v>
      </c>
      <c r="O419" s="6" t="n"/>
      <c r="P419" s="6" t="n">
        <v>9000</v>
      </c>
      <c r="Q419" s="6" t="n">
        <v>1</v>
      </c>
      <c r="R419">
        <f>M419+IF(MAX(N419-1,0)&gt;0,IF(ISBLANK(O419),5*MAX(N419-1,0),IF(ISNUMBER(O419),O419*MAX(N419-1,0),SUM(IFERROR(VALUE(TEXTSPLIT(O419,",")),0)))),0)</f>
        <v/>
      </c>
      <c r="S419">
        <f>IFERROR(L419*MAX(N419,1)/R419*IF(ISBLANK(K416),1,K416),0)</f>
        <v/>
      </c>
      <c r="AB419" s="7" t="inlineStr">
        <is>
          <t>^Grenade, ^ShrapnelWeapon, ^HeavyBomb, ^LightChemicalWeapon, ^MediumChemicalWeapon, ^HeavyChemicalWeapon, ^TankDestroyerCannon, ^MediumCannon, ^HeavyCannon</t>
        </is>
      </c>
    </row>
    <row r="420">
      <c r="B420" s="7" t="inlineStr">
        <is>
          <t xml:space="preserve">  ↳ RA2LasherToxicMortar_elite</t>
        </is>
      </c>
      <c r="C420" s="7" t="inlineStr">
        <is>
          <t>Armament@ToxicELITE</t>
        </is>
      </c>
      <c r="L420" s="6" t="n">
        <v>42000</v>
      </c>
      <c r="M420" s="6" t="n">
        <v>105</v>
      </c>
      <c r="N420" s="6" t="n">
        <v>1</v>
      </c>
      <c r="O420" s="6" t="n"/>
      <c r="P420" s="6" t="n">
        <v>10000</v>
      </c>
      <c r="Q420" s="6" t="n">
        <v>1</v>
      </c>
      <c r="R420">
        <f>M420+IF(MAX(N420-1,0)&gt;0,IF(ISBLANK(O420),5*MAX(N420-1,0),IF(ISNUMBER(O420),O420*MAX(N420-1,0),SUM(IFERROR(VALUE(TEXTSPLIT(O420,",")),0)))),0)</f>
        <v/>
      </c>
      <c r="S420">
        <f>IFERROR(L420*MAX(N420,1)/R420*IF(ISBLANK(K416),1,K416),0)</f>
        <v/>
      </c>
      <c r="AB420" s="7" t="inlineStr">
        <is>
          <t>RA2LasherToxicMortar</t>
        </is>
      </c>
    </row>
    <row r="421">
      <c r="B421" s="7" t="inlineStr">
        <is>
          <t xml:space="preserve">  ↳ RA2LasherLaser</t>
        </is>
      </c>
      <c r="C421" s="7" t="inlineStr">
        <is>
          <t>Armament@Laser</t>
        </is>
      </c>
      <c r="L421" s="6" t="n">
        <v>16000</v>
      </c>
      <c r="M421" s="6" t="n">
        <v>81</v>
      </c>
      <c r="N421" s="6" t="n">
        <v>1</v>
      </c>
      <c r="O421" s="6" t="n"/>
      <c r="P421" s="6" t="n">
        <v>7065</v>
      </c>
      <c r="Q421" s="6" t="n">
        <v>1.125</v>
      </c>
      <c r="R421">
        <f>M421+IF(MAX(N421-1,0)&gt;0,IF(ISBLANK(O421),5*MAX(N421-1,0),IF(ISNUMBER(O421),O421*MAX(N421-1,0),SUM(IFERROR(VALUE(TEXTSPLIT(O421,",")),0)))),0)</f>
        <v/>
      </c>
      <c r="S421">
        <f>IFERROR(L421*MAX(N421,1)/R421*IF(ISBLANK(K416),1,K416),0)</f>
        <v/>
      </c>
      <c r="AB421" s="7" t="inlineStr">
        <is>
          <t>^Warhead_CannonHE_Medium, ^Warhead_Laser_Heavy</t>
        </is>
      </c>
    </row>
    <row r="422">
      <c r="B422" s="7" t="inlineStr">
        <is>
          <t xml:space="preserve">  ↳ RA2LasherLaser_elite</t>
        </is>
      </c>
      <c r="C422" s="7" t="inlineStr">
        <is>
          <t>Armament@LaserELITE</t>
        </is>
      </c>
      <c r="L422" s="6" t="n">
        <v>40000</v>
      </c>
      <c r="M422" s="6" t="n">
        <v>81</v>
      </c>
      <c r="N422" s="6" t="n">
        <v>1</v>
      </c>
      <c r="O422" s="6" t="n"/>
      <c r="P422" s="6" t="n">
        <v>8065</v>
      </c>
      <c r="Q422" s="6" t="n">
        <v>1.125</v>
      </c>
      <c r="R422">
        <f>M422+IF(MAX(N422-1,0)&gt;0,IF(ISBLANK(O422),5*MAX(N422-1,0),IF(ISNUMBER(O422),O422*MAX(N422-1,0),SUM(IFERROR(VALUE(TEXTSPLIT(O422,",")),0)))),0)</f>
        <v/>
      </c>
      <c r="S422">
        <f>IFERROR(L422*MAX(N422,1)/R422*IF(ISBLANK(K416),1,K416),0)</f>
        <v/>
      </c>
      <c r="AB422" s="7" t="inlineStr">
        <is>
          <t>^Warhead_CannonHE_Medium, ^Warhead_Laser_Heavy</t>
        </is>
      </c>
    </row>
    <row r="423">
      <c r="A423" t="inlineStr">
        <is>
          <t>redalert2mod</t>
        </is>
      </c>
      <c r="B423" t="inlineStr">
        <is>
          <t>asianalliance_quasar</t>
        </is>
      </c>
      <c r="C423" t="inlineStr">
        <is>
          <t>Quasar</t>
        </is>
      </c>
      <c r="D423" s="6" t="inlineStr">
        <is>
          <t>LightTank</t>
        </is>
      </c>
      <c r="E423" s="6" t="n">
        <v>55000</v>
      </c>
      <c r="F423" s="6" t="n">
        <v>125</v>
      </c>
      <c r="G423" t="inlineStr">
        <is>
          <t>Medium</t>
        </is>
      </c>
      <c r="H423" s="6" t="n">
        <v>1</v>
      </c>
      <c r="I423" s="6" t="n">
        <v>1</v>
      </c>
      <c r="J423" s="6" t="n">
        <v>1</v>
      </c>
      <c r="P423">
        <f>MAX(P424,P425,P426,P427)</f>
        <v/>
      </c>
      <c r="S423">
        <f>S424+S425+S426+S427</f>
        <v/>
      </c>
      <c r="T423">
        <f>(E423/100000+F423/100+(P423/1000)*J423/5+S423/200)*200*I423*H423</f>
        <v/>
      </c>
      <c r="U423">
        <f>((E423*F423/25000)+((P423/1000)*J423*S423/2.5))*I423*H423</f>
        <v/>
      </c>
      <c r="V423">
        <f>(E423*F423*(P423/1000)*J423*S423*I423*H423)/12500000</f>
        <v/>
      </c>
      <c r="W423">
        <f>IFERROR((((E423/100000)+(F423/125)+(S423/200)+((P423/5000)*J423))*400/4+(((E423/100000)*(F423/125))+(((P423/5000)*J423)*(S423/200)))*400/2+((E423/100000)*(F423/125)*((P423/5000)*J423)*(S423/200))*400)*(H423/1.0)/3,"")</f>
        <v/>
      </c>
      <c r="X423" s="6" t="n">
        <v>900</v>
      </c>
      <c r="Y423">
        <f>IFERROR(W423-X423,"")</f>
        <v/>
      </c>
      <c r="Z423">
        <f>IFERROR(ABS(Y423)/MAX(X423,1),"")</f>
        <v/>
      </c>
      <c r="AA423">
        <f>IFERROR(ROUND(((3*X423-(((E423/100000)+(F423/125)+(S423/200))*400/4+((E423/100000)*(F423/125))*400/2)*(H423/1.0))/(400/4+((S423/200))*400/2+((E423/100000)*(F423/125)*(S423/200))*400)*(H423/1.0)*5000)/J423,-1),"")</f>
        <v/>
      </c>
    </row>
    <row r="424">
      <c r="B424" s="7" t="inlineStr">
        <is>
          <t xml:space="preserve">  ↳ AsianQuasarAG</t>
        </is>
      </c>
      <c r="C424" s="7" t="inlineStr">
        <is>
          <t>Armament@AG</t>
        </is>
      </c>
      <c r="L424" s="6" t="n">
        <v>8000</v>
      </c>
      <c r="M424" s="6" t="n">
        <v>33</v>
      </c>
      <c r="N424" s="6" t="n">
        <v>1</v>
      </c>
      <c r="O424" s="6" t="n"/>
      <c r="P424" s="6" t="n">
        <v>6000</v>
      </c>
      <c r="Q424" s="6" t="n">
        <v>1</v>
      </c>
      <c r="R424">
        <f>M424+IF(MAX(N424-1,0)&gt;0,IF(ISBLANK(O424),5*MAX(N424-1,0),IF(ISNUMBER(O424),O424*MAX(N424-1,0),SUM(IFERROR(VALUE(TEXTSPLIT(O424,",")),0)))),0)</f>
        <v/>
      </c>
      <c r="S424">
        <f>IFERROR(L424*MAX(N424,1)/R424*IF(ISBLANK(K423),1,K423),0)</f>
        <v/>
      </c>
      <c r="AB424" s="7" t="inlineStr">
        <is>
          <t>AsianPhotonCannon</t>
        </is>
      </c>
    </row>
    <row r="425">
      <c r="B425" s="7" t="inlineStr">
        <is>
          <t xml:space="preserve">  ↳ AsianQuasarAG_EMP</t>
        </is>
      </c>
      <c r="C425" s="7" t="inlineStr">
        <is>
          <t>Armament@UpgradeAG</t>
        </is>
      </c>
      <c r="L425" s="6" t="n">
        <v>8000</v>
      </c>
      <c r="M425" s="6" t="n">
        <v>33</v>
      </c>
      <c r="N425" s="6" t="n">
        <v>1</v>
      </c>
      <c r="O425" s="6" t="n"/>
      <c r="P425" s="6" t="n">
        <v>6000</v>
      </c>
      <c r="Q425" s="6" t="n">
        <v>1</v>
      </c>
      <c r="R425">
        <f>M425+IF(MAX(N425-1,0)&gt;0,IF(ISBLANK(O425),5*MAX(N425-1,0),IF(ISNUMBER(O425),O425*MAX(N425-1,0),SUM(IFERROR(VALUE(TEXTSPLIT(O425,",")),0)))),0)</f>
        <v/>
      </c>
      <c r="S425">
        <f>IFERROR(L425*MAX(N425,1)/R425*IF(ISBLANK(K423),1,K423),0)</f>
        <v/>
      </c>
      <c r="AB425" s="7" t="inlineStr">
        <is>
          <t>AsianQuasarAG</t>
        </is>
      </c>
    </row>
    <row r="426">
      <c r="B426" s="7" t="inlineStr">
        <is>
          <t xml:space="preserve">  ↳ AsianQuasar_AA</t>
        </is>
      </c>
      <c r="C426" s="7" t="inlineStr">
        <is>
          <t>Armament@AA</t>
        </is>
      </c>
      <c r="L426" s="6" t="n">
        <v>8000</v>
      </c>
      <c r="M426" s="6" t="n">
        <v>33</v>
      </c>
      <c r="N426" s="6" t="n">
        <v>1</v>
      </c>
      <c r="O426" s="6" t="n"/>
      <c r="P426" s="6" t="n">
        <v>9000</v>
      </c>
      <c r="Q426" s="6" t="n">
        <v>1</v>
      </c>
      <c r="R426">
        <f>M426+IF(MAX(N426-1,0)&gt;0,IF(ISBLANK(O426),5*MAX(N426-1,0),IF(ISNUMBER(O426),O426*MAX(N426-1,0),SUM(IFERROR(VALUE(TEXTSPLIT(O426,",")),0)))),0)</f>
        <v/>
      </c>
      <c r="S426">
        <f>IFERROR(L426*MAX(N426,1)/R426*IF(ISBLANK(K423),1,K423),0)</f>
        <v/>
      </c>
      <c r="AB426" s="7" t="inlineStr">
        <is>
          <t>AsianPhotonCannon</t>
        </is>
      </c>
    </row>
    <row r="427">
      <c r="B427" s="7" t="inlineStr">
        <is>
          <t xml:space="preserve">  ↳ AsianQuasar_EMP_AA</t>
        </is>
      </c>
      <c r="C427" s="7" t="inlineStr">
        <is>
          <t>Armament@UpgradeAA</t>
        </is>
      </c>
      <c r="L427" s="6" t="n">
        <v>8000</v>
      </c>
      <c r="M427" s="6" t="n">
        <v>33</v>
      </c>
      <c r="N427" s="6" t="n">
        <v>1</v>
      </c>
      <c r="O427" s="6" t="n"/>
      <c r="P427" s="6" t="n">
        <v>9000</v>
      </c>
      <c r="Q427" s="6" t="n">
        <v>1</v>
      </c>
      <c r="R427">
        <f>M427+IF(MAX(N427-1,0)&gt;0,IF(ISBLANK(O427),5*MAX(N427-1,0),IF(ISNUMBER(O427),O427*MAX(N427-1,0),SUM(IFERROR(VALUE(TEXTSPLIT(O427,",")),0)))),0)</f>
        <v/>
      </c>
      <c r="S427">
        <f>IFERROR(L427*MAX(N427,1)/R427*IF(ISBLANK(K423),1,K423),0)</f>
        <v/>
      </c>
      <c r="AB427" s="7" t="inlineStr">
        <is>
          <t>AsianQuasar_AA</t>
        </is>
      </c>
    </row>
    <row r="428">
      <c r="A428" t="inlineStr">
        <is>
          <t>redalert2mod</t>
        </is>
      </c>
      <c r="B428" t="inlineStr">
        <is>
          <t>steelconsortium_manta</t>
        </is>
      </c>
      <c r="C428" t="inlineStr">
        <is>
          <t>Manta</t>
        </is>
      </c>
      <c r="D428" s="6" t="inlineStr">
        <is>
          <t>LightTank</t>
        </is>
      </c>
      <c r="E428" s="6" t="n">
        <v>55000</v>
      </c>
      <c r="F428" s="6" t="n">
        <v>115</v>
      </c>
      <c r="G428" t="inlineStr">
        <is>
          <t>Medium</t>
        </is>
      </c>
      <c r="H428" s="6" t="n">
        <v>1</v>
      </c>
      <c r="I428" s="6" t="n">
        <v>1</v>
      </c>
      <c r="J428" s="6" t="n">
        <v>1</v>
      </c>
      <c r="K428" t="n">
        <v>0.005</v>
      </c>
      <c r="P428">
        <f>MAX(P429,P430,P431,P432,P433,P434,P435,P436)</f>
        <v/>
      </c>
      <c r="S428">
        <f>S429+S430+S431+S432+S433+S434+S435+S436</f>
        <v/>
      </c>
      <c r="T428">
        <f>(E428/100000+F428/100+(P428/1000)*J428/5+S428/200)*200*I428*H428</f>
        <v/>
      </c>
      <c r="U428">
        <f>((E428*F428/25000)+((P428/1000)*J428*S428/2.5))*I428*H428</f>
        <v/>
      </c>
      <c r="V428">
        <f>(E428*F428*(P428/1000)*J428*S428*I428*H428)/12500000</f>
        <v/>
      </c>
      <c r="W428">
        <f>IFERROR((((E428/100000)+(F428/125)+(S428/200)+((P428/5000)*J428))*400/4+(((E428/100000)*(F428/125))+(((P428/5000)*J428)*(S428/200)))*400/2+((E428/100000)*(F428/125)*((P428/5000)*J428)*(S428/200))*400)*(H428/1.0)/3,"")</f>
        <v/>
      </c>
      <c r="X428" s="6" t="n">
        <v>850</v>
      </c>
      <c r="Y428">
        <f>IFERROR(W428-X428,"")</f>
        <v/>
      </c>
      <c r="Z428">
        <f>IFERROR(ABS(Y428)/MAX(X428,1),"")</f>
        <v/>
      </c>
      <c r="AA428">
        <f>IFERROR(ROUND(((3*X428-(((E428/100000)+(F428/125)+(S428/200))*400/4+((E428/100000)*(F428/125))*400/2)*(H428/1.0))/(400/4+((S428/200))*400/2+((E428/100000)*(F428/125)*(S428/200))*400)*(H428/1.0)*5000)/J428,-1),"")</f>
        <v/>
      </c>
    </row>
    <row r="429">
      <c r="B429" s="7" t="inlineStr">
        <is>
          <t xml:space="preserve">  ↳ SteelMantaAG</t>
        </is>
      </c>
      <c r="C429" s="7" t="inlineStr">
        <is>
          <t>Armament@AG1</t>
        </is>
      </c>
      <c r="L429" s="6" t="n">
        <v>8000</v>
      </c>
      <c r="M429" s="6" t="n">
        <v>20</v>
      </c>
      <c r="N429" s="6" t="n">
        <v>1</v>
      </c>
      <c r="O429" s="6" t="n"/>
      <c r="P429" s="6" t="n">
        <v>6666</v>
      </c>
      <c r="Q429" s="6" t="n">
        <v>1</v>
      </c>
      <c r="R429">
        <f>M429+IF(MAX(N429-1,0)&gt;0,IF(ISBLANK(O429),5*MAX(N429-1,0),IF(ISNUMBER(O429),O429*MAX(N429-1,0),SUM(IFERROR(VALUE(TEXTSPLIT(O429,",")),0)))),0)</f>
        <v/>
      </c>
      <c r="S429">
        <f>IFERROR(L429*MAX(N429,1)/R429*IF(ISBLANK(K428),1,K428),0)</f>
        <v/>
      </c>
      <c r="AB429" s="7" t="inlineStr">
        <is>
          <t>^Warhead_MissileAP_Light, ^Warhead_Bullet_Light, ^Warhead_Flak_Medium, ^Warhead_Bullet_Medium</t>
        </is>
      </c>
    </row>
    <row r="430">
      <c r="B430" s="7" t="inlineStr">
        <is>
          <t xml:space="preserve">  ↳ SteelMantaAG</t>
        </is>
      </c>
      <c r="C430" s="7" t="inlineStr">
        <is>
          <t>Armament@AG2</t>
        </is>
      </c>
      <c r="L430" s="6" t="n">
        <v>8000</v>
      </c>
      <c r="M430" s="6" t="n">
        <v>20</v>
      </c>
      <c r="N430" s="6" t="n">
        <v>1</v>
      </c>
      <c r="O430" s="6" t="n"/>
      <c r="P430" s="6" t="n">
        <v>6666</v>
      </c>
      <c r="Q430" s="6" t="n">
        <v>1</v>
      </c>
      <c r="R430">
        <f>M430+IF(MAX(N430-1,0)&gt;0,IF(ISBLANK(O430),5*MAX(N430-1,0),IF(ISNUMBER(O430),O430*MAX(N430-1,0),SUM(IFERROR(VALUE(TEXTSPLIT(O430,",")),0)))),0)</f>
        <v/>
      </c>
      <c r="S430">
        <f>IFERROR(L430*MAX(N430,1)/R430*IF(ISBLANK(K428),1,K428),0)</f>
        <v/>
      </c>
      <c r="AB430" s="7" t="inlineStr">
        <is>
          <t>^Warhead_MissileAP_Light, ^Warhead_Bullet_Light, ^Warhead_Flak_Medium, ^Warhead_Bullet_Medium</t>
        </is>
      </c>
    </row>
    <row r="431">
      <c r="B431" s="7" t="inlineStr">
        <is>
          <t xml:space="preserve">  ↳ SteelManta_AA</t>
        </is>
      </c>
      <c r="C431" s="7" t="inlineStr">
        <is>
          <t>Armament@AA1</t>
        </is>
      </c>
      <c r="L431" s="6" t="n">
        <v>8000</v>
      </c>
      <c r="M431" s="6" t="n">
        <v>20</v>
      </c>
      <c r="N431" s="6" t="n">
        <v>1</v>
      </c>
      <c r="O431" s="6" t="n"/>
      <c r="P431" s="6" t="n">
        <v>9999</v>
      </c>
      <c r="Q431" s="6" t="n">
        <v>1</v>
      </c>
      <c r="R431">
        <f>M431+IF(MAX(N431-1,0)&gt;0,IF(ISBLANK(O431),5*MAX(N431-1,0),IF(ISNUMBER(O431),O431*MAX(N431-1,0),SUM(IFERROR(VALUE(TEXTSPLIT(O431,",")),0)))),0)</f>
        <v/>
      </c>
      <c r="S431">
        <f>IFERROR(L431*MAX(N431,1)/R431*IF(ISBLANK(K428),1,K428),0)</f>
        <v/>
      </c>
      <c r="AB431" s="7" t="inlineStr">
        <is>
          <t>^Warhead_MissileAP_Light, ^Warhead_Bullet_Light, ^Warhead_Flak_Medium, ^Warhead_Bullet_Medium</t>
        </is>
      </c>
    </row>
    <row r="432">
      <c r="B432" s="7" t="inlineStr">
        <is>
          <t xml:space="preserve">  ↳ SteelManta_AA</t>
        </is>
      </c>
      <c r="C432" s="7" t="inlineStr">
        <is>
          <t>Armament@AA2</t>
        </is>
      </c>
      <c r="L432" s="6" t="n">
        <v>8000</v>
      </c>
      <c r="M432" s="6" t="n">
        <v>20</v>
      </c>
      <c r="N432" s="6" t="n">
        <v>1</v>
      </c>
      <c r="O432" s="6" t="n"/>
      <c r="P432" s="6" t="n">
        <v>9999</v>
      </c>
      <c r="Q432" s="6" t="n">
        <v>1</v>
      </c>
      <c r="R432">
        <f>M432+IF(MAX(N432-1,0)&gt;0,IF(ISBLANK(O432),5*MAX(N432-1,0),IF(ISNUMBER(O432),O432*MAX(N432-1,0),SUM(IFERROR(VALUE(TEXTSPLIT(O432,",")),0)))),0)</f>
        <v/>
      </c>
      <c r="S432">
        <f>IFERROR(L432*MAX(N432,1)/R432*IF(ISBLANK(K428),1,K428),0)</f>
        <v/>
      </c>
      <c r="AB432" s="7" t="inlineStr">
        <is>
          <t>^Warhead_MissileAP_Light, ^Warhead_Bullet_Light, ^Warhead_Flak_Medium, ^Warhead_Bullet_Medium</t>
        </is>
      </c>
    </row>
    <row r="433">
      <c r="B433" s="7" t="inlineStr">
        <is>
          <t xml:space="preserve">  ↳ SteelMantaAGResonance</t>
        </is>
      </c>
      <c r="C433" s="7" t="inlineStr">
        <is>
          <t>Armament@UpgradeAG1</t>
        </is>
      </c>
      <c r="L433" s="6" t="n">
        <v>8000</v>
      </c>
      <c r="M433" s="6" t="n">
        <v>20</v>
      </c>
      <c r="N433" s="6" t="n">
        <v>1</v>
      </c>
      <c r="O433" s="6" t="n"/>
      <c r="P433" s="6" t="n">
        <v>6666</v>
      </c>
      <c r="Q433" s="6" t="n">
        <v>1</v>
      </c>
      <c r="R433">
        <f>M433+IF(MAX(N433-1,0)&gt;0,IF(ISBLANK(O433),5*MAX(N433-1,0),IF(ISNUMBER(O433),O433*MAX(N433-1,0),SUM(IFERROR(VALUE(TEXTSPLIT(O433,",")),0)))),0)</f>
        <v/>
      </c>
      <c r="S433">
        <f>IFERROR(L433*MAX(N433,1)/R433*IF(ISBLANK(K428),1,K428),0)</f>
        <v/>
      </c>
      <c r="AB433" s="7" t="inlineStr">
        <is>
          <t>^Warhead_MissileAP_Light, ^Warhead_Bullet_Light, ^Warhead_Flak_Medium, ^Warhead_Bullet_Medium</t>
        </is>
      </c>
    </row>
    <row r="434">
      <c r="B434" s="7" t="inlineStr">
        <is>
          <t xml:space="preserve">  ↳ SteelMantaAGResonance</t>
        </is>
      </c>
      <c r="C434" s="7" t="inlineStr">
        <is>
          <t>Armament@UpgradeAG2</t>
        </is>
      </c>
      <c r="L434" s="6" t="n">
        <v>8000</v>
      </c>
      <c r="M434" s="6" t="n">
        <v>20</v>
      </c>
      <c r="N434" s="6" t="n">
        <v>1</v>
      </c>
      <c r="O434" s="6" t="n"/>
      <c r="P434" s="6" t="n">
        <v>6666</v>
      </c>
      <c r="Q434" s="6" t="n">
        <v>1</v>
      </c>
      <c r="R434">
        <f>M434+IF(MAX(N434-1,0)&gt;0,IF(ISBLANK(O434),5*MAX(N434-1,0),IF(ISNUMBER(O434),O434*MAX(N434-1,0),SUM(IFERROR(VALUE(TEXTSPLIT(O434,",")),0)))),0)</f>
        <v/>
      </c>
      <c r="S434">
        <f>IFERROR(L434*MAX(N434,1)/R434*IF(ISBLANK(K428),1,K428),0)</f>
        <v/>
      </c>
      <c r="AB434" s="7" t="inlineStr">
        <is>
          <t>^Warhead_MissileAP_Light, ^Warhead_Bullet_Light, ^Warhead_Flak_Medium, ^Warhead_Bullet_Medium</t>
        </is>
      </c>
    </row>
    <row r="435">
      <c r="B435" s="7" t="inlineStr">
        <is>
          <t xml:space="preserve">  ↳ SteelMantaAAResonance_AA</t>
        </is>
      </c>
      <c r="C435" s="7" t="inlineStr">
        <is>
          <t>Armament@UpgradeAA1</t>
        </is>
      </c>
      <c r="L435" s="6" t="n">
        <v>8000</v>
      </c>
      <c r="M435" s="6" t="n">
        <v>20</v>
      </c>
      <c r="N435" s="6" t="n">
        <v>1</v>
      </c>
      <c r="O435" s="6" t="n"/>
      <c r="P435" s="6" t="n">
        <v>9999</v>
      </c>
      <c r="Q435" s="6" t="n">
        <v>1</v>
      </c>
      <c r="R435">
        <f>M435+IF(MAX(N435-1,0)&gt;0,IF(ISBLANK(O435),5*MAX(N435-1,0),IF(ISNUMBER(O435),O435*MAX(N435-1,0),SUM(IFERROR(VALUE(TEXTSPLIT(O435,",")),0)))),0)</f>
        <v/>
      </c>
      <c r="S435">
        <f>IFERROR(L435*MAX(N435,1)/R435*IF(ISBLANK(K428),1,K428),0)</f>
        <v/>
      </c>
      <c r="AB435" s="7" t="inlineStr">
        <is>
          <t>^Warhead_MissileAP_Light, ^Warhead_Bullet_Light, ^Warhead_Flak_Medium, ^Warhead_Bullet_Medium</t>
        </is>
      </c>
    </row>
    <row r="436">
      <c r="B436" s="7" t="inlineStr">
        <is>
          <t xml:space="preserve">  ↳ SteelMantaAAResonance_AA</t>
        </is>
      </c>
      <c r="C436" s="7" t="inlineStr">
        <is>
          <t>Armament@UpgradeAA2</t>
        </is>
      </c>
      <c r="L436" s="6" t="n">
        <v>8000</v>
      </c>
      <c r="M436" s="6" t="n">
        <v>20</v>
      </c>
      <c r="N436" s="6" t="n">
        <v>1</v>
      </c>
      <c r="O436" s="6" t="n"/>
      <c r="P436" s="6" t="n">
        <v>9999</v>
      </c>
      <c r="Q436" s="6" t="n">
        <v>1</v>
      </c>
      <c r="R436">
        <f>M436+IF(MAX(N436-1,0)&gt;0,IF(ISBLANK(O436),5*MAX(N436-1,0),IF(ISNUMBER(O436),O436*MAX(N436-1,0),SUM(IFERROR(VALUE(TEXTSPLIT(O436,",")),0)))),0)</f>
        <v/>
      </c>
      <c r="S436">
        <f>IFERROR(L436*MAX(N436,1)/R436*IF(ISBLANK(K428),1,K428),0)</f>
        <v/>
      </c>
      <c r="AB436" s="7" t="inlineStr">
        <is>
          <t>^Warhead_MissileAP_Light, ^Warhead_Bullet_Light, ^Warhead_Flak_Medium, ^Warhead_Bullet_Medium</t>
        </is>
      </c>
    </row>
    <row r="437">
      <c r="A437" t="inlineStr">
        <is>
          <t>redalert2mod</t>
        </is>
      </c>
      <c r="B437" t="inlineStr">
        <is>
          <t>latinsyndicate_rushertank</t>
        </is>
      </c>
      <c r="C437" t="inlineStr">
        <is>
          <t>Rusher Tank</t>
        </is>
      </c>
      <c r="D437" s="6" t="inlineStr">
        <is>
          <t>LightTank</t>
        </is>
      </c>
      <c r="E437" s="6" t="n">
        <v>75000</v>
      </c>
      <c r="F437" s="6" t="n">
        <v>115</v>
      </c>
      <c r="G437" t="inlineStr">
        <is>
          <t>Medium</t>
        </is>
      </c>
      <c r="H437" s="6" t="n">
        <v>1</v>
      </c>
      <c r="I437" s="6" t="n">
        <v>1</v>
      </c>
      <c r="J437" s="6" t="n">
        <v>1</v>
      </c>
      <c r="P437">
        <f>MAX(P438,P439,P440,P441)</f>
        <v/>
      </c>
      <c r="S437">
        <f>S438+S439+S440+S441</f>
        <v/>
      </c>
      <c r="T437">
        <f>(E437/100000+F437/100+(P437/1000)*J437/5+S437/200)*200*I437*H437</f>
        <v/>
      </c>
      <c r="U437">
        <f>((E437*F437/25000)+((P437/1000)*J437*S437/2.5))*I437*H437</f>
        <v/>
      </c>
      <c r="V437">
        <f>(E437*F437*(P437/1000)*J437*S437*I437*H437)/12500000</f>
        <v/>
      </c>
      <c r="W437">
        <f>IFERROR((((E437/100000)+(F437/125)+(S437/200)+((P437/5000)*J437))*400/4+(((E437/100000)*(F437/125))+(((P437/5000)*J437)*(S437/200)))*400/2+((E437/100000)*(F437/125)*((P437/5000)*J437)*(S437/200))*400)*(H437/1.0)/3,"")</f>
        <v/>
      </c>
      <c r="X437" s="6" t="n">
        <v>650</v>
      </c>
      <c r="Y437">
        <f>IFERROR(W437-X437,"")</f>
        <v/>
      </c>
      <c r="Z437">
        <f>IFERROR(ABS(Y437)/MAX(X437,1),"")</f>
        <v/>
      </c>
      <c r="AA437">
        <f>IFERROR(ROUND(((3*X437-(((E437/100000)+(F437/125)+(S437/200))*400/4+((E437/100000)*(F437/125))*400/2)*(H437/1.0))/(400/4+((S437/200))*400/2+((E437/100000)*(F437/125)*(S437/200))*400)*(H437/1.0)*5000)/J437,-1),"")</f>
        <v/>
      </c>
    </row>
    <row r="438">
      <c r="B438" s="7" t="inlineStr">
        <is>
          <t xml:space="preserve">  ↳ RA2Gren60mm</t>
        </is>
      </c>
      <c r="C438" s="7" t="inlineStr">
        <is>
          <t>Armament</t>
        </is>
      </c>
      <c r="L438" s="6" t="n">
        <v>6000</v>
      </c>
      <c r="M438" s="6" t="n">
        <v>38</v>
      </c>
      <c r="N438" s="6" t="n">
        <v>1</v>
      </c>
      <c r="O438" s="6" t="n"/>
      <c r="P438" s="6" t="n">
        <v>5031</v>
      </c>
      <c r="Q438" s="6" t="n">
        <v>1</v>
      </c>
      <c r="R438">
        <f>M438+IF(MAX(N438-1,0)&gt;0,IF(ISBLANK(O438),5*MAX(N438-1,0),IF(ISNUMBER(O438),O438*MAX(N438-1,0),SUM(IFERROR(VALUE(TEXTSPLIT(O438,",")),0)))),0)</f>
        <v/>
      </c>
      <c r="S438">
        <f>IFERROR(L438*MAX(N438,1)/R438*IF(ISBLANK(K437),1,K437),0)</f>
        <v/>
      </c>
      <c r="AB438" s="7" t="inlineStr">
        <is>
          <t>^Warhead_CannonHE_Heavy, ^Warhead_CannonHE_Medium, ^Warhead_CannonAP_Light</t>
        </is>
      </c>
    </row>
    <row r="439">
      <c r="B439" s="7" t="inlineStr">
        <is>
          <t xml:space="preserve">  ↳ RA2Gren60mm_elite</t>
        </is>
      </c>
      <c r="C439" s="7" t="inlineStr">
        <is>
          <t>Armament@elite</t>
        </is>
      </c>
      <c r="L439" s="6" t="n">
        <v>6000</v>
      </c>
      <c r="M439" s="6" t="n">
        <v>38</v>
      </c>
      <c r="N439" s="6" t="n">
        <v>2</v>
      </c>
      <c r="O439" s="6" t="n">
        <v>3</v>
      </c>
      <c r="P439" s="6" t="n">
        <v>6031</v>
      </c>
      <c r="Q439" s="6" t="n">
        <v>1</v>
      </c>
      <c r="R439">
        <f>M439+IF(MAX(N439-1,0)&gt;0,IF(ISBLANK(O439),5*MAX(N439-1,0),IF(ISNUMBER(O439),O439*MAX(N439-1,0),SUM(IFERROR(VALUE(TEXTSPLIT(O439,",")),0)))),0)</f>
        <v/>
      </c>
      <c r="S439">
        <f>IFERROR(L439*MAX(N439,1)/R439*IF(ISBLANK(K437),1,K437),0)</f>
        <v/>
      </c>
      <c r="AB439" s="7" t="inlineStr">
        <is>
          <t>^Warhead_CannonHE_Heavy, ^Warhead_CannonHE_Medium, ^Warhead_CannonAP_Light</t>
        </is>
      </c>
    </row>
    <row r="440">
      <c r="B440" s="7" t="inlineStr">
        <is>
          <t xml:space="preserve">  ↳ LatinRusherRocket</t>
        </is>
      </c>
      <c r="C440" s="7" t="inlineStr">
        <is>
          <t>Armament@AA</t>
        </is>
      </c>
      <c r="L440" s="6" t="n">
        <v>16000</v>
      </c>
      <c r="M440" s="6" t="n">
        <v>101</v>
      </c>
      <c r="N440" s="6" t="n">
        <v>1</v>
      </c>
      <c r="O440" s="6" t="n"/>
      <c r="P440" s="6" t="n">
        <v>5031</v>
      </c>
      <c r="Q440" s="6" t="n">
        <v>1</v>
      </c>
      <c r="R440">
        <f>M440+IF(MAX(N440-1,0)&gt;0,IF(ISBLANK(O440),5*MAX(N440-1,0),IF(ISNUMBER(O440),O440*MAX(N440-1,0),SUM(IFERROR(VALUE(TEXTSPLIT(O440,",")),0)))),0)</f>
        <v/>
      </c>
      <c r="S440">
        <f>IFERROR(L440*MAX(N440,1)/R440*IF(ISBLANK(K437),1,K437),0)</f>
        <v/>
      </c>
      <c r="AB440" s="7" t="inlineStr">
        <is>
          <t>^Warhead_MissileAP_Medium</t>
        </is>
      </c>
    </row>
    <row r="441">
      <c r="B441" s="7" t="inlineStr">
        <is>
          <t xml:space="preserve">  ↳ LatinRusherRocket_elite</t>
        </is>
      </c>
      <c r="C441" s="7" t="inlineStr">
        <is>
          <t>Armament@AAE</t>
        </is>
      </c>
      <c r="L441" s="6" t="n">
        <v>32000</v>
      </c>
      <c r="M441" s="6" t="n">
        <v>101</v>
      </c>
      <c r="N441" s="6" t="n">
        <v>1</v>
      </c>
      <c r="O441" s="6" t="n"/>
      <c r="P441" s="6" t="n">
        <v>6031</v>
      </c>
      <c r="Q441" s="6" t="n">
        <v>1</v>
      </c>
      <c r="R441">
        <f>M441+IF(MAX(N441-1,0)&gt;0,IF(ISBLANK(O441),5*MAX(N441-1,0),IF(ISNUMBER(O441),O441*MAX(N441-1,0),SUM(IFERROR(VALUE(TEXTSPLIT(O441,",")),0)))),0)</f>
        <v/>
      </c>
      <c r="S441">
        <f>IFERROR(L441*MAX(N441,1)/R441*IF(ISBLANK(K437),1,K437),0)</f>
        <v/>
      </c>
      <c r="AB441" s="7" t="inlineStr">
        <is>
          <t>^Warhead_MissileAP_Medium</t>
        </is>
      </c>
    </row>
    <row r="442">
      <c r="A442" t="inlineStr">
        <is>
          <t>redalert2mod</t>
        </is>
      </c>
      <c r="B442" t="inlineStr">
        <is>
          <t>panzer.nax</t>
        </is>
      </c>
      <c r="C442" t="inlineStr">
        <is>
          <t>Panzer III</t>
        </is>
      </c>
      <c r="D442" s="6" t="inlineStr">
        <is>
          <t>LightTank</t>
        </is>
      </c>
      <c r="E442" s="6" t="n">
        <v>100000</v>
      </c>
      <c r="F442" s="6" t="n">
        <v>100</v>
      </c>
      <c r="G442" t="inlineStr">
        <is>
          <t>Medium</t>
        </is>
      </c>
      <c r="H442" s="6" t="n">
        <v>1</v>
      </c>
      <c r="I442" s="6" t="n">
        <v>1</v>
      </c>
      <c r="J442" s="6" t="n">
        <v>1</v>
      </c>
      <c r="P442">
        <f>MAX(P443,P444)</f>
        <v/>
      </c>
      <c r="S442">
        <f>S443+S444</f>
        <v/>
      </c>
      <c r="T442">
        <f>(E442/100000+F442/100+(P442/1000)*J442/5+S442/200)*200*I442*H442</f>
        <v/>
      </c>
      <c r="U442">
        <f>((E442*F442/25000)+((P442/1000)*J442*S442/2.5))*I442*H442</f>
        <v/>
      </c>
      <c r="V442">
        <f>(E442*F442*(P442/1000)*J442*S442*I442*H442)/12500000</f>
        <v/>
      </c>
      <c r="W442">
        <f>IFERROR((((E442/100000)+(F442/125)+(S442/200)+((P442/5000)*J442))*400/4+(((E442/100000)*(F442/125))+(((P442/5000)*J442)*(S442/200)))*400/2+((E442/100000)*(F442/125)*((P442/5000)*J442)*(S442/200))*400)*(H442/1.0)/3,"")</f>
        <v/>
      </c>
      <c r="X442" s="6" t="n">
        <v>600</v>
      </c>
      <c r="Y442">
        <f>IFERROR(W442-X442,"")</f>
        <v/>
      </c>
      <c r="Z442">
        <f>IFERROR(ABS(Y442)/MAX(X442,1),"")</f>
        <v/>
      </c>
      <c r="AA442">
        <f>IFERROR(ROUND(((3*X442-(((E442/100000)+(F442/125)+(S442/200))*400/4+((E442/100000)*(F442/125))*400/2)*(H442/1.0))/(400/4+((S442/200))*400/2+((E442/100000)*(F442/125)*(S442/200))*400)*(H442/1.0)*5000)/J442,-1),"")</f>
        <v/>
      </c>
    </row>
    <row r="443">
      <c r="B443" s="7" t="inlineStr">
        <is>
          <t xml:space="preserve">  ↳ RA2105mm</t>
        </is>
      </c>
      <c r="C443" s="7" t="inlineStr">
        <is>
          <t>Armament</t>
        </is>
      </c>
      <c r="L443" s="6" t="n">
        <v>8000</v>
      </c>
      <c r="M443" s="6" t="n">
        <v>45</v>
      </c>
      <c r="N443" s="6" t="n">
        <v>1</v>
      </c>
      <c r="O443" s="6" t="n"/>
      <c r="P443" s="6" t="n">
        <v>5289</v>
      </c>
      <c r="Q443" s="6" t="n">
        <v>1</v>
      </c>
      <c r="R443">
        <f>M443+IF(MAX(N443-1,0)&gt;0,IF(ISBLANK(O443),5*MAX(N443-1,0),IF(ISNUMBER(O443),O443*MAX(N443-1,0),SUM(IFERROR(VALUE(TEXTSPLIT(O443,",")),0)))),0)</f>
        <v/>
      </c>
      <c r="S443">
        <f>IFERROR(L443*MAX(N443,1)/R443*IF(ISBLANK(K442),1,K442),0)</f>
        <v/>
      </c>
      <c r="AB443" s="7" t="inlineStr">
        <is>
          <t>^Warhead_CannonHE_Medium</t>
        </is>
      </c>
    </row>
    <row r="444">
      <c r="B444" s="7" t="inlineStr">
        <is>
          <t xml:space="preserve">  ↳ RA2105mm_elite</t>
        </is>
      </c>
      <c r="C444" s="7" t="inlineStr">
        <is>
          <t>Armament@elite</t>
        </is>
      </c>
      <c r="L444" s="6" t="n">
        <v>8000</v>
      </c>
      <c r="M444" s="6" t="n">
        <v>45</v>
      </c>
      <c r="N444" s="6" t="n">
        <v>2</v>
      </c>
      <c r="O444" s="6" t="n">
        <v>3</v>
      </c>
      <c r="P444" s="6" t="n">
        <v>6289</v>
      </c>
      <c r="Q444" s="6" t="n">
        <v>1</v>
      </c>
      <c r="R444">
        <f>M444+IF(MAX(N444-1,0)&gt;0,IF(ISBLANK(O444),5*MAX(N444-1,0),IF(ISNUMBER(O444),O444*MAX(N444-1,0),SUM(IFERROR(VALUE(TEXTSPLIT(O444,",")),0)))),0)</f>
        <v/>
      </c>
      <c r="S444">
        <f>IFERROR(L444*MAX(N444,1)/R444*IF(ISBLANK(K442),1,K442),0)</f>
        <v/>
      </c>
      <c r="AB444" s="7" t="inlineStr">
        <is>
          <t>^Warhead_CannonHE_Medium</t>
        </is>
      </c>
    </row>
    <row r="445">
      <c r="A445" t="inlineStr">
        <is>
          <t>redalert2mod</t>
        </is>
      </c>
      <c r="B445" t="inlineStr">
        <is>
          <t>schwarzermond_lunarpanzer</t>
        </is>
      </c>
      <c r="C445" t="inlineStr">
        <is>
          <t>Lunar Panzer</t>
        </is>
      </c>
      <c r="D445" s="6" t="inlineStr">
        <is>
          <t>LightTank</t>
        </is>
      </c>
      <c r="E445" s="6" t="n">
        <v>90000</v>
      </c>
      <c r="F445" s="6" t="n">
        <v>90</v>
      </c>
      <c r="G445" t="inlineStr">
        <is>
          <t>Medium</t>
        </is>
      </c>
      <c r="H445" s="6" t="n">
        <v>1</v>
      </c>
      <c r="I445" s="6" t="n">
        <v>1</v>
      </c>
      <c r="J445" s="6" t="n">
        <v>1</v>
      </c>
      <c r="P445">
        <f>MAX(P446,P447,P448,P449)</f>
        <v/>
      </c>
      <c r="S445">
        <f>S446+S447+S448+S449</f>
        <v/>
      </c>
      <c r="T445">
        <f>(E445/100000+F445/100+(P445/1000)*J445/5+S445/200)*200*I445*H445</f>
        <v/>
      </c>
      <c r="U445">
        <f>((E445*F445/25000)+((P445/1000)*J445*S445/2.5))*I445*H445</f>
        <v/>
      </c>
      <c r="V445">
        <f>(E445*F445*(P445/1000)*J445*S445*I445*H445)/12500000</f>
        <v/>
      </c>
      <c r="W445">
        <f>IFERROR((((E445/100000)+(F445/125)+(S445/200)+((P445/5000)*J445))*400/4+(((E445/100000)*(F445/125))+(((P445/5000)*J445)*(S445/200)))*400/2+((E445/100000)*(F445/125)*((P445/5000)*J445)*(S445/200))*400)*(H445/1.0)/3,"")</f>
        <v/>
      </c>
      <c r="X445" s="6" t="n">
        <v>650</v>
      </c>
      <c r="Y445">
        <f>IFERROR(W445-X445,"")</f>
        <v/>
      </c>
      <c r="Z445">
        <f>IFERROR(ABS(Y445)/MAX(X445,1),"")</f>
        <v/>
      </c>
      <c r="AA445">
        <f>IFERROR(ROUND(((3*X445-(((E445/100000)+(F445/125)+(S445/200))*400/4+((E445/100000)*(F445/125))*400/2)*(H445/1.0))/(400/4+((S445/200))*400/2+((E445/100000)*(F445/125)*(S445/200))*400)*(H445/1.0)*5000)/J445,-1),"")</f>
        <v/>
      </c>
    </row>
    <row r="446">
      <c r="B446" s="7" t="inlineStr">
        <is>
          <t xml:space="preserve">  ↳ LunarPanzerCannon</t>
        </is>
      </c>
      <c r="C446" s="7" t="inlineStr">
        <is>
          <t>Armament</t>
        </is>
      </c>
      <c r="L446" s="6" t="n">
        <v>10000</v>
      </c>
      <c r="M446" s="6" t="n">
        <v>60</v>
      </c>
      <c r="N446" s="6" t="n">
        <v>1</v>
      </c>
      <c r="O446" s="6" t="n"/>
      <c r="P446" s="6" t="n">
        <v>5121</v>
      </c>
      <c r="Q446" s="6" t="n">
        <v>1</v>
      </c>
      <c r="R446">
        <f>M446+IF(MAX(N446-1,0)&gt;0,IF(ISBLANK(O446),5*MAX(N446-1,0),IF(ISNUMBER(O446),O446*MAX(N446-1,0),SUM(IFERROR(VALUE(TEXTSPLIT(O446,",")),0)))),0)</f>
        <v/>
      </c>
      <c r="S446">
        <f>IFERROR(L446*MAX(N446,1)/R446*IF(ISBLANK(K445),1,K445),0)</f>
        <v/>
      </c>
      <c r="AB446" s="7" t="inlineStr">
        <is>
          <t>^Warhead_CannonHE_Medium</t>
        </is>
      </c>
    </row>
    <row r="447">
      <c r="B447" s="7" t="inlineStr">
        <is>
          <t xml:space="preserve">  ↳ LunarPanzerCannon_elite</t>
        </is>
      </c>
      <c r="C447" s="7" t="inlineStr">
        <is>
          <t>Armament@elite</t>
        </is>
      </c>
      <c r="L447" s="6" t="n">
        <v>10000</v>
      </c>
      <c r="M447" s="6" t="n">
        <v>60</v>
      </c>
      <c r="N447" s="6" t="n">
        <v>2</v>
      </c>
      <c r="O447" s="6" t="n">
        <v>3</v>
      </c>
      <c r="P447" s="6" t="n">
        <v>6121</v>
      </c>
      <c r="Q447" s="6" t="n">
        <v>1</v>
      </c>
      <c r="R447">
        <f>M447+IF(MAX(N447-1,0)&gt;0,IF(ISBLANK(O447),5*MAX(N447-1,0),IF(ISNUMBER(O447),O447*MAX(N447-1,0),SUM(IFERROR(VALUE(TEXTSPLIT(O447,",")),0)))),0)</f>
        <v/>
      </c>
      <c r="S447">
        <f>IFERROR(L447*MAX(N447,1)/R447*IF(ISBLANK(K445),1,K445),0)</f>
        <v/>
      </c>
      <c r="AB447" s="7" t="inlineStr">
        <is>
          <t>^Warhead_CannonHE_Medium</t>
        </is>
      </c>
    </row>
    <row r="448">
      <c r="B448" s="7" t="inlineStr">
        <is>
          <t xml:space="preserve">  ↳ Lunar_Green105mm</t>
        </is>
      </c>
      <c r="C448" s="7" t="inlineStr">
        <is>
          <t>Armament@upgraded</t>
        </is>
      </c>
      <c r="L448" s="6" t="n">
        <v>16000</v>
      </c>
      <c r="M448" s="6" t="n">
        <v>50</v>
      </c>
      <c r="N448" s="6" t="n">
        <v>1</v>
      </c>
      <c r="O448" s="6" t="n"/>
      <c r="P448" s="6" t="n">
        <v>5000</v>
      </c>
      <c r="Q448" s="6" t="n">
        <v>1.125</v>
      </c>
      <c r="R448">
        <f>M448+IF(MAX(N448-1,0)&gt;0,IF(ISBLANK(O448),5*MAX(N448-1,0),IF(ISNUMBER(O448),O448*MAX(N448-1,0),SUM(IFERROR(VALUE(TEXTSPLIT(O448,",")),0)))),0)</f>
        <v/>
      </c>
      <c r="S448">
        <f>IFERROR(L448*MAX(N448,1)/R448*IF(ISBLANK(K445),1,K445),0)</f>
        <v/>
      </c>
      <c r="AB448" s="7" t="inlineStr">
        <is>
          <t>^Warhead_Tesla_Heavy, ^Warhead_CannonHE_Medium</t>
        </is>
      </c>
    </row>
    <row r="449">
      <c r="B449" s="7" t="inlineStr">
        <is>
          <t xml:space="preserve">  ↳ Lunar_Green105mm_elite</t>
        </is>
      </c>
      <c r="C449" s="7" t="inlineStr">
        <is>
          <t>Armament@upgraded-elite</t>
        </is>
      </c>
      <c r="L449" s="6" t="n">
        <v>16000</v>
      </c>
      <c r="M449" s="6" t="n">
        <v>50</v>
      </c>
      <c r="N449" s="6" t="n">
        <v>2</v>
      </c>
      <c r="O449" s="6" t="n">
        <v>5</v>
      </c>
      <c r="P449" s="6" t="n">
        <v>6000</v>
      </c>
      <c r="Q449" s="6" t="n">
        <v>1.125</v>
      </c>
      <c r="R449">
        <f>M449+IF(MAX(N449-1,0)&gt;0,IF(ISBLANK(O449),5*MAX(N449-1,0),IF(ISNUMBER(O449),O449*MAX(N449-1,0),SUM(IFERROR(VALUE(TEXTSPLIT(O449,",")),0)))),0)</f>
        <v/>
      </c>
      <c r="S449">
        <f>IFERROR(L449*MAX(N449,1)/R449*IF(ISBLANK(K445),1,K445),0)</f>
        <v/>
      </c>
      <c r="AB449" s="7" t="inlineStr">
        <is>
          <t>^Warhead_Tesla_Heavy, ^Warhead_CannonHE_Medium</t>
        </is>
      </c>
    </row>
    <row r="450">
      <c r="A450" t="inlineStr">
        <is>
          <t>redalert2mod</t>
        </is>
      </c>
      <c r="B450" t="inlineStr">
        <is>
          <t>futuretech_robottank</t>
        </is>
      </c>
      <c r="C450" t="inlineStr">
        <is>
          <t>Robot Tank</t>
        </is>
      </c>
      <c r="D450" s="6" t="inlineStr">
        <is>
          <t>LightTank</t>
        </is>
      </c>
      <c r="E450" s="6" t="n">
        <v>50000</v>
      </c>
      <c r="F450" s="6" t="n">
        <v>130</v>
      </c>
      <c r="G450" t="inlineStr">
        <is>
          <t>Medium</t>
        </is>
      </c>
      <c r="H450" s="6" t="n">
        <v>0.6846</v>
      </c>
      <c r="I450" s="6" t="n">
        <v>1</v>
      </c>
      <c r="J450" s="6" t="n">
        <v>1</v>
      </c>
      <c r="P450">
        <f>MAX(P451,P452)</f>
        <v/>
      </c>
      <c r="S450">
        <f>S451+S452</f>
        <v/>
      </c>
      <c r="T450">
        <f>(E450/100000+F450/100+(P450/1000)*J450/5+S450/200)*200*I450*H450</f>
        <v/>
      </c>
      <c r="U450">
        <f>((E450*F450/25000)+((P450/1000)*J450*S450/2.5))*I450*H450</f>
        <v/>
      </c>
      <c r="V450">
        <f>(E450*F450*(P450/1000)*J450*S450*I450*H450)/12500000</f>
        <v/>
      </c>
      <c r="W450">
        <f>IFERROR((((E450/100000)+(F450/125)+(S450/200)+((P450/5000)*J450))*400/4+(((E450/100000)*(F450/125))+(((P450/5000)*J450)*(S450/200)))*400/2+((E450/100000)*(F450/125)*((P450/5000)*J450)*(S450/200))*400)*(H450/1.0)/3,"")</f>
        <v/>
      </c>
      <c r="X450" s="6" t="n">
        <v>1600</v>
      </c>
      <c r="Y450">
        <f>IFERROR(W450-X450,"")</f>
        <v/>
      </c>
      <c r="Z450">
        <f>IFERROR(ABS(Y450)/MAX(X450,1),"")</f>
        <v/>
      </c>
      <c r="AA450">
        <f>IFERROR(ROUND(((3*X450-(((E450/100000)+(F450/125)+(S450/200))*400/4+((E450/100000)*(F450/125))*400/2)*(H450/1.0))/(400/4+((S450/200))*400/2+((E450/100000)*(F450/125)*(S450/200))*400)*(H450/1.0)*5000)/J450,-1),"")</f>
        <v/>
      </c>
    </row>
    <row r="451">
      <c r="B451" s="7" t="inlineStr">
        <is>
          <t xml:space="preserve">  ↳ RA2Robotmm</t>
        </is>
      </c>
      <c r="C451" s="7" t="inlineStr">
        <is>
          <t>Armament</t>
        </is>
      </c>
      <c r="L451" s="6" t="n">
        <v>24000</v>
      </c>
      <c r="M451" s="6" t="n">
        <v>48</v>
      </c>
      <c r="N451" s="6" t="n">
        <v>1</v>
      </c>
      <c r="O451" s="6" t="n"/>
      <c r="P451" s="6" t="n">
        <v>5780</v>
      </c>
      <c r="Q451" s="6" t="n">
        <v>1</v>
      </c>
      <c r="R451">
        <f>M451+IF(MAX(N451-1,0)&gt;0,IF(ISBLANK(O451),5*MAX(N451-1,0),IF(ISNUMBER(O451),O451*MAX(N451-1,0),SUM(IFERROR(VALUE(TEXTSPLIT(O451,",")),0)))),0)</f>
        <v/>
      </c>
      <c r="S451">
        <f>IFERROR(L451*MAX(N451,1)/R451*IF(ISBLANK(K450),1,K450),0)</f>
        <v/>
      </c>
      <c r="AB451" s="7" t="inlineStr">
        <is>
          <t>^Warhead_Tesla_Heavy, ^Warhead_Laser_Heavy, ^Warhead_Railgun_Heavy</t>
        </is>
      </c>
    </row>
    <row r="452">
      <c r="B452" s="7" t="inlineStr">
        <is>
          <t xml:space="preserve">  ↳ RA2Robotmm_elite</t>
        </is>
      </c>
      <c r="C452" s="7" t="inlineStr">
        <is>
          <t>Armament@elite</t>
        </is>
      </c>
      <c r="L452" s="6" t="n">
        <v>24000</v>
      </c>
      <c r="M452" s="6" t="n">
        <v>48</v>
      </c>
      <c r="N452" s="6" t="n">
        <v>1</v>
      </c>
      <c r="O452" s="6" t="n"/>
      <c r="P452" s="6" t="n">
        <v>6780</v>
      </c>
      <c r="Q452" s="6" t="n">
        <v>1</v>
      </c>
      <c r="R452">
        <f>M452+IF(MAX(N452-1,0)&gt;0,IF(ISBLANK(O452),5*MAX(N452-1,0),IF(ISNUMBER(O452),O452*MAX(N452-1,0),SUM(IFERROR(VALUE(TEXTSPLIT(O452,",")),0)))),0)</f>
        <v/>
      </c>
      <c r="S452">
        <f>IFERROR(L452*MAX(N452,1)/R452*IF(ISBLANK(K450),1,K450),0)</f>
        <v/>
      </c>
      <c r="AB452" s="7" t="inlineStr">
        <is>
          <t>^Warhead_Tesla_Heavy, ^Warhead_Laser_Heavy, ^Warhead_Railgun_Heavy</t>
        </is>
      </c>
    </row>
    <row r="453">
      <c r="A453" t="inlineStr">
        <is>
          <t>d2k</t>
        </is>
      </c>
      <c r="B453" t="inlineStr">
        <is>
          <t>ordos_combattank</t>
        </is>
      </c>
      <c r="C453" t="inlineStr">
        <is>
          <t>Ordos Combat Tank</t>
        </is>
      </c>
      <c r="D453" s="6" t="inlineStr">
        <is>
          <t>LightTank</t>
        </is>
      </c>
      <c r="E453" s="6" t="n">
        <v>85000</v>
      </c>
      <c r="F453" s="6" t="n">
        <v>85</v>
      </c>
      <c r="G453" t="inlineStr">
        <is>
          <t>Medium</t>
        </is>
      </c>
      <c r="H453" s="6" t="n">
        <v>1</v>
      </c>
      <c r="I453" s="6" t="n">
        <v>1</v>
      </c>
      <c r="J453" s="6" t="n">
        <v>1</v>
      </c>
      <c r="P453">
        <f>MAX(P454)</f>
        <v/>
      </c>
      <c r="S453">
        <f>S454</f>
        <v/>
      </c>
      <c r="T453">
        <f>(E453/100000+F453/100+(P453/1000)*J453/5+S453/200)*200*I453*H453</f>
        <v/>
      </c>
      <c r="U453">
        <f>((E453*F453/25000)+((P453/1000)*J453*S453/2.5))*I453*H453</f>
        <v/>
      </c>
      <c r="V453">
        <f>(E453*F453*(P453/1000)*J453*S453*I453*H453)/12500000</f>
        <v/>
      </c>
      <c r="W453">
        <f>IFERROR((((E453/100000)+(F453/125)+(S453/200)+((P453/5000)*J453))*400/4+(((E453/100000)*(F453/125))+(((P453/5000)*J453)*(S453/200)))*400/2+((E453/100000)*(F453/125)*((P453/5000)*J453)*(S453/200))*400)*(H453/1.0)/3,"")</f>
        <v/>
      </c>
      <c r="X453" s="6" t="n">
        <v>650</v>
      </c>
      <c r="Y453">
        <f>IFERROR(W453-X453,"")</f>
        <v/>
      </c>
      <c r="Z453">
        <f>IFERROR(ABS(Y453)/MAX(X453,1),"")</f>
        <v/>
      </c>
      <c r="AA453">
        <f>IFERROR(ROUND(((3*X453-(((E453/100000)+(F453/125)+(S453/200))*400/4+((E453/100000)*(F453/125))*400/2)*(H453/1.0))/(400/4+((S453/200))*400/2+((E453/100000)*(F453/125)*(S453/200))*400)*(H453/1.0)*5000)/J453,-1),"")</f>
        <v/>
      </c>
    </row>
    <row r="454">
      <c r="B454" s="7" t="inlineStr">
        <is>
          <t xml:space="preserve">  ↳ OrdosCombatTankCannon</t>
        </is>
      </c>
      <c r="C454" s="7" t="inlineStr">
        <is>
          <t>Armament</t>
        </is>
      </c>
      <c r="L454" s="6" t="n">
        <v>8000</v>
      </c>
      <c r="M454" s="6" t="n">
        <v>44</v>
      </c>
      <c r="N454" s="6" t="n">
        <v>1</v>
      </c>
      <c r="O454" s="6" t="n"/>
      <c r="P454" s="6" t="n">
        <v>5230</v>
      </c>
      <c r="Q454" s="6" t="n">
        <v>1</v>
      </c>
      <c r="R454">
        <f>M454+IF(MAX(N454-1,0)&gt;0,IF(ISBLANK(O454),5*MAX(N454-1,0),IF(ISNUMBER(O454),O454*MAX(N454-1,0),SUM(IFERROR(VALUE(TEXTSPLIT(O454,",")),0)))),0)</f>
        <v/>
      </c>
      <c r="S454">
        <f>IFERROR(L454*MAX(N454,1)/R454*IF(ISBLANK(K453),1,K453),0)</f>
        <v/>
      </c>
      <c r="AB454" s="7" t="inlineStr">
        <is>
          <t>^Warhead_CannonHE_Medium</t>
        </is>
      </c>
    </row>
    <row r="455">
      <c r="A455" t="inlineStr">
        <is>
          <t>d2k</t>
        </is>
      </c>
      <c r="B455" t="inlineStr">
        <is>
          <t>ixian_shockraider</t>
        </is>
      </c>
      <c r="C455" t="inlineStr">
        <is>
          <t>Shock Raider</t>
        </is>
      </c>
      <c r="D455" s="6" t="inlineStr">
        <is>
          <t>LightTank</t>
        </is>
      </c>
      <c r="E455" s="6" t="n">
        <v>40000</v>
      </c>
      <c r="F455" s="6" t="n">
        <v>120</v>
      </c>
      <c r="G455" t="inlineStr">
        <is>
          <t>Medium</t>
        </is>
      </c>
      <c r="H455" s="6" t="n">
        <v>0.75</v>
      </c>
      <c r="I455" s="6" t="n">
        <v>1</v>
      </c>
      <c r="J455" s="6" t="n">
        <v>1.25</v>
      </c>
      <c r="P455">
        <f>MAX(P456)</f>
        <v/>
      </c>
      <c r="S455">
        <f>S456</f>
        <v/>
      </c>
      <c r="T455">
        <f>(E455/100000+F455/100+(P455/1000)*J455/5+S455/200)*200*I455*H455</f>
        <v/>
      </c>
      <c r="U455">
        <f>((E455*F455/25000)+((P455/1000)*J455*S455/2.5))*I455*H455</f>
        <v/>
      </c>
      <c r="V455">
        <f>(E455*F455*(P455/1000)*J455*S455*I455*H455)/12500000</f>
        <v/>
      </c>
      <c r="W455">
        <f>IFERROR((((E455/100000)+(F455/125)+(S455/200)+((P455/5000)*J455))*400/4+(((E455/100000)*(F455/125))+(((P455/5000)*J455)*(S455/200)))*400/2+((E455/100000)*(F455/125)*((P455/5000)*J455)*(S455/200))*400)*(H455/1.0)/3,"")</f>
        <v/>
      </c>
      <c r="X455" s="6" t="n">
        <v>1300</v>
      </c>
      <c r="Y455">
        <f>IFERROR(W455-X455,"")</f>
        <v/>
      </c>
      <c r="Z455">
        <f>IFERROR(ABS(Y455)/MAX(X455,1),"")</f>
        <v/>
      </c>
      <c r="AA455">
        <f>IFERROR(ROUND(((3*X455-(((E455/100000)+(F455/125)+(S455/200))*400/4+((E455/100000)*(F455/125))*400/2)*(H455/1.0))/(400/4+((S455/200))*400/2+((E455/100000)*(F455/125)*(S455/200))*400)*(H455/1.0)*5000)/J455,-1),"")</f>
        <v/>
      </c>
    </row>
    <row r="456">
      <c r="B456" s="7" t="inlineStr">
        <is>
          <t xml:space="preserve">  ↳ D2K_ShockGun</t>
        </is>
      </c>
      <c r="C456" s="7" t="inlineStr">
        <is>
          <t>Armament@damage</t>
        </is>
      </c>
      <c r="L456" s="6" t="n">
        <v>40000</v>
      </c>
      <c r="M456" s="6" t="n">
        <v>100</v>
      </c>
      <c r="N456" s="6" t="n">
        <v>1</v>
      </c>
      <c r="O456" s="6" t="n"/>
      <c r="P456" s="6" t="n">
        <v>7756</v>
      </c>
      <c r="Q456" s="6" t="n">
        <v>1.25</v>
      </c>
      <c r="R456">
        <f>M456+IF(MAX(N456-1,0)&gt;0,IF(ISBLANK(O456),5*MAX(N456-1,0),IF(ISNUMBER(O456),O456*MAX(N456-1,0),SUM(IFERROR(VALUE(TEXTSPLIT(O456,",")),0)))),0)</f>
        <v/>
      </c>
      <c r="S456">
        <f>IFERROR(L456*MAX(N456,1)/R456*IF(ISBLANK(K455),1,K455),0)</f>
        <v/>
      </c>
      <c r="AB456" s="7" t="inlineStr">
        <is>
          <t>^Warhead_Storm_Heavy</t>
        </is>
      </c>
    </row>
    <row r="457">
      <c r="A457" t="inlineStr">
        <is>
          <t>starcraft</t>
        </is>
      </c>
      <c r="B457" t="inlineStr">
        <is>
          <t>terran_vulture</t>
        </is>
      </c>
      <c r="C457" t="inlineStr">
        <is>
          <t>Vulture</t>
        </is>
      </c>
      <c r="D457" s="6" t="inlineStr">
        <is>
          <t>LightTank</t>
        </is>
      </c>
      <c r="E457" s="6" t="n">
        <v>75000</v>
      </c>
      <c r="F457" s="6" t="n">
        <v>125</v>
      </c>
      <c r="G457" t="inlineStr">
        <is>
          <t>Medium</t>
        </is>
      </c>
      <c r="H457" s="6" t="n">
        <v>1</v>
      </c>
      <c r="I457" s="6" t="n">
        <v>0.5</v>
      </c>
      <c r="J457" s="6" t="n">
        <v>1</v>
      </c>
      <c r="P457">
        <f>MAX(P458)</f>
        <v/>
      </c>
      <c r="S457">
        <f>S458</f>
        <v/>
      </c>
      <c r="T457">
        <f>(E457/100000+F457/100+(P457/1000)*J457/5+S457/200)*200*I457*H457</f>
        <v/>
      </c>
      <c r="U457">
        <f>((E457*F457/25000)+((P457/1000)*J457*S457/2.5))*I457*H457</f>
        <v/>
      </c>
      <c r="V457">
        <f>(E457*F457*(P457/1000)*J457*S457*I457*H457)/12500000</f>
        <v/>
      </c>
      <c r="W457">
        <f>IFERROR((((E457/100000)+(F457/125)+(S457/200)+((P457/5000)*J457))*400/4+(((E457/100000)*(F457/125))+(((P457/5000)*J457)*(S457/200)))*400/2+((E457/100000)*(F457/125)*((P457/5000)*J457)*(S457/200))*400)*(H457/1.0)/3,"")</f>
        <v/>
      </c>
      <c r="X457" s="6" t="n">
        <v>900</v>
      </c>
      <c r="Y457">
        <f>IFERROR(W457-X457,"")</f>
        <v/>
      </c>
      <c r="Z457">
        <f>IFERROR(ABS(Y457)/MAX(X457,1),"")</f>
        <v/>
      </c>
      <c r="AA457">
        <f>IFERROR(ROUND(((3*X457-(((E457/100000)+(F457/125)+(S457/200))*400/4+((E457/100000)*(F457/125))*400/2)*(H457/1.0))/(400/4+((S457/200))*400/2+((E457/100000)*(F457/125)*(S457/200))*400)*(H457/1.0)*5000)/J457,-1),"")</f>
        <v/>
      </c>
    </row>
    <row r="458">
      <c r="B458" s="7" t="inlineStr">
        <is>
          <t xml:space="preserve">  ↳ VultureGrenade</t>
        </is>
      </c>
      <c r="C458" s="7" t="inlineStr">
        <is>
          <t>Armament</t>
        </is>
      </c>
      <c r="L458" s="6" t="n">
        <v>20000</v>
      </c>
      <c r="M458" s="6" t="n">
        <v>25</v>
      </c>
      <c r="N458" s="6" t="n">
        <v>1</v>
      </c>
      <c r="O458" s="6" t="n"/>
      <c r="P458" s="6" t="n">
        <v>4800</v>
      </c>
      <c r="Q458" s="6" t="n">
        <v>1</v>
      </c>
      <c r="R458">
        <f>M458+IF(MAX(N458-1,0)&gt;0,IF(ISBLANK(O458),5*MAX(N458-1,0),IF(ISNUMBER(O458),O458*MAX(N458-1,0),SUM(IFERROR(VALUE(TEXTSPLIT(O458,",")),0)))),0)</f>
        <v/>
      </c>
      <c r="S458">
        <f>IFERROR(L458*MAX(N458,1)/R458*IF(ISBLANK(K457),1,K457),0)</f>
        <v/>
      </c>
      <c r="AB458" s="7" t="inlineStr">
        <is>
          <t>^Warhead_CannonHE_Medium</t>
        </is>
      </c>
    </row>
    <row r="459">
      <c r="A459" s="4" t="inlineStr">
        <is>
          <t>ArtilleryTank</t>
        </is>
      </c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  <c r="AB459" s="5" t="n"/>
    </row>
    <row r="460">
      <c r="A460" t="inlineStr">
        <is>
          <t>tiberiandawn</t>
        </is>
      </c>
      <c r="B460" t="inlineStr">
        <is>
          <t>td_gdi_archerartillery</t>
        </is>
      </c>
      <c r="C460" t="inlineStr">
        <is>
          <t>Archer Artillery</t>
        </is>
      </c>
      <c r="D460" s="6" t="inlineStr">
        <is>
          <t>ArtilleryTank</t>
        </is>
      </c>
      <c r="E460" s="6" t="n">
        <v>35000</v>
      </c>
      <c r="F460" s="6" t="n">
        <v>70</v>
      </c>
      <c r="G460" t="inlineStr">
        <is>
          <t>Medium</t>
        </is>
      </c>
      <c r="H460" s="6" t="n">
        <v>0.75</v>
      </c>
      <c r="I460" s="6" t="n">
        <v>0.5</v>
      </c>
      <c r="J460" s="6" t="n">
        <v>1</v>
      </c>
      <c r="P460">
        <f>MAX(P461)</f>
        <v/>
      </c>
      <c r="S460">
        <f>S461</f>
        <v/>
      </c>
      <c r="T460">
        <f>(E460/100000+F460/100+(P460/1000)*J460/5+S460/200)*200*I460*H460</f>
        <v/>
      </c>
      <c r="U460">
        <f>((E460*F460/25000)+((P460/1000)*J460*S460/2.5))*I460*H460</f>
        <v/>
      </c>
      <c r="V460">
        <f>(E460*F460*(P460/1000)*J460*S460*I460*H460)/12500000</f>
        <v/>
      </c>
      <c r="W460">
        <f>IFERROR((((E460/140000)+(F460/85)+(S460/525)+((P460/12000)*J460))*700/4+(((E460/140000)*(F460/85))+(((P460/12000)*J460)*(S460/525)))*700/2+((E460/140000)*(F460/85)*((P460/12000)*J460)*(S460/525))*700)*(H460/1.0)/3,"")</f>
        <v/>
      </c>
      <c r="X460" s="6" t="n">
        <v>750</v>
      </c>
      <c r="Y460">
        <f>IFERROR(W460-X460,"")</f>
        <v/>
      </c>
      <c r="Z460">
        <f>IFERROR(ABS(Y460)/MAX(X460,1),"")</f>
        <v/>
      </c>
      <c r="AA460">
        <f>IFERROR(ROUND(((3*X460-(((E460/140000)+(F460/85)+(S460/525))*700/4+((E460/140000)*(F460/85))*700/2)*(H460/1.0))/(700/4+((S460/525))*700/2+((E460/140000)*(F460/85)*(S460/525))*700)*(H460/1.0)*12000)/J460,-1),"")</f>
        <v/>
      </c>
    </row>
    <row r="461">
      <c r="B461" s="7" t="inlineStr">
        <is>
          <t xml:space="preserve">  ↳ ArcherArtilleryShell</t>
        </is>
      </c>
      <c r="C461" s="7" t="inlineStr">
        <is>
          <t>Armament@PRIMARY</t>
        </is>
      </c>
      <c r="L461" s="6" t="n">
        <v>70000</v>
      </c>
      <c r="M461" s="6" t="n">
        <v>140</v>
      </c>
      <c r="N461" s="6" t="n">
        <v>1</v>
      </c>
      <c r="O461" s="6" t="n"/>
      <c r="P461" s="6" t="n">
        <v>14000</v>
      </c>
      <c r="Q461" s="6" t="n">
        <v>1</v>
      </c>
      <c r="R461">
        <f>M461+IF(MAX(N461-1,0)&gt;0,IF(ISBLANK(O461),5*MAX(N461-1,0),IF(ISNUMBER(O461),O461*MAX(N461-1,0),SUM(IFERROR(VALUE(TEXTSPLIT(O461,",")),0)))),0)</f>
        <v/>
      </c>
      <c r="S461">
        <f>IFERROR(L461*MAX(N461,1)/R461*IF(ISBLANK(K460),1,K460),0)</f>
        <v/>
      </c>
      <c r="AB461" s="7" t="inlineStr">
        <is>
          <t>^MediumCannon, ^HeavyCannon, ^MediumFlameWeapon, ^ShrapnelWeapon, ^HeavyBomb</t>
        </is>
      </c>
    </row>
    <row r="462">
      <c r="A462" t="inlineStr">
        <is>
          <t>redalert</t>
        </is>
      </c>
      <c r="B462" t="inlineStr">
        <is>
          <t>japan_waveforceartillery</t>
        </is>
      </c>
      <c r="C462" t="inlineStr">
        <is>
          <t>Waveforce Artillery</t>
        </is>
      </c>
      <c r="D462" s="6" t="inlineStr">
        <is>
          <t>ArtilleryTank</t>
        </is>
      </c>
      <c r="E462" s="6" t="n">
        <v>50000</v>
      </c>
      <c r="F462" s="6" t="n">
        <v>55</v>
      </c>
      <c r="G462" t="inlineStr">
        <is>
          <t>Medium</t>
        </is>
      </c>
      <c r="H462" s="6" t="n">
        <v>0.75</v>
      </c>
      <c r="I462" s="6" t="n">
        <v>1</v>
      </c>
      <c r="J462" s="6" t="n">
        <v>1.25</v>
      </c>
      <c r="K462" t="n">
        <v>0.005</v>
      </c>
      <c r="X462" s="6" t="n">
        <v>2500</v>
      </c>
    </row>
    <row r="463">
      <c r="B463" s="7" t="inlineStr">
        <is>
          <t xml:space="preserve">  ↳ WaveArtilleryShell</t>
        </is>
      </c>
      <c r="C463" s="7" t="inlineStr">
        <is>
          <t>Armament@AG</t>
        </is>
      </c>
      <c r="M463" s="6" t="n">
        <v>111</v>
      </c>
      <c r="N463" s="6" t="n">
        <v>1</v>
      </c>
      <c r="O463" s="6" t="n"/>
      <c r="P463" s="6" t="n">
        <v>11111</v>
      </c>
      <c r="Q463" s="6" t="n">
        <v>1</v>
      </c>
      <c r="R463">
        <f>M463+IF(MAX(N463-1,0)&gt;0,IF(ISBLANK(O463),5*MAX(N463-1,0),IF(ISNUMBER(O463),O463*MAX(N463-1,0),SUM(IFERROR(VALUE(TEXTSPLIT(O463,",")),0)))),0)</f>
        <v/>
      </c>
      <c r="S463">
        <f>IFERROR(L463*MAX(N463,1)/R463*IF(ISBLANK(K462),1,K462),0)</f>
        <v/>
      </c>
      <c r="AB463" s="7" t="inlineStr"/>
    </row>
    <row r="464">
      <c r="A464" t="inlineStr">
        <is>
          <t>redalert</t>
        </is>
      </c>
      <c r="B464" t="inlineStr">
        <is>
          <t>ra1_soviets_grad</t>
        </is>
      </c>
      <c r="C464" t="inlineStr">
        <is>
          <t>Grad</t>
        </is>
      </c>
      <c r="D464" s="6" t="inlineStr">
        <is>
          <t>ArtilleryTank</t>
        </is>
      </c>
      <c r="E464" s="6" t="n">
        <v>50000</v>
      </c>
      <c r="F464" s="6" t="n">
        <v>75</v>
      </c>
      <c r="G464" t="inlineStr">
        <is>
          <t>Medium</t>
        </is>
      </c>
      <c r="H464" s="6" t="n">
        <v>0.75</v>
      </c>
      <c r="I464" s="6" t="n">
        <v>0.5</v>
      </c>
      <c r="J464" s="6" t="n">
        <v>1</v>
      </c>
      <c r="P464">
        <f>MAX(P465,P466)</f>
        <v/>
      </c>
      <c r="S464">
        <f>S465+S466</f>
        <v/>
      </c>
      <c r="T464">
        <f>(E464/100000+F464/100+(P464/1000)*J464/5+S464/200)*200*I464*H464</f>
        <v/>
      </c>
      <c r="U464">
        <f>((E464*F464/25000)+((P464/1000)*J464*S464/2.5))*I464*H464</f>
        <v/>
      </c>
      <c r="V464">
        <f>(E464*F464*(P464/1000)*J464*S464*I464*H464)/12500000</f>
        <v/>
      </c>
      <c r="W464">
        <f>IFERROR((((E464/140000)+(F464/85)+(S464/525)+((P464/12000)*J464))*700/4+(((E464/140000)*(F464/85))+(((P464/12000)*J464)*(S464/525)))*700/2+((E464/140000)*(F464/85)*((P464/12000)*J464)*(S464/525))*700)*(H464/1.0)/3,"")</f>
        <v/>
      </c>
      <c r="X464" s="6" t="n">
        <v>1400</v>
      </c>
      <c r="Y464">
        <f>IFERROR(W464-X464,"")</f>
        <v/>
      </c>
      <c r="Z464">
        <f>IFERROR(ABS(Y464)/MAX(X464,1),"")</f>
        <v/>
      </c>
      <c r="AA464">
        <f>IFERROR(ROUND(((3*X464-(((E464/140000)+(F464/85)+(S464/525))*700/4+((E464/140000)*(F464/85))*700/2)*(H464/1.0))/(700/4+((S464/525))*700/2+((E464/140000)*(F464/85)*(S464/525))*700)*(H464/1.0)*12000)/J464,-1),"")</f>
        <v/>
      </c>
    </row>
    <row r="465">
      <c r="B465" s="7" t="inlineStr">
        <is>
          <t xml:space="preserve">  ↳ GradRockets</t>
        </is>
      </c>
      <c r="C465" s="7" t="inlineStr">
        <is>
          <t>Armament</t>
        </is>
      </c>
      <c r="L465" s="6" t="n">
        <v>16000</v>
      </c>
      <c r="M465" s="6" t="n">
        <v>115</v>
      </c>
      <c r="N465" s="6" t="n">
        <v>8</v>
      </c>
      <c r="O465" s="6" t="n">
        <v>5</v>
      </c>
      <c r="P465" s="6" t="n">
        <v>13820</v>
      </c>
      <c r="Q465" s="6" t="n">
        <v>1.125</v>
      </c>
      <c r="R465">
        <f>M465+IF(MAX(N465-1,0)&gt;0,IF(ISBLANK(O465),5*MAX(N465-1,0),IF(ISNUMBER(O465),O465*MAX(N465-1,0),SUM(IFERROR(VALUE(TEXTSPLIT(O465,",")),0)))),0)</f>
        <v/>
      </c>
      <c r="S465">
        <f>IFERROR(L465*MAX(N465,1)/R465*IF(ISBLANK(K464),1,K464),0)</f>
        <v/>
      </c>
      <c r="AB465" s="7" t="inlineStr">
        <is>
          <t>^Warhead_MissileHE_Heavy, ^Warhead_Concussion_Medium</t>
        </is>
      </c>
    </row>
    <row r="466">
      <c r="B466" s="7" t="inlineStr">
        <is>
          <t xml:space="preserve">  ↳ GradHeavyRockets</t>
        </is>
      </c>
      <c r="C466" s="7" t="inlineStr">
        <is>
          <t>Armament@Upgrade</t>
        </is>
      </c>
      <c r="L466" s="6" t="n">
        <v>16000</v>
      </c>
      <c r="M466" s="6" t="n">
        <v>115</v>
      </c>
      <c r="N466" s="6" t="n">
        <v>8</v>
      </c>
      <c r="O466" s="6" t="n">
        <v>5</v>
      </c>
      <c r="P466" s="6" t="n">
        <v>13820</v>
      </c>
      <c r="Q466" s="6" t="n">
        <v>1.125</v>
      </c>
      <c r="R466">
        <f>M466+IF(MAX(N466-1,0)&gt;0,IF(ISBLANK(O466),5*MAX(N466-1,0),IF(ISNUMBER(O466),O466*MAX(N466-1,0),SUM(IFERROR(VALUE(TEXTSPLIT(O466,",")),0)))),0)</f>
        <v/>
      </c>
      <c r="S466">
        <f>IFERROR(L466*MAX(N466,1)/R466*IF(ISBLANK(K464),1,K464),0)</f>
        <v/>
      </c>
      <c r="AB466" s="7" t="inlineStr">
        <is>
          <t>^Warhead_MissileHE_Heavy, ^Warhead_Concussion_Medium</t>
        </is>
      </c>
    </row>
    <row r="467">
      <c r="A467" t="inlineStr">
        <is>
          <t>tiberiansun</t>
        </is>
      </c>
      <c r="B467" t="inlineStr">
        <is>
          <t>ts_nod_artillery</t>
        </is>
      </c>
      <c r="C467" t="inlineStr">
        <is>
          <t>Artillery</t>
        </is>
      </c>
      <c r="D467" s="6" t="inlineStr">
        <is>
          <t>ArtilleryTank</t>
        </is>
      </c>
      <c r="E467" s="6" t="n">
        <v>30000</v>
      </c>
      <c r="F467" s="6" t="n">
        <v>60</v>
      </c>
      <c r="G467" t="inlineStr">
        <is>
          <t>Medium</t>
        </is>
      </c>
      <c r="H467" s="6" t="n">
        <v>1</v>
      </c>
      <c r="I467" s="6" t="n">
        <v>1</v>
      </c>
      <c r="J467" s="6" t="n">
        <v>1</v>
      </c>
      <c r="P467">
        <f>MAX(P469,P470)</f>
        <v/>
      </c>
      <c r="S467">
        <f>S469+S470</f>
        <v/>
      </c>
      <c r="T467">
        <f>(E467/100000+F467/100+(P467/1000)*J467/5+S467/200)*200*I467*H467</f>
        <v/>
      </c>
      <c r="U467">
        <f>((E467*F467/25000)+((P467/1000)*J467*S467/2.5))*I467*H467</f>
        <v/>
      </c>
      <c r="V467">
        <f>(E467*F467*(P467/1000)*J467*S467*I467*H467)/12500000</f>
        <v/>
      </c>
      <c r="W467">
        <f>IFERROR((((E467/140000)+(F467/85)+(S467/525)+((P467/12000)*J467))*700/4+(((E467/140000)*(F467/85))+(((P467/12000)*J467)*(S467/525)))*700/2+((E467/140000)*(F467/85)*((P467/12000)*J467)*(S467/525))*700)*(H467/1.0)/3,"")</f>
        <v/>
      </c>
      <c r="X467" s="6" t="n">
        <v>1300</v>
      </c>
      <c r="Y467">
        <f>IFERROR(W467-X467,"")</f>
        <v/>
      </c>
      <c r="Z467">
        <f>IFERROR(ABS(Y467)/MAX(X467,1),"")</f>
        <v/>
      </c>
      <c r="AA467">
        <f>IFERROR(ROUND(((3*X467-(((E467/140000)+(F467/85)+(S467/525))*700/4+((E467/140000)*(F467/85))*700/2)*(H467/1.0))/(700/4+((S467/525))*700/2+((E467/140000)*(F467/85)*(S467/525))*700)*(H467/1.0)*12000)/J467,-1),"")</f>
        <v/>
      </c>
    </row>
    <row r="468">
      <c r="B468" s="7" t="inlineStr">
        <is>
          <t xml:space="preserve">  ↳ TSArtyTargeting</t>
        </is>
      </c>
      <c r="C468" s="7" t="inlineStr">
        <is>
          <t>Armament@Dummy</t>
        </is>
      </c>
      <c r="M468" s="6" t="n">
        <v>33</v>
      </c>
      <c r="N468" s="6" t="n">
        <v>1</v>
      </c>
      <c r="O468" s="6" t="n"/>
      <c r="P468" s="6" t="n">
        <v>13083</v>
      </c>
      <c r="Q468" s="6" t="n">
        <v>1</v>
      </c>
      <c r="R468">
        <f>M468+IF(MAX(N468-1,0)&gt;0,IF(ISBLANK(O468),5*MAX(N468-1,0),IF(ISNUMBER(O468),O468*MAX(N468-1,0),SUM(IFERROR(VALUE(TEXTSPLIT(O468,",")),0)))),0)</f>
        <v/>
      </c>
      <c r="S468">
        <f>IFERROR(L468*MAX(N468,1)/R468*IF(ISBLANK(K467),1,K467),0)</f>
        <v/>
      </c>
      <c r="AB468" s="7" t="inlineStr"/>
    </row>
    <row r="469">
      <c r="B469" s="7" t="inlineStr">
        <is>
          <t xml:space="preserve">  ↳ TS155mm</t>
        </is>
      </c>
      <c r="C469" s="7" t="inlineStr">
        <is>
          <t>Armament@Deployed</t>
        </is>
      </c>
      <c r="L469" s="6" t="n">
        <v>60000</v>
      </c>
      <c r="M469" s="6" t="n">
        <v>135</v>
      </c>
      <c r="N469" s="6" t="n">
        <v>1</v>
      </c>
      <c r="O469" s="6" t="n"/>
      <c r="P469" s="6" t="n">
        <v>13083</v>
      </c>
      <c r="Q469" s="6" t="n">
        <v>1.125</v>
      </c>
      <c r="R469">
        <f>M469+IF(MAX(N469-1,0)&gt;0,IF(ISBLANK(O469),5*MAX(N469-1,0),IF(ISNUMBER(O469),O469*MAX(N469-1,0),SUM(IFERROR(VALUE(TEXTSPLIT(O469,",")),0)))),0)</f>
        <v/>
      </c>
      <c r="S469">
        <f>IFERROR(L469*MAX(N469,1)/R469*IF(ISBLANK(K467),1,K467),0)</f>
        <v/>
      </c>
      <c r="AB469" s="7" t="inlineStr">
        <is>
          <t>^Warhead_Concussion_Medium, ^Warhead_Demolition_Heavy</t>
        </is>
      </c>
    </row>
    <row r="470">
      <c r="B470" s="7" t="inlineStr">
        <is>
          <t xml:space="preserve">  ↳ TSAux155mm</t>
        </is>
      </c>
      <c r="C470" s="7" t="inlineStr">
        <is>
          <t>Armament@DeployedUpgrade</t>
        </is>
      </c>
      <c r="L470" s="6" t="n">
        <v>60000</v>
      </c>
      <c r="M470" s="6" t="n">
        <v>135</v>
      </c>
      <c r="N470" s="6" t="n">
        <v>1</v>
      </c>
      <c r="O470" s="6" t="n"/>
      <c r="P470" s="6" t="n">
        <v>13083</v>
      </c>
      <c r="Q470" s="6" t="n">
        <v>1.125</v>
      </c>
      <c r="R470">
        <f>M470+IF(MAX(N470-1,0)&gt;0,IF(ISBLANK(O470),5*MAX(N470-1,0),IF(ISNUMBER(O470),O470*MAX(N470-1,0),SUM(IFERROR(VALUE(TEXTSPLIT(O470,",")),0)))),0)</f>
        <v/>
      </c>
      <c r="S470">
        <f>IFERROR(L470*MAX(N470,1)/R470*IF(ISBLANK(K467),1,K467),0)</f>
        <v/>
      </c>
      <c r="AB470" s="7" t="inlineStr">
        <is>
          <t>^Warhead_Concussion_Medium, ^Warhead_Demolition_Heavy</t>
        </is>
      </c>
    </row>
    <row r="471">
      <c r="A471" t="inlineStr">
        <is>
          <t>tiberiansun</t>
        </is>
      </c>
      <c r="B471" t="inlineStr">
        <is>
          <t>ts_gdi_juggernaut</t>
        </is>
      </c>
      <c r="C471" t="inlineStr">
        <is>
          <t>Juggernaut</t>
        </is>
      </c>
      <c r="D471" s="6" t="inlineStr">
        <is>
          <t>ArtilleryTank</t>
        </is>
      </c>
      <c r="E471" s="6" t="n">
        <v>35000</v>
      </c>
      <c r="F471" s="6" t="n">
        <v>71</v>
      </c>
      <c r="G471" t="inlineStr">
        <is>
          <t>Medium</t>
        </is>
      </c>
      <c r="H471" s="6" t="n">
        <v>0.6471</v>
      </c>
      <c r="I471" s="6" t="n">
        <v>1</v>
      </c>
      <c r="J471" s="6" t="n">
        <v>1</v>
      </c>
      <c r="P471">
        <f>MAX(P473)</f>
        <v/>
      </c>
      <c r="S471">
        <f>S473</f>
        <v/>
      </c>
      <c r="T471">
        <f>(E471/100000+F471/100+(P471/1000)*J471/5+S471/200)*200*I471*H471</f>
        <v/>
      </c>
      <c r="U471">
        <f>((E471*F471/25000)+((P471/1000)*J471*S471/2.5))*I471*H471</f>
        <v/>
      </c>
      <c r="V471">
        <f>(E471*F471*(P471/1000)*J471*S471*I471*H471)/12500000</f>
        <v/>
      </c>
      <c r="W471">
        <f>IFERROR((((E471/140000)+(F471/85)+(S471/525)+((P471/12000)*J471))*700/4+(((E471/140000)*(F471/85))+(((P471/12000)*J471)*(S471/525)))*700/2+((E471/140000)*(F471/85)*((P471/12000)*J471)*(S471/525))*700)*(H471/1.0)/3,"")</f>
        <v/>
      </c>
      <c r="X471" s="6" t="n">
        <v>1400</v>
      </c>
      <c r="Y471">
        <f>IFERROR(W471-X471,"")</f>
        <v/>
      </c>
      <c r="Z471">
        <f>IFERROR(ABS(Y471)/MAX(X471,1),"")</f>
        <v/>
      </c>
      <c r="AA471">
        <f>IFERROR(ROUND(((3*X471-(((E471/140000)+(F471/85)+(S471/525))*700/4+((E471/140000)*(F471/85))*700/2)*(H471/1.0))/(700/4+((S471/525))*700/2+((E471/140000)*(F471/85)*(S471/525))*700)*(H471/1.0)*12000)/J471,-1),"")</f>
        <v/>
      </c>
    </row>
    <row r="472">
      <c r="B472" s="7" t="inlineStr">
        <is>
          <t xml:space="preserve">  ↳ TSJuggTargeting</t>
        </is>
      </c>
      <c r="C472" s="7" t="inlineStr">
        <is>
          <t>Armament@Dummy</t>
        </is>
      </c>
      <c r="M472" s="6" t="n">
        <v>33</v>
      </c>
      <c r="N472" s="6" t="n">
        <v>1</v>
      </c>
      <c r="O472" s="6" t="n"/>
      <c r="P472" s="6" t="n">
        <v>12834</v>
      </c>
      <c r="Q472" s="6" t="n">
        <v>1</v>
      </c>
      <c r="R472">
        <f>M472+IF(MAX(N472-1,0)&gt;0,IF(ISBLANK(O472),5*MAX(N472-1,0),IF(ISNUMBER(O472),O472*MAX(N472-1,0),SUM(IFERROR(VALUE(TEXTSPLIT(O472,",")),0)))),0)</f>
        <v/>
      </c>
      <c r="S472">
        <f>IFERROR(L472*MAX(N472,1)/R472*IF(ISBLANK(K471),1,K471),0)</f>
        <v/>
      </c>
      <c r="AB472" s="7" t="inlineStr"/>
    </row>
    <row r="473">
      <c r="B473" s="7" t="inlineStr">
        <is>
          <t xml:space="preserve">  ↳ TSJugg90mm</t>
        </is>
      </c>
      <c r="C473" s="7" t="inlineStr">
        <is>
          <t>Armament@Deployed</t>
        </is>
      </c>
      <c r="L473" s="6" t="n">
        <v>30000</v>
      </c>
      <c r="M473" s="6" t="n">
        <v>69</v>
      </c>
      <c r="N473" s="6" t="n">
        <v>3</v>
      </c>
      <c r="O473" s="6" t="n">
        <v>3</v>
      </c>
      <c r="P473" s="6" t="n">
        <v>12834</v>
      </c>
      <c r="Q473" s="6" t="n">
        <v>1</v>
      </c>
      <c r="R473">
        <f>M473+IF(MAX(N473-1,0)&gt;0,IF(ISBLANK(O473),5*MAX(N473-1,0),IF(ISNUMBER(O473),O473*MAX(N473-1,0),SUM(IFERROR(VALUE(TEXTSPLIT(O473,",")),0)))),0)</f>
        <v/>
      </c>
      <c r="S473">
        <f>IFERROR(L473*MAX(N473,1)/R473*IF(ISBLANK(K471),1,K471),0)</f>
        <v/>
      </c>
      <c r="AB473" s="7" t="inlineStr">
        <is>
          <t>^Warhead_Concussion_Medium</t>
        </is>
      </c>
    </row>
    <row r="474">
      <c r="A474" t="inlineStr">
        <is>
          <t>tiberiansun</t>
        </is>
      </c>
      <c r="B474" t="inlineStr">
        <is>
          <t>forgotten_missilevan</t>
        </is>
      </c>
      <c r="C474" t="inlineStr">
        <is>
          <t>actor_forgotten_missilevan.name</t>
        </is>
      </c>
      <c r="D474" s="6" t="inlineStr">
        <is>
          <t>ArtilleryTank</t>
        </is>
      </c>
      <c r="E474" s="6" t="n">
        <v>35000</v>
      </c>
      <c r="F474" s="6" t="n">
        <v>75</v>
      </c>
      <c r="G474" t="inlineStr">
        <is>
          <t>Medium</t>
        </is>
      </c>
      <c r="H474" s="6" t="n">
        <v>0.7269</v>
      </c>
      <c r="I474" s="6" t="n">
        <v>1</v>
      </c>
      <c r="J474" s="6" t="n">
        <v>1</v>
      </c>
      <c r="P474">
        <f>MAX(P475,P476)</f>
        <v/>
      </c>
      <c r="S474">
        <f>S475+S476</f>
        <v/>
      </c>
      <c r="T474">
        <f>(E474/100000+F474/100+(P474/1000)*J474/5+S474/200)*200*I474*H474</f>
        <v/>
      </c>
      <c r="U474">
        <f>((E474*F474/25000)+((P474/1000)*J474*S474/2.5))*I474*H474</f>
        <v/>
      </c>
      <c r="V474">
        <f>(E474*F474*(P474/1000)*J474*S474*I474*H474)/12500000</f>
        <v/>
      </c>
      <c r="W474">
        <f>IFERROR((((E474/140000)+(F474/85)+(S474/525)+((P474/12000)*J474))*700/4+(((E474/140000)*(F474/85))+(((P474/12000)*J474)*(S474/525)))*700/2+((E474/140000)*(F474/85)*((P474/12000)*J474)*(S474/525))*700)*(H474/1.0)/3,"")</f>
        <v/>
      </c>
      <c r="X474" s="6" t="n">
        <v>1200</v>
      </c>
      <c r="Y474">
        <f>IFERROR(W474-X474,"")</f>
        <v/>
      </c>
      <c r="Z474">
        <f>IFERROR(ABS(Y474)/MAX(X474,1),"")</f>
        <v/>
      </c>
      <c r="AA474">
        <f>IFERROR(ROUND(((3*X474-(((E474/140000)+(F474/85)+(S474/525))*700/4+((E474/140000)*(F474/85))*700/2)*(H474/1.0))/(700/4+((S474/525))*700/2+((E474/140000)*(F474/85)*(S474/525))*700)*(H474/1.0)*12000)/J474,-1),"")</f>
        <v/>
      </c>
    </row>
    <row r="475">
      <c r="B475" s="7" t="inlineStr">
        <is>
          <t xml:space="preserve">  ↳ TSVanMissile</t>
        </is>
      </c>
      <c r="C475" s="7" t="inlineStr">
        <is>
          <t>Armament@PRIMARY</t>
        </is>
      </c>
      <c r="L475" s="6" t="n">
        <v>24000</v>
      </c>
      <c r="M475" s="6" t="n">
        <v>32</v>
      </c>
      <c r="N475" s="6" t="n">
        <v>2</v>
      </c>
      <c r="O475" s="6" t="n">
        <v>8</v>
      </c>
      <c r="P475" s="6" t="n">
        <v>10460</v>
      </c>
      <c r="Q475" s="6" t="n">
        <v>1</v>
      </c>
      <c r="R475">
        <f>M475+IF(MAX(N475-1,0)&gt;0,IF(ISBLANK(O475),5*MAX(N475-1,0),IF(ISNUMBER(O475),O475*MAX(N475-1,0),SUM(IFERROR(VALUE(TEXTSPLIT(O475,",")),0)))),0)</f>
        <v/>
      </c>
      <c r="S475">
        <f>IFERROR(L475*MAX(N475,1)/R475*IF(ISBLANK(K474),1,K474),0)</f>
        <v/>
      </c>
      <c r="AB475" s="7" t="inlineStr">
        <is>
          <t>^Warhead_Concussion_Medium</t>
        </is>
      </c>
    </row>
    <row r="476">
      <c r="B476" s="7" t="inlineStr">
        <is>
          <t xml:space="preserve">  ↳ TSChemVanMissile</t>
        </is>
      </c>
      <c r="C476" s="7" t="inlineStr">
        <is>
          <t>Armament@UPGRADE</t>
        </is>
      </c>
      <c r="L476" s="6" t="n">
        <v>36000</v>
      </c>
      <c r="M476" s="6" t="n">
        <v>32</v>
      </c>
      <c r="N476" s="6" t="n">
        <v>2</v>
      </c>
      <c r="O476" s="6" t="n">
        <v>8</v>
      </c>
      <c r="P476" s="6" t="n">
        <v>10460</v>
      </c>
      <c r="Q476" s="6" t="n">
        <v>1</v>
      </c>
      <c r="R476">
        <f>M476+IF(MAX(N476-1,0)&gt;0,IF(ISBLANK(O476),5*MAX(N476-1,0),IF(ISNUMBER(O476),O476*MAX(N476-1,0),SUM(IFERROR(VALUE(TEXTSPLIT(O476,",")),0)))),0)</f>
        <v/>
      </c>
      <c r="S476">
        <f>IFERROR(L476*MAX(N476,1)/R476*IF(ISBLANK(K474),1,K474),0)</f>
        <v/>
      </c>
      <c r="AB476" s="7" t="inlineStr">
        <is>
          <t>^Warhead_MissileChem_Medium</t>
        </is>
      </c>
    </row>
    <row r="477">
      <c r="A477" t="inlineStr">
        <is>
          <t>tiberiansun</t>
        </is>
      </c>
      <c r="B477" t="inlineStr">
        <is>
          <t>forgotten_mlrs</t>
        </is>
      </c>
      <c r="C477" t="inlineStr">
        <is>
          <t>actor_forgotten_mlrs.name</t>
        </is>
      </c>
      <c r="D477" s="6" t="inlineStr">
        <is>
          <t>ArtilleryTank</t>
        </is>
      </c>
      <c r="E477" s="6" t="n">
        <v>40000</v>
      </c>
      <c r="F477" s="6" t="n">
        <v>80</v>
      </c>
      <c r="G477" t="inlineStr">
        <is>
          <t>Medium</t>
        </is>
      </c>
      <c r="H477" s="6" t="n">
        <v>0.7269</v>
      </c>
      <c r="I477" s="6" t="n">
        <v>1</v>
      </c>
      <c r="J477" s="6" t="n">
        <v>1</v>
      </c>
      <c r="P477">
        <f>MAX(P478,P479)</f>
        <v/>
      </c>
      <c r="S477">
        <f>S478+S479</f>
        <v/>
      </c>
      <c r="T477">
        <f>(E477/100000+F477/100+(P477/1000)*J477/5+S477/200)*200*I477*H477</f>
        <v/>
      </c>
      <c r="U477">
        <f>((E477*F477/25000)+((P477/1000)*J477*S477/2.5))*I477*H477</f>
        <v/>
      </c>
      <c r="V477">
        <f>(E477*F477*(P477/1000)*J477*S477*I477*H477)/12500000</f>
        <v/>
      </c>
      <c r="W477">
        <f>IFERROR((((E477/140000)+(F477/85)+(S477/525)+((P477/12000)*J477))*700/4+(((E477/140000)*(F477/85))+(((P477/12000)*J477)*(S477/525)))*700/2+((E477/140000)*(F477/85)*((P477/12000)*J477)*(S477/525))*700)*(H477/1.0)/3,"")</f>
        <v/>
      </c>
      <c r="X477" s="6" t="n">
        <v>2750</v>
      </c>
      <c r="Y477">
        <f>IFERROR(W477-X477,"")</f>
        <v/>
      </c>
      <c r="Z477">
        <f>IFERROR(ABS(Y477)/MAX(X477,1),"")</f>
        <v/>
      </c>
      <c r="AA477">
        <f>IFERROR(ROUND(((3*X477-(((E477/140000)+(F477/85)+(S477/525))*700/4+((E477/140000)*(F477/85))*700/2)*(H477/1.0))/(700/4+((S477/525))*700/2+((E477/140000)*(F477/85)*(S477/525))*700)*(H477/1.0)*12000)/J477,-1),"")</f>
        <v/>
      </c>
    </row>
    <row r="478">
      <c r="B478" s="7" t="inlineStr">
        <is>
          <t xml:space="preserve">  ↳ TSMLRSMissile</t>
        </is>
      </c>
      <c r="C478" s="7" t="inlineStr">
        <is>
          <t>Armament@PRIMARY</t>
        </is>
      </c>
      <c r="L478" s="6" t="n">
        <v>24000</v>
      </c>
      <c r="M478" s="6" t="n">
        <v>34</v>
      </c>
      <c r="N478" s="6" t="n">
        <v>4</v>
      </c>
      <c r="O478" s="6" t="n">
        <v>2</v>
      </c>
      <c r="P478" s="6" t="n">
        <v>11913</v>
      </c>
      <c r="Q478" s="6" t="n">
        <v>1</v>
      </c>
      <c r="R478">
        <f>M478+IF(MAX(N478-1,0)&gt;0,IF(ISBLANK(O478),5*MAX(N478-1,0),IF(ISNUMBER(O478),O478*MAX(N478-1,0),SUM(IFERROR(VALUE(TEXTSPLIT(O478,",")),0)))),0)</f>
        <v/>
      </c>
      <c r="S478">
        <f>IFERROR(L478*MAX(N478,1)/R478*IF(ISBLANK(K477),1,K477),0)</f>
        <v/>
      </c>
      <c r="AB478" s="7" t="inlineStr">
        <is>
          <t>^Warhead_Concussion_Medium</t>
        </is>
      </c>
    </row>
    <row r="479">
      <c r="B479" s="7" t="inlineStr">
        <is>
          <t xml:space="preserve">  ↳ TSChemMLRSMissile</t>
        </is>
      </c>
      <c r="C479" s="7" t="inlineStr">
        <is>
          <t>Armament@UPGRADE</t>
        </is>
      </c>
      <c r="L479" s="6" t="n">
        <v>36000</v>
      </c>
      <c r="M479" s="6" t="n">
        <v>34</v>
      </c>
      <c r="N479" s="6" t="n">
        <v>4</v>
      </c>
      <c r="O479" s="6" t="n">
        <v>2</v>
      </c>
      <c r="P479" s="6" t="n">
        <v>11913</v>
      </c>
      <c r="Q479" s="6" t="n">
        <v>1</v>
      </c>
      <c r="R479">
        <f>M479+IF(MAX(N479-1,0)&gt;0,IF(ISBLANK(O479),5*MAX(N479-1,0),IF(ISNUMBER(O479),O479*MAX(N479-1,0),SUM(IFERROR(VALUE(TEXTSPLIT(O479,",")),0)))),0)</f>
        <v/>
      </c>
      <c r="S479">
        <f>IFERROR(L479*MAX(N479,1)/R479*IF(ISBLANK(K477),1,K477),0)</f>
        <v/>
      </c>
      <c r="AB479" s="7" t="inlineStr">
        <is>
          <t>^Warhead_MissileChem_Medium</t>
        </is>
      </c>
    </row>
    <row r="480">
      <c r="A480" t="inlineStr">
        <is>
          <t>redalert2mod</t>
        </is>
      </c>
      <c r="B480" t="inlineStr">
        <is>
          <t>asianalliance_howitzer</t>
        </is>
      </c>
      <c r="C480" t="inlineStr">
        <is>
          <t>Howitzer</t>
        </is>
      </c>
      <c r="D480" s="6" t="inlineStr">
        <is>
          <t>ArtilleryTank</t>
        </is>
      </c>
      <c r="E480" s="6" t="n">
        <v>40000</v>
      </c>
      <c r="F480" s="6" t="n">
        <v>60</v>
      </c>
      <c r="G480" t="inlineStr">
        <is>
          <t>Medium</t>
        </is>
      </c>
      <c r="H480" s="6" t="n">
        <v>0.375</v>
      </c>
      <c r="I480" s="6" t="n">
        <v>1</v>
      </c>
      <c r="J480" s="6" t="n">
        <v>1</v>
      </c>
      <c r="P480">
        <f>MAX(P481,P482)</f>
        <v/>
      </c>
      <c r="S480">
        <f>S481+S482</f>
        <v/>
      </c>
      <c r="T480">
        <f>(E480/100000+F480/100+(P480/1000)*J480/5+S480/200)*200*I480*H480</f>
        <v/>
      </c>
      <c r="U480">
        <f>((E480*F480/25000)+((P480/1000)*J480*S480/2.5))*I480*H480</f>
        <v/>
      </c>
      <c r="V480">
        <f>(E480*F480*(P480/1000)*J480*S480*I480*H480)/12500000</f>
        <v/>
      </c>
      <c r="W480">
        <f>IFERROR((((E480/140000)+(F480/85)+(S480/525)+((P480/12000)*J480))*700/4+(((E480/140000)*(F480/85))+(((P480/12000)*J480)*(S480/525)))*700/2+((E480/140000)*(F480/85)*((P480/12000)*J480)*(S480/525))*700)*(H480/1.0)/3,"")</f>
        <v/>
      </c>
      <c r="X480" s="6" t="n">
        <v>1600</v>
      </c>
      <c r="Y480">
        <f>IFERROR(W480-X480,"")</f>
        <v/>
      </c>
      <c r="Z480">
        <f>IFERROR(ABS(Y480)/MAX(X480,1),"")</f>
        <v/>
      </c>
      <c r="AA480">
        <f>IFERROR(ROUND(((3*X480-(((E480/140000)+(F480/85)+(S480/525))*700/4+((E480/140000)*(F480/85))*700/2)*(H480/1.0))/(700/4+((S480/525))*700/2+((E480/140000)*(F480/85)*(S480/525))*700)*(H480/1.0)*12000)/J480,-1),"")</f>
        <v/>
      </c>
    </row>
    <row r="481">
      <c r="B481" s="7" t="inlineStr">
        <is>
          <t xml:space="preserve">  ↳ AsianHowitzerCannon</t>
        </is>
      </c>
      <c r="C481" s="7" t="inlineStr">
        <is>
          <t>Armament</t>
        </is>
      </c>
      <c r="L481" s="6" t="n">
        <v>40000</v>
      </c>
      <c r="M481" s="6" t="n">
        <v>160</v>
      </c>
      <c r="N481" s="6" t="n">
        <v>1</v>
      </c>
      <c r="O481" s="6" t="n"/>
      <c r="P481" s="6" t="n">
        <v>16000</v>
      </c>
      <c r="Q481" s="6" t="n">
        <v>1.125</v>
      </c>
      <c r="R481">
        <f>M481+IF(MAX(N481-1,0)&gt;0,IF(ISBLANK(O481),5*MAX(N481-1,0),IF(ISNUMBER(O481),O481*MAX(N481-1,0),SUM(IFERROR(VALUE(TEXTSPLIT(O481,",")),0)))),0)</f>
        <v/>
      </c>
      <c r="S481">
        <f>IFERROR(L481*MAX(N481,1)/R481*IF(ISBLANK(K480),1,K480),0)</f>
        <v/>
      </c>
      <c r="AB481" s="7" t="inlineStr">
        <is>
          <t>^Warhead_CannonHE_Medium, ^Warhead_CannonHE_Heavy</t>
        </is>
      </c>
    </row>
    <row r="482">
      <c r="B482" s="7" t="inlineStr">
        <is>
          <t xml:space="preserve">  ↳ AsianHowitzerCannon_elite</t>
        </is>
      </c>
      <c r="C482" s="7" t="inlineStr">
        <is>
          <t>Armament@ELITE</t>
        </is>
      </c>
      <c r="L482" s="6" t="n">
        <v>40000</v>
      </c>
      <c r="M482" s="6" t="n">
        <v>160</v>
      </c>
      <c r="N482" s="6" t="n">
        <v>1</v>
      </c>
      <c r="O482" s="6" t="n"/>
      <c r="P482" s="6" t="n">
        <v>20000</v>
      </c>
      <c r="Q482" s="6" t="n">
        <v>1.125</v>
      </c>
      <c r="R482">
        <f>M482+IF(MAX(N482-1,0)&gt;0,IF(ISBLANK(O482),5*MAX(N482-1,0),IF(ISNUMBER(O482),O482*MAX(N482-1,0),SUM(IFERROR(VALUE(TEXTSPLIT(O482,",")),0)))),0)</f>
        <v/>
      </c>
      <c r="S482">
        <f>IFERROR(L482*MAX(N482,1)/R482*IF(ISBLANK(K480),1,K480),0)</f>
        <v/>
      </c>
      <c r="AB482" s="7" t="inlineStr">
        <is>
          <t>^Warhead_CannonHE_Medium, ^Warhead_CannonHE_Heavy</t>
        </is>
      </c>
    </row>
    <row r="483">
      <c r="A483" t="inlineStr">
        <is>
          <t>redalert2mod</t>
        </is>
      </c>
      <c r="B483" t="inlineStr">
        <is>
          <t>schwarzermond_lunargrille</t>
        </is>
      </c>
      <c r="C483" t="inlineStr">
        <is>
          <t>Lunar Grille</t>
        </is>
      </c>
      <c r="D483" s="6" t="inlineStr">
        <is>
          <t>ArtilleryTank</t>
        </is>
      </c>
      <c r="E483" s="6" t="n">
        <v>62500</v>
      </c>
      <c r="F483" s="6" t="n">
        <v>90</v>
      </c>
      <c r="G483" t="inlineStr">
        <is>
          <t>Medium</t>
        </is>
      </c>
      <c r="H483" s="6" t="n">
        <v>1</v>
      </c>
      <c r="I483" s="6" t="n">
        <v>0.5</v>
      </c>
      <c r="J483" s="6" t="n">
        <v>1</v>
      </c>
      <c r="P483">
        <f>MAX(P484,P485,P486,P487)</f>
        <v/>
      </c>
      <c r="S483">
        <f>S484+S485+S486+S487</f>
        <v/>
      </c>
      <c r="T483">
        <f>(E483/100000+F483/100+(P483/1000)*J483/5+S483/200)*200*I483*H483</f>
        <v/>
      </c>
      <c r="U483">
        <f>((E483*F483/25000)+((P483/1000)*J483*S483/2.5))*I483*H483</f>
        <v/>
      </c>
      <c r="V483">
        <f>(E483*F483*(P483/1000)*J483*S483*I483*H483)/12500000</f>
        <v/>
      </c>
      <c r="W483">
        <f>IFERROR((((E483/140000)+(F483/85)+(S483/525)+((P483/12000)*J483))*700/4+(((E483/140000)*(F483/85))+(((P483/12000)*J483)*(S483/525)))*700/2+((E483/140000)*(F483/85)*((P483/12000)*J483)*(S483/525))*700)*(H483/1.0)/3,"")</f>
        <v/>
      </c>
      <c r="X483" s="6" t="n">
        <v>600</v>
      </c>
      <c r="Y483">
        <f>IFERROR(W483-X483,"")</f>
        <v/>
      </c>
      <c r="Z483">
        <f>IFERROR(ABS(Y483)/MAX(X483,1),"")</f>
        <v/>
      </c>
      <c r="AA483">
        <f>IFERROR(ROUND(((3*X483-(((E483/140000)+(F483/85)+(S483/525))*700/4+((E483/140000)*(F483/85))*700/2)*(H483/1.0))/(700/4+((S483/525))*700/2+((E483/140000)*(F483/85)*(S483/525))*700)*(H483/1.0)*12000)/J483,-1),"")</f>
        <v/>
      </c>
    </row>
    <row r="484">
      <c r="B484" s="7" t="inlineStr">
        <is>
          <t xml:space="preserve">  ↳ NaxGrilleArty</t>
        </is>
      </c>
      <c r="C484" s="7" t="inlineStr">
        <is>
          <t>Armament@AG</t>
        </is>
      </c>
      <c r="L484" s="6" t="n">
        <v>48000</v>
      </c>
      <c r="M484" s="6" t="n">
        <v>111</v>
      </c>
      <c r="N484" s="6" t="n">
        <v>1</v>
      </c>
      <c r="O484" s="6" t="n"/>
      <c r="P484" s="6" t="n">
        <v>12345</v>
      </c>
      <c r="Q484" s="6" t="n">
        <v>1</v>
      </c>
      <c r="R484">
        <f>M484+IF(MAX(N484-1,0)&gt;0,IF(ISBLANK(O484),5*MAX(N484-1,0),IF(ISNUMBER(O484),O484*MAX(N484-1,0),SUM(IFERROR(VALUE(TEXTSPLIT(O484,",")),0)))),0)</f>
        <v/>
      </c>
      <c r="S484">
        <f>IFERROR(L484*MAX(N484,1)/R484*IF(ISBLANK(K483),1,K483),0)</f>
        <v/>
      </c>
      <c r="AB484" s="7" t="inlineStr">
        <is>
          <t>^Warhead_CannonHE_Heavy, ^Warhead_Concussion_Medium, ^Warhead_Demolition_Light</t>
        </is>
      </c>
    </row>
    <row r="485">
      <c r="B485" s="7" t="inlineStr">
        <is>
          <t xml:space="preserve">  ↳ NaxGrilleArty_elite</t>
        </is>
      </c>
      <c r="C485" s="7" t="inlineStr">
        <is>
          <t>Armament@elite</t>
        </is>
      </c>
      <c r="L485" s="6" t="n">
        <v>48000</v>
      </c>
      <c r="M485" s="6" t="n">
        <v>111</v>
      </c>
      <c r="N485" s="6" t="n">
        <v>2</v>
      </c>
      <c r="O485" s="6" t="n">
        <v>3</v>
      </c>
      <c r="P485" s="6" t="n">
        <v>13333</v>
      </c>
      <c r="Q485" s="6" t="n">
        <v>1</v>
      </c>
      <c r="R485">
        <f>M485+IF(MAX(N485-1,0)&gt;0,IF(ISBLANK(O485),5*MAX(N485-1,0),IF(ISNUMBER(O485),O485*MAX(N485-1,0),SUM(IFERROR(VALUE(TEXTSPLIT(O485,",")),0)))),0)</f>
        <v/>
      </c>
      <c r="S485">
        <f>IFERROR(L485*MAX(N485,1)/R485*IF(ISBLANK(K483),1,K483),0)</f>
        <v/>
      </c>
      <c r="AB485" s="7" t="inlineStr">
        <is>
          <t>^Warhead_CannonHE_Heavy, ^Warhead_Concussion_Medium, ^Warhead_Demolition_Light</t>
        </is>
      </c>
    </row>
    <row r="486">
      <c r="B486" s="7" t="inlineStr">
        <is>
          <t xml:space="preserve">  ↳ Lunar_GreenGrilleArty</t>
        </is>
      </c>
      <c r="C486" s="7" t="inlineStr">
        <is>
          <t>Armament@upgraded</t>
        </is>
      </c>
      <c r="L486" s="6" t="n">
        <v>64000</v>
      </c>
      <c r="M486" s="6" t="n">
        <v>111</v>
      </c>
      <c r="N486" s="6" t="n">
        <v>1</v>
      </c>
      <c r="O486" s="6" t="n"/>
      <c r="P486" s="6" t="n">
        <v>12345</v>
      </c>
      <c r="Q486" s="6" t="n">
        <v>1</v>
      </c>
      <c r="R486">
        <f>M486+IF(MAX(N486-1,0)&gt;0,IF(ISBLANK(O486),5*MAX(N486-1,0),IF(ISNUMBER(O486),O486*MAX(N486-1,0),SUM(IFERROR(VALUE(TEXTSPLIT(O486,",")),0)))),0)</f>
        <v/>
      </c>
      <c r="S486">
        <f>IFERROR(L486*MAX(N486,1)/R486*IF(ISBLANK(K483),1,K483),0)</f>
        <v/>
      </c>
      <c r="AB486" s="7" t="inlineStr">
        <is>
          <t>^Warhead_Tesla_Heavy, ^Warhead_CannonHE_Heavy, ^Warhead_Concussion_Medium, ^Warhead_Demolition_Light</t>
        </is>
      </c>
    </row>
    <row r="487">
      <c r="B487" s="7" t="inlineStr">
        <is>
          <t xml:space="preserve">  ↳ Lunar_GreenGrilleArty_elite</t>
        </is>
      </c>
      <c r="C487" s="7" t="inlineStr">
        <is>
          <t>Armament@elite-upgrade</t>
        </is>
      </c>
      <c r="L487" s="6" t="n">
        <v>64000</v>
      </c>
      <c r="M487" s="6" t="n">
        <v>111</v>
      </c>
      <c r="N487" s="6" t="n">
        <v>2</v>
      </c>
      <c r="O487" s="6" t="n">
        <v>3</v>
      </c>
      <c r="P487" s="6" t="n">
        <v>13333</v>
      </c>
      <c r="Q487" s="6" t="n">
        <v>1</v>
      </c>
      <c r="R487">
        <f>M487+IF(MAX(N487-1,0)&gt;0,IF(ISBLANK(O487),5*MAX(N487-1,0),IF(ISNUMBER(O487),O487*MAX(N487-1,0),SUM(IFERROR(VALUE(TEXTSPLIT(O487,",")),0)))),0)</f>
        <v/>
      </c>
      <c r="S487">
        <f>IFERROR(L487*MAX(N487,1)/R487*IF(ISBLANK(K483),1,K483),0)</f>
        <v/>
      </c>
      <c r="AB487" s="7" t="inlineStr">
        <is>
          <t>^Warhead_Tesla_Heavy, ^Warhead_CannonHE_Heavy, ^Warhead_Concussion_Medium, ^Warhead_Demolition_Light</t>
        </is>
      </c>
    </row>
    <row r="488">
      <c r="A488" t="inlineStr">
        <is>
          <t>redalert2mod</t>
        </is>
      </c>
      <c r="B488" t="inlineStr">
        <is>
          <t>schwarzermond_mars</t>
        </is>
      </c>
      <c r="C488" t="inlineStr">
        <is>
          <t>MARS</t>
        </is>
      </c>
      <c r="D488" s="6" t="inlineStr">
        <is>
          <t>ArtilleryTank</t>
        </is>
      </c>
      <c r="E488" s="6" t="n">
        <v>35000</v>
      </c>
      <c r="F488" s="6" t="n">
        <v>70</v>
      </c>
      <c r="G488" t="inlineStr">
        <is>
          <t>Medium</t>
        </is>
      </c>
      <c r="H488" s="6" t="n">
        <v>0.6846</v>
      </c>
      <c r="I488" s="6" t="n">
        <v>1</v>
      </c>
      <c r="J488" s="6" t="n">
        <v>1</v>
      </c>
      <c r="K488" t="n">
        <v>0.0125</v>
      </c>
      <c r="X488" s="6" t="n">
        <v>2000</v>
      </c>
    </row>
    <row r="489">
      <c r="B489" s="7" t="inlineStr">
        <is>
          <t xml:space="preserve">  ↳ NaxisBradleyTarget</t>
        </is>
      </c>
      <c r="C489" s="7" t="inlineStr">
        <is>
          <t>Armament</t>
        </is>
      </c>
      <c r="M489" s="6" t="n">
        <v>135</v>
      </c>
      <c r="N489" s="6" t="n">
        <v>4</v>
      </c>
      <c r="O489" s="6" t="n">
        <v>10</v>
      </c>
      <c r="P489" s="6" t="n">
        <v>17350</v>
      </c>
      <c r="Q489" s="6" t="n">
        <v>1</v>
      </c>
      <c r="R489">
        <f>M489+IF(MAX(N489-1,0)&gt;0,IF(ISBLANK(O489),5*MAX(N489-1,0),IF(ISNUMBER(O489),O489*MAX(N489-1,0),SUM(IFERROR(VALUE(TEXTSPLIT(O489,",")),0)))),0)</f>
        <v/>
      </c>
      <c r="S489">
        <f>IFERROR(L489*MAX(N489,1)/R489*IF(ISBLANK(K488),1,K488),0)</f>
        <v/>
      </c>
      <c r="AB489" s="7" t="inlineStr"/>
    </row>
    <row r="490">
      <c r="A490" t="inlineStr">
        <is>
          <t>d2k</t>
        </is>
      </c>
      <c r="B490" t="inlineStr">
        <is>
          <t>ordos_cobratank</t>
        </is>
      </c>
      <c r="C490" t="inlineStr">
        <is>
          <t>Cobra Tank</t>
        </is>
      </c>
      <c r="D490" s="6" t="inlineStr">
        <is>
          <t>ArtilleryTank</t>
        </is>
      </c>
      <c r="E490" s="6" t="n">
        <v>45000</v>
      </c>
      <c r="F490" s="6" t="n">
        <v>45</v>
      </c>
      <c r="G490" t="inlineStr">
        <is>
          <t>Medium</t>
        </is>
      </c>
      <c r="H490" s="6" t="n">
        <v>0.7020999999999999</v>
      </c>
      <c r="I490" s="6" t="n">
        <v>1</v>
      </c>
      <c r="J490" s="6" t="n">
        <v>1</v>
      </c>
      <c r="P490">
        <f>MAX(P491,P492)</f>
        <v/>
      </c>
      <c r="S490">
        <f>S491+S492</f>
        <v/>
      </c>
      <c r="T490">
        <f>(E490/100000+F490/100+(P490/1000)*J490/5+S490/200)*200*I490*H490</f>
        <v/>
      </c>
      <c r="U490">
        <f>((E490*F490/25000)+((P490/1000)*J490*S490/2.5))*I490*H490</f>
        <v/>
      </c>
      <c r="V490">
        <f>(E490*F490*(P490/1000)*J490*S490*I490*H490)/12500000</f>
        <v/>
      </c>
      <c r="W490">
        <f>IFERROR((((E490/140000)+(F490/85)+(S490/525)+((P490/12000)*J490))*700/4+(((E490/140000)*(F490/85))+(((P490/12000)*J490)*(S490/525)))*700/2+((E490/140000)*(F490/85)*((P490/12000)*J490)*(S490/525))*700)*(H490/1.0)/3,"")</f>
        <v/>
      </c>
      <c r="X490" s="6" t="n">
        <v>1500</v>
      </c>
      <c r="Y490">
        <f>IFERROR(W490-X490,"")</f>
        <v/>
      </c>
      <c r="Z490">
        <f>IFERROR(ABS(Y490)/MAX(X490,1),"")</f>
        <v/>
      </c>
      <c r="AA490">
        <f>IFERROR(ROUND(((3*X490-(((E490/140000)+(F490/85)+(S490/525))*700/4+((E490/140000)*(F490/85))*700/2)*(H490/1.0))/(700/4+((S490/525))*700/2+((E490/140000)*(F490/85)*(S490/525))*700)*(H490/1.0)*12000)/J490,-1),"")</f>
        <v/>
      </c>
    </row>
    <row r="491">
      <c r="B491" s="7" t="inlineStr">
        <is>
          <t xml:space="preserve">  ↳ 120mm_cobra</t>
        </is>
      </c>
      <c r="C491" s="7" t="inlineStr">
        <is>
          <t>Armament@PRIMARY</t>
        </is>
      </c>
      <c r="L491" s="6" t="n">
        <v>120000</v>
      </c>
      <c r="M491" s="6" t="n">
        <v>80</v>
      </c>
      <c r="N491" s="6" t="n">
        <v>1</v>
      </c>
      <c r="O491" s="6" t="n"/>
      <c r="P491" s="6" t="n">
        <v>7640</v>
      </c>
      <c r="Q491" s="6" t="n">
        <v>1</v>
      </c>
      <c r="R491">
        <f>M491+IF(MAX(N491-1,0)&gt;0,IF(ISBLANK(O491),5*MAX(N491-1,0),IF(ISNUMBER(O491),O491*MAX(N491-1,0),SUM(IFERROR(VALUE(TEXTSPLIT(O491,",")),0)))),0)</f>
        <v/>
      </c>
      <c r="S491">
        <f>IFERROR(L491*MAX(N491,1)/R491*IF(ISBLANK(K490),1,K490),0)</f>
        <v/>
      </c>
      <c r="AB491" s="7" t="inlineStr">
        <is>
          <t>^Warhead_Demolition_Light, ^Warhead_Concussion_Medium, ^Warhead_CannonAP_Light, ^Warhead_CannonHE_Medium</t>
        </is>
      </c>
    </row>
    <row r="492">
      <c r="B492" s="7" t="inlineStr">
        <is>
          <t xml:space="preserve">  ↳ 120mm_cobra_deploy</t>
        </is>
      </c>
      <c r="C492" s="7" t="inlineStr">
        <is>
          <t>Armament@deployed</t>
        </is>
      </c>
      <c r="L492" s="6" t="n">
        <v>120000</v>
      </c>
      <c r="M492" s="6" t="n">
        <v>80</v>
      </c>
      <c r="N492" s="6" t="n">
        <v>1</v>
      </c>
      <c r="O492" s="6" t="n"/>
      <c r="P492" s="6" t="n">
        <v>7640</v>
      </c>
      <c r="Q492" s="6" t="n">
        <v>1</v>
      </c>
      <c r="R492">
        <f>M492+IF(MAX(N492-1,0)&gt;0,IF(ISBLANK(O492),5*MAX(N492-1,0),IF(ISNUMBER(O492),O492*MAX(N492-1,0),SUM(IFERROR(VALUE(TEXTSPLIT(O492,",")),0)))),0)</f>
        <v/>
      </c>
      <c r="S492">
        <f>IFERROR(L492*MAX(N492,1)/R492*IF(ISBLANK(K490),1,K490),0)</f>
        <v/>
      </c>
      <c r="AB492" s="7" t="inlineStr">
        <is>
          <t>^Warhead_Demolition_Light, ^Warhead_Concussion_Medium, ^Warhead_CannonAP_Light, ^Warhead_CannonHE_Medium</t>
        </is>
      </c>
    </row>
    <row r="493">
      <c r="A493" t="inlineStr">
        <is>
          <t>d2k</t>
        </is>
      </c>
      <c r="B493" t="inlineStr">
        <is>
          <t>ordos_pythontank</t>
        </is>
      </c>
      <c r="C493" t="inlineStr">
        <is>
          <t>Python Tank</t>
        </is>
      </c>
      <c r="D493" s="6" t="inlineStr">
        <is>
          <t>ArtilleryTank</t>
        </is>
      </c>
      <c r="E493" s="6" t="n">
        <v>70000</v>
      </c>
      <c r="F493" s="6" t="n">
        <v>40</v>
      </c>
      <c r="G493" t="inlineStr">
        <is>
          <t>Medium</t>
        </is>
      </c>
      <c r="H493" s="6" t="n">
        <v>0.7020999999999999</v>
      </c>
      <c r="I493" s="6" t="n">
        <v>1</v>
      </c>
      <c r="J493" s="6" t="n">
        <v>1</v>
      </c>
      <c r="P493">
        <f>MAX(P494,P495)</f>
        <v/>
      </c>
      <c r="S493">
        <f>S494+S495</f>
        <v/>
      </c>
      <c r="T493">
        <f>(E493/100000+F493/100+(P493/1000)*J493/5+S493/200)*200*I493*H493</f>
        <v/>
      </c>
      <c r="U493">
        <f>((E493*F493/25000)+((P493/1000)*J493*S493/2.5))*I493*H493</f>
        <v/>
      </c>
      <c r="V493">
        <f>(E493*F493*(P493/1000)*J493*S493*I493*H493)/12500000</f>
        <v/>
      </c>
      <c r="W493">
        <f>IFERROR((((E493/140000)+(F493/85)+(S493/525)+((P493/12000)*J493))*700/4+(((E493/140000)*(F493/85))+(((P493/12000)*J493)*(S493/525)))*700/2+((E493/140000)*(F493/85)*((P493/12000)*J493)*(S493/525))*700)*(H493/1.0)/3,"")</f>
        <v/>
      </c>
      <c r="X493" s="6" t="n">
        <v>2500</v>
      </c>
      <c r="Y493">
        <f>IFERROR(W493-X493,"")</f>
        <v/>
      </c>
      <c r="Z493">
        <f>IFERROR(ABS(Y493)/MAX(X493,1),"")</f>
        <v/>
      </c>
      <c r="AA493">
        <f>IFERROR(ROUND(((3*X493-(((E493/140000)+(F493/85)+(S493/525))*700/4+((E493/140000)*(F493/85))*700/2)*(H493/1.0))/(700/4+((S493/525))*700/2+((E493/140000)*(F493/85)*(S493/525))*700)*(H493/1.0)*12000)/J493,-1),"")</f>
        <v/>
      </c>
    </row>
    <row r="494">
      <c r="B494" s="7" t="inlineStr">
        <is>
          <t xml:space="preserve">  ↳ 120mm_python</t>
        </is>
      </c>
      <c r="C494" s="7" t="inlineStr">
        <is>
          <t>Armament@PRIMARY</t>
        </is>
      </c>
      <c r="L494" s="6" t="n">
        <v>120000</v>
      </c>
      <c r="M494" s="6" t="n">
        <v>123</v>
      </c>
      <c r="N494" s="6" t="n">
        <v>2</v>
      </c>
      <c r="O494" s="6" t="n">
        <v>0</v>
      </c>
      <c r="P494" s="6" t="n">
        <v>9380</v>
      </c>
      <c r="Q494" s="6" t="n">
        <v>1</v>
      </c>
      <c r="R494">
        <f>M494+IF(MAX(N494-1,0)&gt;0,IF(ISBLANK(O494),5*MAX(N494-1,0),IF(ISNUMBER(O494),O494*MAX(N494-1,0),SUM(IFERROR(VALUE(TEXTSPLIT(O494,",")),0)))),0)</f>
        <v/>
      </c>
      <c r="S494">
        <f>IFERROR(L494*MAX(N494,1)/R494*IF(ISBLANK(K493),1,K493),0)</f>
        <v/>
      </c>
      <c r="AB494" s="7" t="inlineStr">
        <is>
          <t>^Warhead_Demolition_Light, ^Warhead_Concussion_Medium, ^Warhead_CannonAP_Light, ^Warhead_CannonHE_Medium</t>
        </is>
      </c>
    </row>
    <row r="495">
      <c r="B495" s="7" t="inlineStr">
        <is>
          <t xml:space="preserve">  ↳ 120mm_python_deploy</t>
        </is>
      </c>
      <c r="C495" s="7" t="inlineStr">
        <is>
          <t>Armament@deployed</t>
        </is>
      </c>
      <c r="L495" s="6" t="n">
        <v>120000</v>
      </c>
      <c r="M495" s="6" t="n">
        <v>123</v>
      </c>
      <c r="N495" s="6" t="n">
        <v>2</v>
      </c>
      <c r="O495" s="6" t="n">
        <v>0</v>
      </c>
      <c r="P495" s="6" t="n">
        <v>9380</v>
      </c>
      <c r="Q495" s="6" t="n">
        <v>1</v>
      </c>
      <c r="R495">
        <f>M495+IF(MAX(N495-1,0)&gt;0,IF(ISBLANK(O495),5*MAX(N495-1,0),IF(ISNUMBER(O495),O495*MAX(N495-1,0),SUM(IFERROR(VALUE(TEXTSPLIT(O495,",")),0)))),0)</f>
        <v/>
      </c>
      <c r="S495">
        <f>IFERROR(L495*MAX(N495,1)/R495*IF(ISBLANK(K493),1,K493),0)</f>
        <v/>
      </c>
      <c r="AB495" s="7" t="inlineStr">
        <is>
          <t>^Warhead_Demolition_Light, ^Warhead_Concussion_Medium, ^Warhead_CannonAP_Light, ^Warhead_CannonHE_Medium</t>
        </is>
      </c>
    </row>
    <row r="496">
      <c r="A496" t="inlineStr">
        <is>
          <t>d2k</t>
        </is>
      </c>
      <c r="B496" t="inlineStr">
        <is>
          <t>ixian_ixcombatsiege</t>
        </is>
      </c>
      <c r="C496" t="inlineStr">
        <is>
          <t>Ix Combat Siege</t>
        </is>
      </c>
      <c r="D496" s="6" t="inlineStr">
        <is>
          <t>ArtilleryTank</t>
        </is>
      </c>
      <c r="E496" s="6" t="n">
        <v>80000</v>
      </c>
      <c r="F496" s="6" t="n">
        <v>80</v>
      </c>
      <c r="G496" t="inlineStr">
        <is>
          <t>Medium</t>
        </is>
      </c>
      <c r="H496" s="6" t="n">
        <v>1</v>
      </c>
      <c r="I496" s="6" t="n">
        <v>1</v>
      </c>
      <c r="J496" s="6" t="n">
        <v>1</v>
      </c>
      <c r="P496">
        <f>MAX(P497)</f>
        <v/>
      </c>
      <c r="S496">
        <f>S497</f>
        <v/>
      </c>
      <c r="T496">
        <f>(E496/100000+F496/100+(P496/1000)*J496/5+S496/200)*200*I496*H496</f>
        <v/>
      </c>
      <c r="U496">
        <f>((E496*F496/25000)+((P496/1000)*J496*S496/2.5))*I496*H496</f>
        <v/>
      </c>
      <c r="V496">
        <f>(E496*F496*(P496/1000)*J496*S496*I496*H496)/12500000</f>
        <v/>
      </c>
      <c r="W496">
        <f>IFERROR((((E496/140000)+(F496/85)+(S496/525)+((P496/12000)*J496))*700/4+(((E496/140000)*(F496/85))+(((P496/12000)*J496)*(S496/525)))*700/2+((E496/140000)*(F496/85)*((P496/12000)*J496)*(S496/525))*700)*(H496/1.0)/3,"")</f>
        <v/>
      </c>
      <c r="X496" s="6" t="n">
        <v>1200</v>
      </c>
      <c r="Y496">
        <f>IFERROR(W496-X496,"")</f>
        <v/>
      </c>
      <c r="Z496">
        <f>IFERROR(ABS(Y496)/MAX(X496,1),"")</f>
        <v/>
      </c>
      <c r="AA496">
        <f>IFERROR(ROUND(((3*X496-(((E496/140000)+(F496/85)+(S496/525))*700/4+((E496/140000)*(F496/85))*700/2)*(H496/1.0))/(700/4+((S496/525))*700/2+((E496/140000)*(F496/85)*(S496/525))*700)*(H496/1.0)*12000)/J496,-1),"")</f>
        <v/>
      </c>
    </row>
    <row r="497">
      <c r="B497" s="7" t="inlineStr">
        <is>
          <t xml:space="preserve">  ↳ D2K_155mm3</t>
        </is>
      </c>
      <c r="C497" s="7" t="inlineStr">
        <is>
          <t>Armament</t>
        </is>
      </c>
      <c r="L497" s="6" t="n">
        <v>24000</v>
      </c>
      <c r="M497" s="6" t="n">
        <v>80</v>
      </c>
      <c r="N497" s="6" t="n">
        <v>1</v>
      </c>
      <c r="O497" s="6" t="n"/>
      <c r="P497" s="6" t="n">
        <v>8686</v>
      </c>
      <c r="Q497" s="6" t="n">
        <v>1</v>
      </c>
      <c r="R497">
        <f>M497+IF(MAX(N497-1,0)&gt;0,IF(ISBLANK(O497),5*MAX(N497-1,0),IF(ISNUMBER(O497),O497*MAX(N497-1,0),SUM(IFERROR(VALUE(TEXTSPLIT(O497,",")),0)))),0)</f>
        <v/>
      </c>
      <c r="S497">
        <f>IFERROR(L497*MAX(N497,1)/R497*IF(ISBLANK(K496),1,K496),0)</f>
        <v/>
      </c>
      <c r="AB497" s="7" t="inlineStr">
        <is>
          <t>^Warhead_Demolition_Light, ^Warhead_Demolition_Heavy, ^Warhead_Concussion_Medium</t>
        </is>
      </c>
    </row>
    <row r="498">
      <c r="A498" t="inlineStr">
        <is>
          <t>starcraft</t>
        </is>
      </c>
      <c r="B498" t="inlineStr">
        <is>
          <t>terran_siegetank</t>
        </is>
      </c>
      <c r="C498" t="inlineStr">
        <is>
          <t>Siege Tank</t>
        </is>
      </c>
      <c r="D498" s="6" t="inlineStr">
        <is>
          <t>ArtilleryTank</t>
        </is>
      </c>
      <c r="E498" s="6" t="n">
        <v>150000</v>
      </c>
      <c r="F498" s="6" t="n">
        <v>75</v>
      </c>
      <c r="G498" t="inlineStr">
        <is>
          <t>Heavy</t>
        </is>
      </c>
      <c r="H498" s="6" t="n">
        <v>1</v>
      </c>
      <c r="I498" s="6" t="n">
        <v>1</v>
      </c>
      <c r="J498" s="6" t="n">
        <v>1</v>
      </c>
      <c r="P498">
        <f>MAX(P499,P500)</f>
        <v/>
      </c>
      <c r="S498">
        <f>S499+S500</f>
        <v/>
      </c>
      <c r="T498">
        <f>(E498/100000+F498/100+(P498/1000)*J498/5+S498/200)*200*I498*H498</f>
        <v/>
      </c>
      <c r="U498">
        <f>((E498*F498/25000)+((P498/1000)*J498*S498/2.5))*I498*H498</f>
        <v/>
      </c>
      <c r="V498">
        <f>(E498*F498*(P498/1000)*J498*S498*I498*H498)/12500000</f>
        <v/>
      </c>
      <c r="W498">
        <f>IFERROR((((E498/140000)+(F498/85)+(S498/525)+((P498/12000)*J498))*700/4+(((E498/140000)*(F498/85))+(((P498/12000)*J498)*(S498/525)))*700/2+((E498/140000)*(F498/85)*((P498/12000)*J498)*(S498/525))*700)*(H498/1.0)/3,"")</f>
        <v/>
      </c>
      <c r="X498" s="6" t="n">
        <v>2800</v>
      </c>
      <c r="Y498">
        <f>IFERROR(W498-X498,"")</f>
        <v/>
      </c>
      <c r="Z498">
        <f>IFERROR(ABS(Y498)/MAX(X498,1),"")</f>
        <v/>
      </c>
      <c r="AA498">
        <f>IFERROR(ROUND(((3*X498-(((E498/140000)+(F498/85)+(S498/525))*700/4+((E498/140000)*(F498/85))*700/2)*(H498/1.0))/(700/4+((S498/525))*700/2+((E498/140000)*(F498/85)*(S498/525))*700)*(H498/1.0)*12000)/J498,-1),"")</f>
        <v/>
      </c>
    </row>
    <row r="499">
      <c r="B499" s="7" t="inlineStr">
        <is>
          <t xml:space="preserve">  ↳ SiegeTankCannon</t>
        </is>
      </c>
      <c r="C499" s="7" t="inlineStr">
        <is>
          <t>Armament</t>
        </is>
      </c>
      <c r="L499" s="6" t="n">
        <v>30000</v>
      </c>
      <c r="M499" s="6" t="n">
        <v>37</v>
      </c>
      <c r="N499" s="6" t="n">
        <v>1</v>
      </c>
      <c r="O499" s="6" t="n"/>
      <c r="P499" s="6" t="n">
        <v>6114</v>
      </c>
      <c r="Q499" s="6" t="n">
        <v>1</v>
      </c>
      <c r="R499">
        <f>M499+IF(MAX(N499-1,0)&gt;0,IF(ISBLANK(O499),5*MAX(N499-1,0),IF(ISNUMBER(O499),O499*MAX(N499-1,0),SUM(IFERROR(VALUE(TEXTSPLIT(O499,",")),0)))),0)</f>
        <v/>
      </c>
      <c r="S499">
        <f>IFERROR(L499*MAX(N499,1)/R499*IF(ISBLANK(K498),1,K498),0)</f>
        <v/>
      </c>
      <c r="AB499" s="7" t="inlineStr">
        <is>
          <t>^Warhead_CannonHE_Heavy, ^Warhead_CannonHE_Medium, ^Warhead_CannonAP_Light</t>
        </is>
      </c>
    </row>
    <row r="500">
      <c r="B500" s="7" t="inlineStr">
        <is>
          <t xml:space="preserve">  ↳ SiegeTankSiegeCannon</t>
        </is>
      </c>
      <c r="C500" s="7" t="inlineStr">
        <is>
          <t>Armament@DEPLOYED</t>
        </is>
      </c>
      <c r="L500" s="6" t="n">
        <v>140000</v>
      </c>
      <c r="M500" s="6" t="n">
        <v>148</v>
      </c>
      <c r="N500" s="6" t="n">
        <v>1</v>
      </c>
      <c r="O500" s="6" t="n"/>
      <c r="P500" s="6" t="n">
        <v>11775</v>
      </c>
      <c r="Q500" s="6" t="n">
        <v>1</v>
      </c>
      <c r="R500">
        <f>M500+IF(MAX(N500-1,0)&gt;0,IF(ISBLANK(O500),5*MAX(N500-1,0),IF(ISNUMBER(O500),O500*MAX(N500-1,0),SUM(IFERROR(VALUE(TEXTSPLIT(O500,",")),0)))),0)</f>
        <v/>
      </c>
      <c r="S500">
        <f>IFERROR(L500*MAX(N500,1)/R500*IF(ISBLANK(K498),1,K498),0)</f>
        <v/>
      </c>
      <c r="AB500" s="7" t="inlineStr">
        <is>
          <t>^NuclearWarhead, ^LightMissile, ^LightChemicalWeapon, ^MediumChemicalWeapon, ^HeavyChemicalWeapon, ^LightFlameWeapon, ^MediumFlameWeapon, ^HeavyFlameWeapon, ^Grenade, ^ShrapnelWeapon, ^HeavyBomb, ^HeavyCannon, ^MediumCannon, ^TankDestroyerCannon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501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07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Vehicle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redalert</t>
        </is>
      </c>
      <c r="B3" t="inlineStr">
        <is>
          <t>japan_coreairfield</t>
        </is>
      </c>
      <c r="C3" t="inlineStr">
        <is>
          <t>Core (Airfield)</t>
        </is>
      </c>
      <c r="D3" s="6" t="inlineStr">
        <is>
          <t>Vehicle</t>
        </is>
      </c>
      <c r="E3" s="6" t="n">
        <v>50000</v>
      </c>
      <c r="F3" s="6" t="n">
        <v>75</v>
      </c>
      <c r="G3" t="inlineStr">
        <is>
          <t>Light</t>
        </is>
      </c>
      <c r="H3" s="6" t="n">
        <v>0.6346000000000001</v>
      </c>
      <c r="I3" s="6" t="n">
        <v>1</v>
      </c>
      <c r="J3" s="6" t="n">
        <v>1</v>
      </c>
      <c r="X3" s="6" t="n">
        <v>1500</v>
      </c>
    </row>
    <row r="4">
      <c r="A4" t="inlineStr">
        <is>
          <t>redalert</t>
        </is>
      </c>
      <c r="B4" t="inlineStr">
        <is>
          <t>japan_corebarracks</t>
        </is>
      </c>
      <c r="C4" t="inlineStr">
        <is>
          <t>Core (Barracks)</t>
        </is>
      </c>
      <c r="D4" s="6" t="inlineStr">
        <is>
          <t>Vehicle</t>
        </is>
      </c>
      <c r="E4" s="6" t="n">
        <v>50000</v>
      </c>
      <c r="F4" s="6" t="n">
        <v>75</v>
      </c>
      <c r="G4" t="inlineStr">
        <is>
          <t>Light</t>
        </is>
      </c>
      <c r="H4" s="6" t="n">
        <v>0.6346000000000001</v>
      </c>
      <c r="I4" s="6" t="n">
        <v>1</v>
      </c>
      <c r="J4" s="6" t="n">
        <v>1</v>
      </c>
      <c r="X4" s="6" t="n">
        <v>1000</v>
      </c>
    </row>
    <row r="5">
      <c r="A5" t="inlineStr">
        <is>
          <t>redalert</t>
        </is>
      </c>
      <c r="B5" t="inlineStr">
        <is>
          <t>japan_corepowerplant</t>
        </is>
      </c>
      <c r="C5" t="inlineStr">
        <is>
          <t>Core (Power Plant)</t>
        </is>
      </c>
      <c r="D5" s="6" t="inlineStr">
        <is>
          <t>Vehicle</t>
        </is>
      </c>
      <c r="E5" s="6" t="n">
        <v>50000</v>
      </c>
      <c r="F5" s="6" t="n">
        <v>75</v>
      </c>
      <c r="G5" t="inlineStr">
        <is>
          <t>Light</t>
        </is>
      </c>
      <c r="H5" s="6" t="n">
        <v>0.6346000000000001</v>
      </c>
      <c r="I5" s="6" t="n">
        <v>1</v>
      </c>
      <c r="J5" s="6" t="n">
        <v>1</v>
      </c>
      <c r="X5" s="6" t="n">
        <v>750</v>
      </c>
    </row>
    <row r="6">
      <c r="A6" t="inlineStr">
        <is>
          <t>redalert</t>
        </is>
      </c>
      <c r="B6" t="inlineStr">
        <is>
          <t>japan_coreradar</t>
        </is>
      </c>
      <c r="C6" t="inlineStr">
        <is>
          <t>Core (Radar)</t>
        </is>
      </c>
      <c r="D6" s="6" t="inlineStr">
        <is>
          <t>Vehicle</t>
        </is>
      </c>
      <c r="E6" s="6" t="n">
        <v>50000</v>
      </c>
      <c r="F6" s="6" t="n">
        <v>75</v>
      </c>
      <c r="G6" t="inlineStr">
        <is>
          <t>Light</t>
        </is>
      </c>
      <c r="H6" s="6" t="n">
        <v>0.6346000000000001</v>
      </c>
      <c r="I6" s="6" t="n">
        <v>1</v>
      </c>
      <c r="J6" s="6" t="n">
        <v>1</v>
      </c>
      <c r="X6" s="6" t="n">
        <v>2500</v>
      </c>
    </row>
    <row r="7">
      <c r="A7" t="inlineStr">
        <is>
          <t>redalert</t>
        </is>
      </c>
      <c r="B7" t="inlineStr">
        <is>
          <t>japan_corerefinery</t>
        </is>
      </c>
      <c r="C7" t="inlineStr">
        <is>
          <t>Core (Refinery)</t>
        </is>
      </c>
      <c r="D7" s="6" t="inlineStr">
        <is>
          <t>Vehicle</t>
        </is>
      </c>
      <c r="E7" s="6" t="n">
        <v>50000</v>
      </c>
      <c r="F7" s="6" t="n">
        <v>75</v>
      </c>
      <c r="G7" t="inlineStr">
        <is>
          <t>Light</t>
        </is>
      </c>
      <c r="H7" s="6" t="n">
        <v>0.6346000000000001</v>
      </c>
      <c r="I7" s="6" t="n">
        <v>1</v>
      </c>
      <c r="J7" s="6" t="n">
        <v>1</v>
      </c>
      <c r="X7" s="6" t="n">
        <v>3000</v>
      </c>
    </row>
    <row r="8">
      <c r="A8" t="inlineStr">
        <is>
          <t>redalert</t>
        </is>
      </c>
      <c r="B8" t="inlineStr">
        <is>
          <t>japan_coreservicedepot</t>
        </is>
      </c>
      <c r="C8" t="inlineStr">
        <is>
          <t>Core (Service Depot)</t>
        </is>
      </c>
      <c r="D8" s="6" t="inlineStr">
        <is>
          <t>Vehicle</t>
        </is>
      </c>
      <c r="E8" s="6" t="n">
        <v>50000</v>
      </c>
      <c r="F8" s="6" t="n">
        <v>75</v>
      </c>
      <c r="G8" t="inlineStr">
        <is>
          <t>Light</t>
        </is>
      </c>
      <c r="H8" s="6" t="n">
        <v>0.6346000000000001</v>
      </c>
      <c r="I8" s="6" t="n">
        <v>1</v>
      </c>
      <c r="J8" s="6" t="n">
        <v>1</v>
      </c>
      <c r="X8" s="6" t="n">
        <v>1000</v>
      </c>
    </row>
    <row r="9">
      <c r="A9" t="inlineStr">
        <is>
          <t>redalert</t>
        </is>
      </c>
      <c r="B9" t="inlineStr">
        <is>
          <t>japan_coretechcenter</t>
        </is>
      </c>
      <c r="C9" t="inlineStr">
        <is>
          <t>Core (Tech Center)</t>
        </is>
      </c>
      <c r="D9" s="6" t="inlineStr">
        <is>
          <t>Vehicle</t>
        </is>
      </c>
      <c r="E9" s="6" t="n">
        <v>50000</v>
      </c>
      <c r="F9" s="6" t="n">
        <v>75</v>
      </c>
      <c r="G9" t="inlineStr">
        <is>
          <t>Light</t>
        </is>
      </c>
      <c r="H9" s="6" t="n">
        <v>0.6346000000000001</v>
      </c>
      <c r="I9" s="6" t="n">
        <v>1</v>
      </c>
      <c r="J9" s="6" t="n">
        <v>1</v>
      </c>
      <c r="X9" s="6" t="n">
        <v>5000</v>
      </c>
    </row>
    <row r="10">
      <c r="A10" t="inlineStr">
        <is>
          <t>redalert</t>
        </is>
      </c>
      <c r="B10" t="inlineStr">
        <is>
          <t>japan_corewarfactory</t>
        </is>
      </c>
      <c r="C10" t="inlineStr">
        <is>
          <t>Core (War Factory)</t>
        </is>
      </c>
      <c r="D10" s="6" t="inlineStr">
        <is>
          <t>Vehicle</t>
        </is>
      </c>
      <c r="E10" s="6" t="n">
        <v>50000</v>
      </c>
      <c r="F10" s="6" t="n">
        <v>75</v>
      </c>
      <c r="G10" t="inlineStr">
        <is>
          <t>Light</t>
        </is>
      </c>
      <c r="H10" s="6" t="n">
        <v>0.6346000000000001</v>
      </c>
      <c r="I10" s="6" t="n">
        <v>1</v>
      </c>
      <c r="J10" s="6" t="n">
        <v>1</v>
      </c>
      <c r="X10" s="6" t="n">
        <v>2000</v>
      </c>
    </row>
    <row r="11">
      <c r="A11" t="inlineStr">
        <is>
          <t>redalert</t>
        </is>
      </c>
      <c r="B11" t="inlineStr">
        <is>
          <t>ra1_soviets_gorynychtank</t>
        </is>
      </c>
      <c r="C11" t="inlineStr">
        <is>
          <t>Gorynych Tank</t>
        </is>
      </c>
      <c r="D11" s="6" t="inlineStr">
        <is>
          <t>Vehicle</t>
        </is>
      </c>
      <c r="E11" s="6" t="n">
        <v>150000</v>
      </c>
      <c r="F11" s="6" t="n">
        <v>70</v>
      </c>
      <c r="G11" t="inlineStr">
        <is>
          <t>Heavy</t>
        </is>
      </c>
      <c r="H11" s="6" t="n">
        <v>0.8919</v>
      </c>
      <c r="I11" s="6" t="n">
        <v>1</v>
      </c>
      <c r="J11" s="6" t="n">
        <v>1</v>
      </c>
      <c r="P11">
        <f>MAX(P12)</f>
        <v/>
      </c>
      <c r="S11">
        <f>S12</f>
        <v/>
      </c>
      <c r="T11">
        <f>(E11/100000+F11/100+(P11/1000)*J11/5+S11/200)*200*I11*H11</f>
        <v/>
      </c>
      <c r="U11">
        <f>((E11*F11/25000)+((P11/1000)*J11*S11/2.5))*I11*H11</f>
        <v/>
      </c>
      <c r="V11">
        <f>(E11*F11*(P11/1000)*J11*S11*I11*H11)/12500000</f>
        <v/>
      </c>
      <c r="W11">
        <f>(T11+U11+V11)/3</f>
        <v/>
      </c>
      <c r="X11" s="6" t="n">
        <v>1300</v>
      </c>
      <c r="Y11">
        <f>IFERROR(W11-X11,"")</f>
        <v/>
      </c>
      <c r="Z11">
        <f>IFERROR(ABS(Y11)/MAX(X11,1),"")</f>
        <v/>
      </c>
      <c r="AA11">
        <f>IFERROR((X11-(((E11/100000+F11/100+S11/200)*200*I11*H11)+((E11*F11/25000)*I11*H11))/3)/(((J11/5)*200*I11*H11)+((J11*S11/2.5)*I11*H11)+((E11*F11*J11*S11*I11*H11)/12500000))/3*1000,"")</f>
        <v/>
      </c>
    </row>
    <row r="12">
      <c r="B12" s="7" t="inlineStr">
        <is>
          <t xml:space="preserve">  ↳ BigFlamer</t>
        </is>
      </c>
      <c r="C12" s="7" t="inlineStr">
        <is>
          <t>Armament</t>
        </is>
      </c>
      <c r="L12" s="6" t="n">
        <v>14000</v>
      </c>
      <c r="M12" s="6" t="n">
        <v>50</v>
      </c>
      <c r="N12" s="6" t="n">
        <v>2</v>
      </c>
      <c r="O12" s="6" t="n">
        <v>10</v>
      </c>
      <c r="P12" s="6" t="n">
        <v>2390</v>
      </c>
      <c r="Q12" s="6" t="n">
        <v>1</v>
      </c>
      <c r="R12">
        <f>M12+IF(MAX(N12-1,0)&gt;0,IF(ISBLANK(O12),5*MAX(N12-1,0),IF(ISNUMBER(O12),O12*MAX(N12-1,0),SUM(IFERROR(VALUE(TEXTSPLIT(O12,",")),0)))),0)</f>
        <v/>
      </c>
      <c r="S12">
        <f>IFERROR(L12*MAX(N12,1)/R12*IF(ISBLANK(K11),1,K11),0)</f>
        <v/>
      </c>
      <c r="AB12" s="7" t="inlineStr">
        <is>
          <t>^Warhead_Flame_Medium</t>
        </is>
      </c>
    </row>
    <row r="13">
      <c r="A13" t="inlineStr">
        <is>
          <t>redalert</t>
        </is>
      </c>
      <c r="B13" t="inlineStr">
        <is>
          <t>ra1_soviets_nukedemotruck</t>
        </is>
      </c>
      <c r="C13" t="inlineStr">
        <is>
          <t>Nuke Demo Truck</t>
        </is>
      </c>
      <c r="D13" s="6" t="inlineStr">
        <is>
          <t>Vehicle</t>
        </is>
      </c>
      <c r="E13" s="6" t="n">
        <v>20000</v>
      </c>
      <c r="F13" s="6" t="n">
        <v>100</v>
      </c>
      <c r="G13" t="inlineStr">
        <is>
          <t>Light</t>
        </is>
      </c>
      <c r="H13" s="6" t="n">
        <v>0.4925</v>
      </c>
      <c r="I13" s="6" t="n">
        <v>1</v>
      </c>
      <c r="J13" s="6" t="n">
        <v>1</v>
      </c>
      <c r="X13" s="6" t="n">
        <v>1500</v>
      </c>
    </row>
    <row r="14">
      <c r="B14" s="7" t="inlineStr">
        <is>
          <t xml:space="preserve">  ↳ DemoTruckTargeting</t>
        </is>
      </c>
      <c r="C14" s="7" t="inlineStr">
        <is>
          <t>Armament@PRIMARY</t>
        </is>
      </c>
      <c r="M14" s="6" t="n">
        <v>1</v>
      </c>
      <c r="N14" s="6" t="n">
        <v>1</v>
      </c>
      <c r="O14" s="6" t="n"/>
      <c r="P14" s="6" t="n">
        <v>2000</v>
      </c>
      <c r="Q14" s="6" t="n">
        <v>1</v>
      </c>
      <c r="R14">
        <f>M14+IF(MAX(N14-1,0)&gt;0,IF(ISBLANK(O14),5*MAX(N14-1,0),IF(ISNUMBER(O14),O14*MAX(N14-1,0),SUM(IFERROR(VALUE(TEXTSPLIT(O14,",")),0)))),0)</f>
        <v/>
      </c>
      <c r="S14">
        <f>IFERROR(L14*MAX(N14,1)/R14*IF(ISBLANK(K13),1,K13),0)</f>
        <v/>
      </c>
      <c r="AB14" s="7" t="inlineStr"/>
    </row>
    <row r="15">
      <c r="A15" t="inlineStr">
        <is>
          <t>redalert</t>
        </is>
      </c>
      <c r="B15" t="inlineStr">
        <is>
          <t>ra1_allies_minelayer</t>
        </is>
      </c>
      <c r="C15" t="inlineStr">
        <is>
          <t>Minelayer</t>
        </is>
      </c>
      <c r="D15" s="6" t="inlineStr">
        <is>
          <t>Vehicle</t>
        </is>
      </c>
      <c r="E15" s="6" t="n">
        <v>30000</v>
      </c>
      <c r="F15" s="6" t="n">
        <v>128</v>
      </c>
      <c r="G15" t="inlineStr">
        <is>
          <t>Heavy</t>
        </is>
      </c>
      <c r="H15" s="6" t="n">
        <v>0.8048999999999999</v>
      </c>
      <c r="I15" s="6" t="n">
        <v>1</v>
      </c>
      <c r="J15" s="6" t="n">
        <v>1</v>
      </c>
      <c r="X15" s="6" t="n">
        <v>800</v>
      </c>
    </row>
    <row r="16">
      <c r="A16" t="inlineStr">
        <is>
          <t>redalert</t>
        </is>
      </c>
      <c r="B16" t="inlineStr">
        <is>
          <t>ra1_allies_mobilegapgenerator</t>
        </is>
      </c>
      <c r="C16" t="inlineStr">
        <is>
          <t>Mobile Gap Generator</t>
        </is>
      </c>
      <c r="D16" s="6" t="inlineStr">
        <is>
          <t>Vehicle</t>
        </is>
      </c>
      <c r="E16" s="6" t="n">
        <v>25000</v>
      </c>
      <c r="F16" s="6" t="n">
        <v>75</v>
      </c>
      <c r="G16" t="inlineStr">
        <is>
          <t>Light</t>
        </is>
      </c>
      <c r="H16" s="6" t="n">
        <v>0.4925</v>
      </c>
      <c r="I16" s="6" t="n">
        <v>1</v>
      </c>
      <c r="J16" s="6" t="n">
        <v>1</v>
      </c>
      <c r="X16" s="6" t="n">
        <v>5000</v>
      </c>
    </row>
    <row r="17">
      <c r="B17" s="7" t="inlineStr">
        <is>
          <t xml:space="preserve">  ↳ dummytargeting</t>
        </is>
      </c>
      <c r="C17" s="7" t="inlineStr">
        <is>
          <t>Armament</t>
        </is>
      </c>
      <c r="M17" s="6" t="n">
        <v>1</v>
      </c>
      <c r="N17" s="6" t="n">
        <v>1</v>
      </c>
      <c r="O17" s="6" t="n"/>
      <c r="P17" s="6" t="n">
        <v>10000</v>
      </c>
      <c r="Q17" s="6" t="n">
        <v>1</v>
      </c>
      <c r="R17">
        <f>M17+IF(MAX(N17-1,0)&gt;0,IF(ISBLANK(O17),5*MAX(N17-1,0),IF(ISNUMBER(O17),O17*MAX(N17-1,0),SUM(IFERROR(VALUE(TEXTSPLIT(O17,",")),0)))),0)</f>
        <v/>
      </c>
      <c r="S17">
        <f>IFERROR(L17*MAX(N17,1)/R17*IF(ISBLANK(K16),1,K16),0)</f>
        <v/>
      </c>
      <c r="AB17" s="7" t="inlineStr"/>
    </row>
    <row r="18">
      <c r="A18" t="inlineStr">
        <is>
          <t>redalert</t>
        </is>
      </c>
      <c r="B18" t="inlineStr">
        <is>
          <t>ra1_allies_mobileradarjammer</t>
        </is>
      </c>
      <c r="C18" t="inlineStr">
        <is>
          <t>Mobile Radar Jammer</t>
        </is>
      </c>
      <c r="D18" s="6" t="inlineStr">
        <is>
          <t>Vehicle</t>
        </is>
      </c>
      <c r="E18" s="6" t="n">
        <v>25000</v>
      </c>
      <c r="F18" s="6" t="n">
        <v>100</v>
      </c>
      <c r="G18" t="inlineStr">
        <is>
          <t>Light</t>
        </is>
      </c>
      <c r="H18" s="6" t="n">
        <v>0.4925</v>
      </c>
      <c r="I18" s="6" t="n">
        <v>1</v>
      </c>
      <c r="J18" s="6" t="n">
        <v>1</v>
      </c>
      <c r="X18" s="6" t="n">
        <v>5000</v>
      </c>
    </row>
    <row r="19">
      <c r="B19" s="7" t="inlineStr">
        <is>
          <t xml:space="preserve">  ↳ RadarJammer</t>
        </is>
      </c>
      <c r="C19" s="7" t="inlineStr">
        <is>
          <t>Armament</t>
        </is>
      </c>
      <c r="M19" s="6" t="n">
        <v>150</v>
      </c>
      <c r="N19" s="6" t="n">
        <v>1</v>
      </c>
      <c r="O19" s="6" t="n"/>
      <c r="P19" s="6" t="n">
        <v>10000</v>
      </c>
      <c r="Q19" s="6" t="n">
        <v>1</v>
      </c>
      <c r="R19">
        <f>M19+IF(MAX(N19-1,0)&gt;0,IF(ISBLANK(O19),5*MAX(N19-1,0),IF(ISNUMBER(O19),O19*MAX(N19-1,0),SUM(IFERROR(VALUE(TEXTSPLIT(O19,",")),0)))),0)</f>
        <v/>
      </c>
      <c r="S19">
        <f>IFERROR(L19*MAX(N19,1)/R19*IF(ISBLANK(K18),1,K18),0)</f>
        <v/>
      </c>
      <c r="AB19" s="7" t="inlineStr"/>
    </row>
    <row r="20">
      <c r="A20" t="inlineStr">
        <is>
          <t>tiberiansun</t>
        </is>
      </c>
      <c r="B20" t="inlineStr">
        <is>
          <t>ts_nod_mobilerepairvehicle</t>
        </is>
      </c>
      <c r="C20" t="inlineStr">
        <is>
          <t>Mobile Repair Vehicle</t>
        </is>
      </c>
      <c r="D20" s="6" t="inlineStr">
        <is>
          <t>Vehicle</t>
        </is>
      </c>
      <c r="E20" s="6" t="n">
        <v>50000</v>
      </c>
      <c r="F20" s="6" t="n">
        <v>75</v>
      </c>
      <c r="G20" t="inlineStr">
        <is>
          <t>Heavy</t>
        </is>
      </c>
      <c r="H20" s="6" t="n">
        <v>1</v>
      </c>
      <c r="I20" s="6" t="n">
        <v>1</v>
      </c>
      <c r="J20" s="6" t="n">
        <v>1</v>
      </c>
      <c r="P20">
        <f>MAX(P21)</f>
        <v/>
      </c>
      <c r="S20">
        <f>S21</f>
        <v/>
      </c>
      <c r="T20">
        <f>(E20/100000+F20/100+(P20/1000)*J20/5+S20/200)*200*I20*H20</f>
        <v/>
      </c>
      <c r="U20">
        <f>((E20*F20/25000)+((P20/1000)*J20*S20/2.5))*I20*H20</f>
        <v/>
      </c>
      <c r="V20">
        <f>(E20*F20*(P20/1000)*J20*S20*I20*H20)/12500000</f>
        <v/>
      </c>
      <c r="W20">
        <f>(T20+U20+V20)/3</f>
        <v/>
      </c>
      <c r="X20" s="6" t="n">
        <v>1000</v>
      </c>
      <c r="Y20">
        <f>IFERROR(W20-X20,"")</f>
        <v/>
      </c>
      <c r="Z20">
        <f>IFERROR(ABS(Y20)/MAX(X20,1),"")</f>
        <v/>
      </c>
      <c r="AA20">
        <f>IFERROR((X20-(((E20/100000+F20/100+S20/200)*200*I20*H20)+((E20*F20/25000)*I20*H20))/3)/(((J20/5)*200*I20*H20)+((J20*S20/2.5)*I20*H20)+((E20*F20*J20*S20*I20*H20)/12500000))/3*1000,"")</f>
        <v/>
      </c>
    </row>
    <row r="21">
      <c r="B21" s="7" t="inlineStr">
        <is>
          <t xml:space="preserve">  ↳ ts_nod_mobilerepairvehicle</t>
        </is>
      </c>
      <c r="C21" s="7" t="inlineStr">
        <is>
          <t>Armament</t>
        </is>
      </c>
      <c r="L21" s="6" t="n">
        <v>-3000</v>
      </c>
      <c r="M21" s="6" t="n">
        <v>50</v>
      </c>
      <c r="N21" s="6" t="n">
        <v>10</v>
      </c>
      <c r="O21" s="6" t="n">
        <v>1</v>
      </c>
      <c r="P21" s="6" t="n">
        <v>5000</v>
      </c>
      <c r="Q21" s="6" t="n">
        <v>1</v>
      </c>
      <c r="R21">
        <f>M21+IF(MAX(N21-1,0)&gt;0,IF(ISBLANK(O21),5*MAX(N21-1,0),IF(ISNUMBER(O21),O21*MAX(N21-1,0),SUM(IFERROR(VALUE(TEXTSPLIT(O21,",")),0)))),0)</f>
        <v/>
      </c>
      <c r="S21">
        <f>IFERROR(L21*MAX(N21,1)/R21*IF(ISBLANK(K20),1,K20),0)</f>
        <v/>
      </c>
      <c r="AB21" s="7" t="inlineStr">
        <is>
          <t>RA2IFVRepair</t>
        </is>
      </c>
    </row>
    <row r="22">
      <c r="A22" t="inlineStr">
        <is>
          <t>tiberiansun</t>
        </is>
      </c>
      <c r="B22" t="inlineStr">
        <is>
          <t>ts_nod_mobilestealthgenerator</t>
        </is>
      </c>
      <c r="C22" t="inlineStr">
        <is>
          <t>Mobile Stealth Generator</t>
        </is>
      </c>
      <c r="D22" s="6" t="inlineStr">
        <is>
          <t>Vehicle</t>
        </is>
      </c>
      <c r="E22" s="6" t="n">
        <v>20000</v>
      </c>
      <c r="F22" s="6" t="n">
        <v>56</v>
      </c>
      <c r="G22" t="inlineStr">
        <is>
          <t>Wood</t>
        </is>
      </c>
      <c r="H22" s="6" t="n">
        <v>0.5375</v>
      </c>
      <c r="I22" s="6" t="n">
        <v>1</v>
      </c>
      <c r="J22" s="6" t="n">
        <v>1</v>
      </c>
      <c r="X22" s="6" t="n">
        <v>1500</v>
      </c>
    </row>
    <row r="23">
      <c r="A23" t="inlineStr">
        <is>
          <t>tiberiansun</t>
        </is>
      </c>
      <c r="B23" t="inlineStr">
        <is>
          <t>ts_gdi_mobilesensorarray</t>
        </is>
      </c>
      <c r="C23" t="inlineStr">
        <is>
          <t>Mobile Sensor Array</t>
        </is>
      </c>
      <c r="D23" s="6" t="inlineStr">
        <is>
          <t>Vehicle</t>
        </is>
      </c>
      <c r="E23" s="6" t="n">
        <v>60000</v>
      </c>
      <c r="F23" s="6" t="n">
        <v>85</v>
      </c>
      <c r="G23" t="inlineStr">
        <is>
          <t>Wood</t>
        </is>
      </c>
      <c r="H23" s="6" t="n">
        <v>1</v>
      </c>
      <c r="I23" s="6" t="n">
        <v>1</v>
      </c>
      <c r="J23" s="6" t="n">
        <v>1</v>
      </c>
      <c r="X23" s="6" t="n">
        <v>1100</v>
      </c>
    </row>
    <row r="24">
      <c r="A24" t="inlineStr">
        <is>
          <t>redalert2mod</t>
        </is>
      </c>
      <c r="B24" t="inlineStr">
        <is>
          <t>asianalliance_oiltruck</t>
        </is>
      </c>
      <c r="C24" t="inlineStr">
        <is>
          <t>Oil Truck</t>
        </is>
      </c>
      <c r="D24" s="6" t="inlineStr">
        <is>
          <t>Vehicle</t>
        </is>
      </c>
      <c r="E24" s="6" t="n">
        <v>20000</v>
      </c>
      <c r="F24" s="6" t="n">
        <v>100</v>
      </c>
      <c r="G24" t="inlineStr">
        <is>
          <t>Light</t>
        </is>
      </c>
      <c r="H24" s="6" t="n">
        <v>0.4459</v>
      </c>
      <c r="I24" s="6" t="n">
        <v>1</v>
      </c>
      <c r="J24" s="6" t="n">
        <v>1</v>
      </c>
      <c r="X24" s="6" t="n">
        <v>1000</v>
      </c>
    </row>
    <row r="25">
      <c r="B25" s="7" t="inlineStr">
        <is>
          <t xml:space="preserve">  ↳ DemoTruckTargeting</t>
        </is>
      </c>
      <c r="C25" s="7" t="inlineStr">
        <is>
          <t>Armament@PRIMARY</t>
        </is>
      </c>
      <c r="M25" s="6" t="n">
        <v>1</v>
      </c>
      <c r="N25" s="6" t="n">
        <v>1</v>
      </c>
      <c r="O25" s="6" t="n"/>
      <c r="P25" s="6" t="n">
        <v>2000</v>
      </c>
      <c r="Q25" s="6" t="n">
        <v>1</v>
      </c>
      <c r="R25">
        <f>M25+IF(MAX(N25-1,0)&gt;0,IF(ISBLANK(O25),5*MAX(N25-1,0),IF(ISNUMBER(O25),O25*MAX(N25-1,0),SUM(IFERROR(VALUE(TEXTSPLIT(O25,",")),0)))),0)</f>
        <v/>
      </c>
      <c r="S25">
        <f>IFERROR(L25*MAX(N25,1)/R25*IF(ISBLANK(K24),1,K24),0)</f>
        <v/>
      </c>
      <c r="AB25" s="7" t="inlineStr"/>
    </row>
    <row r="26">
      <c r="A26" t="inlineStr">
        <is>
          <t>redalert2mod</t>
        </is>
      </c>
      <c r="B26" t="inlineStr">
        <is>
          <t>latinsyndicate_demolitiontruck</t>
        </is>
      </c>
      <c r="C26" t="inlineStr">
        <is>
          <t>Demolition Truck</t>
        </is>
      </c>
      <c r="D26" s="6" t="inlineStr">
        <is>
          <t>Vehicle</t>
        </is>
      </c>
      <c r="E26" s="6" t="n">
        <v>30000</v>
      </c>
      <c r="F26" s="6" t="n">
        <v>100</v>
      </c>
      <c r="G26" t="inlineStr">
        <is>
          <t>Light</t>
        </is>
      </c>
      <c r="H26" s="6" t="n">
        <v>0.6735</v>
      </c>
      <c r="I26" s="6" t="n">
        <v>1</v>
      </c>
      <c r="J26" s="6" t="n">
        <v>1</v>
      </c>
      <c r="K26" t="n">
        <v>0.02</v>
      </c>
      <c r="X26" s="6" t="n">
        <v>1500</v>
      </c>
    </row>
    <row r="27">
      <c r="B27" s="7" t="inlineStr">
        <is>
          <t xml:space="preserve">  ↳ DemoTruckTargeting</t>
        </is>
      </c>
      <c r="C27" s="7" t="inlineStr">
        <is>
          <t>Armament@PRIMARY</t>
        </is>
      </c>
      <c r="M27" s="6" t="n">
        <v>1</v>
      </c>
      <c r="N27" s="6" t="n">
        <v>1</v>
      </c>
      <c r="O27" s="6" t="n"/>
      <c r="P27" s="6" t="n">
        <v>2000</v>
      </c>
      <c r="Q27" s="6" t="n">
        <v>1</v>
      </c>
      <c r="R27">
        <f>M27+IF(MAX(N27-1,0)&gt;0,IF(ISBLANK(O27),5*MAX(N27-1,0),IF(ISNUMBER(O27),O27*MAX(N27-1,0),SUM(IFERROR(VALUE(TEXTSPLIT(O27,",")),0)))),0)</f>
        <v/>
      </c>
      <c r="S27">
        <f>IFERROR(L27*MAX(N27,1)/R27*IF(ISBLANK(K26),1,K26),0)</f>
        <v/>
      </c>
      <c r="AB27" s="7" t="inlineStr"/>
    </row>
    <row r="28">
      <c r="A28" t="inlineStr">
        <is>
          <t>redalert2mod</t>
        </is>
      </c>
      <c r="B28" t="inlineStr">
        <is>
          <t>scrapcar.latin</t>
        </is>
      </c>
      <c r="C28" t="inlineStr">
        <is>
          <t>Civilian Vehicle</t>
        </is>
      </c>
      <c r="D28" s="6" t="inlineStr">
        <is>
          <t>Vehicle</t>
        </is>
      </c>
      <c r="E28" s="6" t="n">
        <v>20000</v>
      </c>
      <c r="F28" s="6" t="n">
        <v>100</v>
      </c>
      <c r="G28" t="inlineStr">
        <is>
          <t>Light</t>
        </is>
      </c>
      <c r="H28" s="6" t="n">
        <v>1</v>
      </c>
      <c r="I28" s="6" t="n">
        <v>1</v>
      </c>
      <c r="J28" s="6" t="n">
        <v>1</v>
      </c>
      <c r="X28" s="6" t="n">
        <v>0</v>
      </c>
    </row>
    <row r="29">
      <c r="A29" t="inlineStr">
        <is>
          <t>redalert2mod</t>
        </is>
      </c>
      <c r="B29" t="inlineStr">
        <is>
          <t>scrapcar2.latin</t>
        </is>
      </c>
      <c r="C29" t="inlineStr">
        <is>
          <t>Civilian Vehicle</t>
        </is>
      </c>
      <c r="D29" s="6" t="inlineStr">
        <is>
          <t>Vehicle</t>
        </is>
      </c>
      <c r="E29" s="6" t="n">
        <v>20000</v>
      </c>
      <c r="F29" s="6" t="n">
        <v>100</v>
      </c>
      <c r="G29" t="inlineStr">
        <is>
          <t>Light</t>
        </is>
      </c>
      <c r="H29" s="6" t="n">
        <v>1</v>
      </c>
      <c r="I29" s="6" t="n">
        <v>1</v>
      </c>
      <c r="J29" s="6" t="n">
        <v>1</v>
      </c>
      <c r="X29" s="6" t="n">
        <v>0</v>
      </c>
    </row>
    <row r="30">
      <c r="A30" t="inlineStr">
        <is>
          <t>redalert2mod</t>
        </is>
      </c>
      <c r="B30" t="inlineStr">
        <is>
          <t>scrapcar2_demo.latin</t>
        </is>
      </c>
      <c r="C30" t="inlineStr">
        <is>
          <t>Bomb Car</t>
        </is>
      </c>
      <c r="D30" s="6" t="inlineStr">
        <is>
          <t>Vehicle</t>
        </is>
      </c>
      <c r="E30" s="6" t="n">
        <v>20000</v>
      </c>
      <c r="F30" s="6" t="n">
        <v>100</v>
      </c>
      <c r="G30" t="inlineStr">
        <is>
          <t>Light</t>
        </is>
      </c>
      <c r="H30" s="6" t="n">
        <v>1</v>
      </c>
      <c r="I30" s="6" t="n">
        <v>1</v>
      </c>
      <c r="J30" s="6" t="n">
        <v>1</v>
      </c>
      <c r="X30" s="6" t="n">
        <v>500</v>
      </c>
    </row>
    <row r="31">
      <c r="B31" s="7" t="inlineStr">
        <is>
          <t xml:space="preserve">  ↳ DemoTruckTargeting</t>
        </is>
      </c>
      <c r="C31" s="7" t="inlineStr">
        <is>
          <t>Armament@PRIMARY</t>
        </is>
      </c>
      <c r="M31" s="6" t="n">
        <v>1</v>
      </c>
      <c r="N31" s="6" t="n">
        <v>1</v>
      </c>
      <c r="O31" s="6" t="n"/>
      <c r="P31" s="6" t="n">
        <v>2000</v>
      </c>
      <c r="Q31" s="6" t="n">
        <v>1</v>
      </c>
      <c r="R31">
        <f>M31+IF(MAX(N31-1,0)&gt;0,IF(ISBLANK(O31),5*MAX(N31-1,0),IF(ISNUMBER(O31),O31*MAX(N31-1,0),SUM(IFERROR(VALUE(TEXTSPLIT(O31,",")),0)))),0)</f>
        <v/>
      </c>
      <c r="S31">
        <f>IFERROR(L31*MAX(N31,1)/R31*IF(ISBLANK(K30),1,K30),0)</f>
        <v/>
      </c>
      <c r="AB31" s="7" t="inlineStr"/>
    </row>
    <row r="32">
      <c r="A32" t="inlineStr">
        <is>
          <t>redalert2mod</t>
        </is>
      </c>
      <c r="B32" t="inlineStr">
        <is>
          <t>scrapcar_demo.latin</t>
        </is>
      </c>
      <c r="C32" t="inlineStr">
        <is>
          <t>Bomb Car</t>
        </is>
      </c>
      <c r="D32" s="6" t="inlineStr">
        <is>
          <t>Vehicle</t>
        </is>
      </c>
      <c r="E32" s="6" t="n">
        <v>20000</v>
      </c>
      <c r="F32" s="6" t="n">
        <v>100</v>
      </c>
      <c r="G32" t="inlineStr">
        <is>
          <t>Light</t>
        </is>
      </c>
      <c r="H32" s="6" t="n">
        <v>1</v>
      </c>
      <c r="I32" s="6" t="n">
        <v>1</v>
      </c>
      <c r="J32" s="6" t="n">
        <v>1</v>
      </c>
      <c r="X32" s="6" t="n">
        <v>500</v>
      </c>
    </row>
    <row r="33">
      <c r="B33" s="7" t="inlineStr">
        <is>
          <t xml:space="preserve">  ↳ DemoTruckTargeting</t>
        </is>
      </c>
      <c r="C33" s="7" t="inlineStr">
        <is>
          <t>Armament@PRIMARY</t>
        </is>
      </c>
      <c r="M33" s="6" t="n">
        <v>1</v>
      </c>
      <c r="N33" s="6" t="n">
        <v>1</v>
      </c>
      <c r="O33" s="6" t="n"/>
      <c r="P33" s="6" t="n">
        <v>2000</v>
      </c>
      <c r="Q33" s="6" t="n">
        <v>1</v>
      </c>
      <c r="R33">
        <f>M33+IF(MAX(N33-1,0)&gt;0,IF(ISBLANK(O33),5*MAX(N33-1,0),IF(ISNUMBER(O33),O33*MAX(N33-1,0),SUM(IFERROR(VALUE(TEXTSPLIT(O33,",")),0)))),0)</f>
        <v/>
      </c>
      <c r="S33">
        <f>IFERROR(L33*MAX(N33,1)/R33*IF(ISBLANK(K32),1,K32),0)</f>
        <v/>
      </c>
      <c r="AB33" s="7" t="inlineStr"/>
    </row>
    <row r="34">
      <c r="A34" t="inlineStr">
        <is>
          <t>d2k</t>
        </is>
      </c>
      <c r="B34" t="inlineStr">
        <is>
          <t>devastator</t>
        </is>
      </c>
      <c r="C34" t="inlineStr">
        <is>
          <t>Harkonnen Devastator Tank</t>
        </is>
      </c>
      <c r="D34" s="6" t="inlineStr">
        <is>
          <t>Vehicle</t>
        </is>
      </c>
      <c r="E34" s="6" t="n">
        <v>550000</v>
      </c>
      <c r="F34" s="6" t="n">
        <v>31</v>
      </c>
      <c r="G34" t="inlineStr">
        <is>
          <t>Superheavy</t>
        </is>
      </c>
      <c r="H34" s="6" t="n">
        <v>0.4925</v>
      </c>
      <c r="I34" s="6" t="n">
        <v>1</v>
      </c>
      <c r="J34" s="6" t="n">
        <v>1</v>
      </c>
      <c r="P34">
        <f>MAX(P35)</f>
        <v/>
      </c>
      <c r="S34">
        <f>S35</f>
        <v/>
      </c>
      <c r="T34">
        <f>(E34/100000+F34/100+(P34/1000)*J34/5+S34/200)*200*I34*H34</f>
        <v/>
      </c>
      <c r="U34">
        <f>((E34*F34/25000)+((P34/1000)*J34*S34/2.5))*I34*H34</f>
        <v/>
      </c>
      <c r="V34">
        <f>(E34*F34*(P34/1000)*J34*S34*I34*H34)/12500000</f>
        <v/>
      </c>
      <c r="W34">
        <f>(T34+U34+V34)/3</f>
        <v/>
      </c>
      <c r="X34" s="6" t="n">
        <v>3000</v>
      </c>
      <c r="Y34">
        <f>IFERROR(W34-X34,"")</f>
        <v/>
      </c>
      <c r="Z34">
        <f>IFERROR(ABS(Y34)/MAX(X34,1),"")</f>
        <v/>
      </c>
      <c r="AA34">
        <f>IFERROR((X34-(((E34/100000+F34/100+S34/200)*200*I34*H34)+((E34*F34/25000)*I34*H34))/3)/(((J34/5)*200*I34*H34)+((J34*S34/2.5)*I34*H34)+((E34*F34*J34*S34*I34*H34)/12500000))/3*1000,"")</f>
        <v/>
      </c>
    </row>
    <row r="35">
      <c r="B35" s="7" t="inlineStr">
        <is>
          <t xml:space="preserve">  ↳ DevBullet</t>
        </is>
      </c>
      <c r="C35" s="7" t="inlineStr">
        <is>
          <t>Armament</t>
        </is>
      </c>
      <c r="L35" s="6" t="n">
        <v>80000</v>
      </c>
      <c r="M35" s="6" t="n">
        <v>100</v>
      </c>
      <c r="N35" s="6" t="n">
        <v>1</v>
      </c>
      <c r="O35" s="6" t="n"/>
      <c r="P35" s="6" t="n">
        <v>6666</v>
      </c>
      <c r="Q35" s="6" t="n">
        <v>1.25</v>
      </c>
      <c r="R35">
        <f>M35+IF(MAX(N35-1,0)&gt;0,IF(ISBLANK(O35),5*MAX(N35-1,0),IF(ISNUMBER(O35),O35*MAX(N35-1,0),SUM(IFERROR(VALUE(TEXTSPLIT(O35,",")),0)))),0)</f>
        <v/>
      </c>
      <c r="S35">
        <f>IFERROR(L35*MAX(N35,1)/R35*IF(ISBLANK(K34),1,K34),0)</f>
        <v/>
      </c>
      <c r="AB35" s="7" t="inlineStr">
        <is>
          <t>^Warhead_CannonHE_Heavy_D2K_DevBullet, ^Warhead_CannonHE_Heavy</t>
        </is>
      </c>
    </row>
    <row r="36">
      <c r="A36" s="4" t="inlineStr">
        <is>
          <t>ScoutVehicle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</row>
    <row r="37">
      <c r="A37" t="inlineStr">
        <is>
          <t>tiberiandawn</t>
        </is>
      </c>
      <c r="B37" t="inlineStr">
        <is>
          <t>td_gdi_humvee</t>
        </is>
      </c>
      <c r="C37" t="inlineStr">
        <is>
          <t>GDI Humvee</t>
        </is>
      </c>
      <c r="D37" s="6" t="inlineStr">
        <is>
          <t>ScoutVehicle</t>
        </is>
      </c>
      <c r="E37" s="6" t="n">
        <v>27500</v>
      </c>
      <c r="F37" s="6" t="n">
        <v>150</v>
      </c>
      <c r="G37" t="inlineStr">
        <is>
          <t>Scout</t>
        </is>
      </c>
      <c r="H37" s="6" t="n">
        <v>1</v>
      </c>
      <c r="I37" s="6" t="n">
        <v>0.333</v>
      </c>
      <c r="J37" s="6" t="n">
        <v>1</v>
      </c>
      <c r="P37">
        <f>MAX(P38,P39)</f>
        <v/>
      </c>
      <c r="S37">
        <f>S38+S39</f>
        <v/>
      </c>
      <c r="T37">
        <f>(E37/100000+F37/100+(P37/1000)*J37/5+S37/200)*200*I37*H37</f>
        <v/>
      </c>
      <c r="U37">
        <f>((E37*F37/25000)+((P37/1000)*J37*S37/2.5))*I37*H37</f>
        <v/>
      </c>
      <c r="V37">
        <f>(E37*F37*(P37/1000)*J37*S37*I37*H37)/12500000</f>
        <v/>
      </c>
      <c r="W37">
        <f>IFERROR((((E37/30000)+(F37/200)+(S37/450)+((P37/4500)*J37))*300/4+(((E37/30000)*(F37/200))+(((P37/4500)*J37)*(S37/450)))*300/2+((E37/30000)*(F37/200)*((P37/4500)*J37)*(S37/450))*300)*(H37/1.0)/3,"")</f>
        <v/>
      </c>
      <c r="X37" s="6" t="n">
        <v>400</v>
      </c>
      <c r="Y37">
        <f>IFERROR(W37-X37,"")</f>
        <v/>
      </c>
      <c r="Z37">
        <f>IFERROR(ABS(Y37)/MAX(X37,1),"")</f>
        <v/>
      </c>
      <c r="AA37">
        <f>IFERROR(ROUND(((3*X37-(((E37/30000)+(F37/200)+(S37/450))*300/4+((E37/30000)*(F37/200))*300/2)*(H37/1.0))/(300/4+((S37/450))*300/2+((E37/30000)*(F37/200)*(S37/450))*300)*(H37/1.0)*4500)/J37,-1),"")</f>
        <v/>
      </c>
    </row>
    <row r="38">
      <c r="B38" s="7" t="inlineStr">
        <is>
          <t xml:space="preserve">  ↳ MachineGunH</t>
        </is>
      </c>
      <c r="C38" s="7" t="inlineStr">
        <is>
          <t>Armament</t>
        </is>
      </c>
      <c r="L38" s="6" t="n">
        <v>6000</v>
      </c>
      <c r="M38" s="6" t="n">
        <v>9</v>
      </c>
      <c r="N38" s="6" t="n">
        <v>3</v>
      </c>
      <c r="O38" s="6" t="n">
        <v>6</v>
      </c>
      <c r="P38" s="6" t="n">
        <v>4792</v>
      </c>
      <c r="Q38" s="6" t="n">
        <v>0.75</v>
      </c>
      <c r="R38">
        <f>M38+IF(MAX(N38-1,0)&gt;0,IF(ISBLANK(O38),5*MAX(N38-1,0),IF(ISNUMBER(O38),O38*MAX(N38-1,0),SUM(IFERROR(VALUE(TEXTSPLIT(O38,",")),0)))),0)</f>
        <v/>
      </c>
      <c r="S38">
        <f>IFERROR(L38*MAX(N38,1)/R38*IF(ISBLANK(K37),1,K37),0)</f>
        <v/>
      </c>
      <c r="AB38" s="7" t="inlineStr">
        <is>
          <t>^Warhead_Bullet_Light</t>
        </is>
      </c>
    </row>
    <row r="39">
      <c r="B39" s="7" t="inlineStr">
        <is>
          <t xml:space="preserve">  ↳ MachineGunAPH</t>
        </is>
      </c>
      <c r="C39" s="7" t="inlineStr">
        <is>
          <t>Armament@Upgrade</t>
        </is>
      </c>
      <c r="L39" s="6" t="n">
        <v>6000</v>
      </c>
      <c r="M39" s="6" t="n">
        <v>9</v>
      </c>
      <c r="N39" s="6" t="n">
        <v>3</v>
      </c>
      <c r="O39" s="6" t="n">
        <v>6</v>
      </c>
      <c r="P39" s="6" t="n">
        <v>4792</v>
      </c>
      <c r="Q39" s="6" t="n">
        <v>1</v>
      </c>
      <c r="R39">
        <f>M39+IF(MAX(N39-1,0)&gt;0,IF(ISBLANK(O39),5*MAX(N39-1,0),IF(ISNUMBER(O39),O39*MAX(N39-1,0),SUM(IFERROR(VALUE(TEXTSPLIT(O39,",")),0)))),0)</f>
        <v/>
      </c>
      <c r="S39">
        <f>IFERROR(L39*MAX(N39,1)/R39*IF(ISBLANK(K37),1,K37),0)</f>
        <v/>
      </c>
      <c r="AB39" s="7" t="inlineStr">
        <is>
          <t>^Warhead_Bullet_Medium</t>
        </is>
      </c>
    </row>
    <row r="40">
      <c r="A40" t="inlineStr">
        <is>
          <t>tiberiandawn</t>
        </is>
      </c>
      <c r="B40" t="inlineStr">
        <is>
          <t>td_gdi_humveemkii</t>
        </is>
      </c>
      <c r="C40" t="inlineStr">
        <is>
          <t>Humvee Mk. II</t>
        </is>
      </c>
      <c r="D40" s="6" t="inlineStr">
        <is>
          <t>ScoutVehicle</t>
        </is>
      </c>
      <c r="E40" s="6" t="n">
        <v>37500</v>
      </c>
      <c r="F40" s="6" t="n">
        <v>115</v>
      </c>
      <c r="G40" t="inlineStr">
        <is>
          <t>Scout</t>
        </is>
      </c>
      <c r="H40" s="6" t="n">
        <v>0.8919</v>
      </c>
      <c r="I40" s="6" t="n">
        <v>1</v>
      </c>
      <c r="J40" s="6" t="n">
        <v>1</v>
      </c>
      <c r="K40" t="n">
        <v>0.005</v>
      </c>
      <c r="P40">
        <f>MAX(P41,P42,P43,P44,P45,P46,P47,P48)</f>
        <v/>
      </c>
      <c r="S40">
        <f>S41+S42+S43+S44+S45+S46+S47+S48</f>
        <v/>
      </c>
      <c r="T40">
        <f>(E40/100000+F40/100+(P40/1000)*J40/5+S40/200)*200*I40*H40</f>
        <v/>
      </c>
      <c r="U40">
        <f>((E40*F40/25000)+((P40/1000)*J40*S40/2.5))*I40*H40</f>
        <v/>
      </c>
      <c r="V40">
        <f>(E40*F40*(P40/1000)*J40*S40*I40*H40)/12500000</f>
        <v/>
      </c>
      <c r="W40">
        <f>IFERROR((((E40/30000)+(F40/200)+(S40/450)+((P40/4500)*J40))*300/4+(((E40/30000)*(F40/200))+(((P40/4500)*J40)*(S40/450)))*300/2+((E40/30000)*(F40/200)*((P40/4500)*J40)*(S40/450))*300)*(H40/1.0)/3,"")</f>
        <v/>
      </c>
      <c r="X40" s="6" t="n">
        <v>600</v>
      </c>
      <c r="Y40">
        <f>IFERROR(W40-X40,"")</f>
        <v/>
      </c>
      <c r="Z40">
        <f>IFERROR(ABS(Y40)/MAX(X40,1),"")</f>
        <v/>
      </c>
      <c r="AA40">
        <f>IFERROR(ROUND(((3*X40-(((E40/30000)+(F40/200)+(S40/450))*300/4+((E40/30000)*(F40/200))*300/2)*(H40/1.0))/(300/4+((S40/450))*300/2+((E40/30000)*(F40/200)*(S40/450))*300)*(H40/1.0)*4500)/J40,-1),"")</f>
        <v/>
      </c>
    </row>
    <row r="41">
      <c r="B41" s="7" t="inlineStr">
        <is>
          <t xml:space="preserve">  ↳ MachineGunHumvee2</t>
        </is>
      </c>
      <c r="C41" s="7" t="inlineStr">
        <is>
          <t>Armament</t>
        </is>
      </c>
      <c r="L41" s="6" t="n">
        <v>2000</v>
      </c>
      <c r="M41" s="6" t="n">
        <v>30</v>
      </c>
      <c r="N41" s="6" t="n">
        <v>4</v>
      </c>
      <c r="O41" s="6" t="n">
        <v>4</v>
      </c>
      <c r="P41" s="6" t="n">
        <v>5598</v>
      </c>
      <c r="Q41" s="6" t="n">
        <v>0.75</v>
      </c>
      <c r="R41">
        <f>M41+IF(MAX(N41-1,0)&gt;0,IF(ISBLANK(O41),5*MAX(N41-1,0),IF(ISNUMBER(O41),O41*MAX(N41-1,0),SUM(IFERROR(VALUE(TEXTSPLIT(O41,",")),0)))),0)</f>
        <v/>
      </c>
      <c r="S41">
        <f>IFERROR(L41*MAX(N41,1)/R41*IF(ISBLANK(K40),1,K40),0)</f>
        <v/>
      </c>
      <c r="AB41" s="7" t="inlineStr">
        <is>
          <t>^Warhead_Bullet_Light</t>
        </is>
      </c>
    </row>
    <row r="42">
      <c r="B42" s="7" t="inlineStr">
        <is>
          <t xml:space="preserve">  ↳ MachineGunHumvee2AP</t>
        </is>
      </c>
      <c r="C42" s="7" t="inlineStr">
        <is>
          <t>Armament@Upgrade</t>
        </is>
      </c>
      <c r="L42" s="6" t="n">
        <v>2000</v>
      </c>
      <c r="M42" s="6" t="n">
        <v>30</v>
      </c>
      <c r="N42" s="6" t="n">
        <v>4</v>
      </c>
      <c r="O42" s="6" t="n">
        <v>4</v>
      </c>
      <c r="P42" s="6" t="n">
        <v>5598</v>
      </c>
      <c r="Q42" s="6" t="n">
        <v>1</v>
      </c>
      <c r="R42">
        <f>M42+IF(MAX(N42-1,0)&gt;0,IF(ISBLANK(O42),5*MAX(N42-1,0),IF(ISNUMBER(O42),O42*MAX(N42-1,0),SUM(IFERROR(VALUE(TEXTSPLIT(O42,",")),0)))),0)</f>
        <v/>
      </c>
      <c r="S42">
        <f>IFERROR(L42*MAX(N42,1)/R42*IF(ISBLANK(K40),1,K40),0)</f>
        <v/>
      </c>
      <c r="AB42" s="7" t="inlineStr">
        <is>
          <t>^Warhead_Bullet_Medium</t>
        </is>
      </c>
    </row>
    <row r="43">
      <c r="B43" s="7" t="inlineStr">
        <is>
          <t xml:space="preserve">  ↳ MachineGunHumvee2_AA</t>
        </is>
      </c>
      <c r="C43" s="7" t="inlineStr">
        <is>
          <t>Armament@AA</t>
        </is>
      </c>
      <c r="L43" s="6" t="n">
        <v>2000</v>
      </c>
      <c r="M43" s="6" t="n">
        <v>30</v>
      </c>
      <c r="N43" s="6" t="n">
        <v>4</v>
      </c>
      <c r="O43" s="6" t="n">
        <v>4</v>
      </c>
      <c r="P43" s="6" t="n">
        <v>8397</v>
      </c>
      <c r="Q43" s="6" t="n">
        <v>0.75</v>
      </c>
      <c r="R43">
        <f>M43+IF(MAX(N43-1,0)&gt;0,IF(ISBLANK(O43),5*MAX(N43-1,0),IF(ISNUMBER(O43),O43*MAX(N43-1,0),SUM(IFERROR(VALUE(TEXTSPLIT(O43,",")),0)))),0)</f>
        <v/>
      </c>
      <c r="S43">
        <f>IFERROR(L43*MAX(N43,1)/R43*IF(ISBLANK(K40),1,K40),0)</f>
        <v/>
      </c>
      <c r="AB43" s="7" t="inlineStr">
        <is>
          <t>^Warhead_Bullet_Light</t>
        </is>
      </c>
    </row>
    <row r="44">
      <c r="B44" s="7" t="inlineStr">
        <is>
          <t xml:space="preserve">  ↳ MachineGunHumvee2AP_AA</t>
        </is>
      </c>
      <c r="C44" s="7" t="inlineStr">
        <is>
          <t>Armament@UpgradeAA</t>
        </is>
      </c>
      <c r="L44" s="6" t="n">
        <v>2000</v>
      </c>
      <c r="M44" s="6" t="n">
        <v>30</v>
      </c>
      <c r="N44" s="6" t="n">
        <v>4</v>
      </c>
      <c r="O44" s="6" t="n">
        <v>4</v>
      </c>
      <c r="P44" s="6" t="n">
        <v>8397</v>
      </c>
      <c r="Q44" s="6" t="n">
        <v>1</v>
      </c>
      <c r="R44">
        <f>M44+IF(MAX(N44-1,0)&gt;0,IF(ISBLANK(O44),5*MAX(N44-1,0),IF(ISNUMBER(O44),O44*MAX(N44-1,0),SUM(IFERROR(VALUE(TEXTSPLIT(O44,",")),0)))),0)</f>
        <v/>
      </c>
      <c r="S44">
        <f>IFERROR(L44*MAX(N44,1)/R44*IF(ISBLANK(K40),1,K40),0)</f>
        <v/>
      </c>
      <c r="AB44" s="7" t="inlineStr">
        <is>
          <t>^Warhead_Bullet_Medium</t>
        </is>
      </c>
    </row>
    <row r="45">
      <c r="B45" s="7" t="inlineStr">
        <is>
          <t xml:space="preserve">  ↳ RocketsHumvee2</t>
        </is>
      </c>
      <c r="C45" s="7" t="inlineStr">
        <is>
          <t>Armament@Rockets</t>
        </is>
      </c>
      <c r="L45" s="6" t="n">
        <v>16000</v>
      </c>
      <c r="M45" s="6" t="n">
        <v>84</v>
      </c>
      <c r="N45" s="6" t="n">
        <v>1</v>
      </c>
      <c r="O45" s="6" t="n"/>
      <c r="P45" s="6" t="n">
        <v>5598</v>
      </c>
      <c r="Q45" s="6" t="n">
        <v>0.75</v>
      </c>
      <c r="R45">
        <f>M45+IF(MAX(N45-1,0)&gt;0,IF(ISBLANK(O45),5*MAX(N45-1,0),IF(ISNUMBER(O45),O45*MAX(N45-1,0),SUM(IFERROR(VALUE(TEXTSPLIT(O45,",")),0)))),0)</f>
        <v/>
      </c>
      <c r="S45">
        <f>IFERROR(L45*MAX(N45,1)/R45*IF(ISBLANK(K40),1,K40),0)</f>
        <v/>
      </c>
      <c r="AB45" s="7" t="inlineStr">
        <is>
          <t>^Warhead_MissileAP_Light</t>
        </is>
      </c>
    </row>
    <row r="46">
      <c r="B46" s="7" t="inlineStr">
        <is>
          <t xml:space="preserve">  ↳ RocketsHumvee2_AA</t>
        </is>
      </c>
      <c r="C46" s="7" t="inlineStr">
        <is>
          <t>Armament@RocketsAA</t>
        </is>
      </c>
      <c r="L46" s="6" t="n">
        <v>16000</v>
      </c>
      <c r="M46" s="6" t="n">
        <v>84</v>
      </c>
      <c r="N46" s="6" t="n">
        <v>1</v>
      </c>
      <c r="O46" s="6" t="n"/>
      <c r="P46" s="6" t="n">
        <v>8397</v>
      </c>
      <c r="Q46" s="6" t="n">
        <v>0.75</v>
      </c>
      <c r="R46">
        <f>M46+IF(MAX(N46-1,0)&gt;0,IF(ISBLANK(O46),5*MAX(N46-1,0),IF(ISNUMBER(O46),O46*MAX(N46-1,0),SUM(IFERROR(VALUE(TEXTSPLIT(O46,",")),0)))),0)</f>
        <v/>
      </c>
      <c r="S46">
        <f>IFERROR(L46*MAX(N46,1)/R46*IF(ISBLANK(K40),1,K40),0)</f>
        <v/>
      </c>
      <c r="AB46" s="7" t="inlineStr">
        <is>
          <t>^Warhead_MissileAP_Light</t>
        </is>
      </c>
    </row>
    <row r="47">
      <c r="B47" s="7" t="inlineStr">
        <is>
          <t xml:space="preserve">  ↳ RocketsHumvee2AMT</t>
        </is>
      </c>
      <c r="C47" s="7" t="inlineStr">
        <is>
          <t>Armament@AdvancedMissileTargeting</t>
        </is>
      </c>
      <c r="L47" s="6" t="n">
        <v>32000</v>
      </c>
      <c r="M47" s="6" t="n">
        <v>84</v>
      </c>
      <c r="N47" s="6" t="n">
        <v>1</v>
      </c>
      <c r="O47" s="6" t="n"/>
      <c r="P47" s="6" t="n">
        <v>5598</v>
      </c>
      <c r="Q47" s="6" t="n">
        <v>1</v>
      </c>
      <c r="R47">
        <f>M47+IF(MAX(N47-1,0)&gt;0,IF(ISBLANK(O47),5*MAX(N47-1,0),IF(ISNUMBER(O47),O47*MAX(N47-1,0),SUM(IFERROR(VALUE(TEXTSPLIT(O47,",")),0)))),0)</f>
        <v/>
      </c>
      <c r="S47">
        <f>IFERROR(L47*MAX(N47,1)/R47*IF(ISBLANK(K40),1,K40),0)</f>
        <v/>
      </c>
      <c r="AB47" s="7" t="inlineStr">
        <is>
          <t>^Warhead_MissileAP_Heavy, ^Warhead_MissileAP_Light</t>
        </is>
      </c>
    </row>
    <row r="48">
      <c r="B48" s="7" t="inlineStr">
        <is>
          <t xml:space="preserve">  ↳ RocketsHumvee2AMT_AA</t>
        </is>
      </c>
      <c r="C48" s="7" t="inlineStr">
        <is>
          <t>Armament@AdvancedMissileTargetingAA</t>
        </is>
      </c>
      <c r="L48" s="6" t="n">
        <v>32000</v>
      </c>
      <c r="M48" s="6" t="n">
        <v>84</v>
      </c>
      <c r="N48" s="6" t="n">
        <v>1</v>
      </c>
      <c r="O48" s="6" t="n"/>
      <c r="P48" s="6" t="n">
        <v>8397</v>
      </c>
      <c r="Q48" s="6" t="n">
        <v>1</v>
      </c>
      <c r="R48">
        <f>M48+IF(MAX(N48-1,0)&gt;0,IF(ISBLANK(O48),5*MAX(N48-1,0),IF(ISNUMBER(O48),O48*MAX(N48-1,0),SUM(IFERROR(VALUE(TEXTSPLIT(O48,",")),0)))),0)</f>
        <v/>
      </c>
      <c r="S48">
        <f>IFERROR(L48*MAX(N48,1)/R48*IF(ISBLANK(K40),1,K40),0)</f>
        <v/>
      </c>
      <c r="AB48" s="7" t="inlineStr">
        <is>
          <t>^Warhead_MissileAP_Heavy, ^Warhead_MissileAP_Light</t>
        </is>
      </c>
    </row>
    <row r="49">
      <c r="A49" t="inlineStr">
        <is>
          <t>tiberiandawn</t>
        </is>
      </c>
      <c r="B49" t="inlineStr">
        <is>
          <t>td_nod_buggy</t>
        </is>
      </c>
      <c r="C49" t="inlineStr">
        <is>
          <t>Nod Buggy</t>
        </is>
      </c>
      <c r="D49" s="6" t="inlineStr">
        <is>
          <t>ScoutVehicle</t>
        </is>
      </c>
      <c r="E49" s="6" t="n">
        <v>20000</v>
      </c>
      <c r="F49" s="6" t="n">
        <v>200</v>
      </c>
      <c r="G49" t="inlineStr">
        <is>
          <t>Scout</t>
        </is>
      </c>
      <c r="H49" s="6" t="n">
        <v>1</v>
      </c>
      <c r="I49" s="6" t="n">
        <v>0.333</v>
      </c>
      <c r="J49" s="6" t="n">
        <v>1</v>
      </c>
      <c r="P49">
        <f>MAX(P50,P51)</f>
        <v/>
      </c>
      <c r="S49">
        <f>S50+S51</f>
        <v/>
      </c>
      <c r="T49">
        <f>(E49/100000+F49/100+(P49/1000)*J49/5+S49/200)*200*I49*H49</f>
        <v/>
      </c>
      <c r="U49">
        <f>((E49*F49/25000)+((P49/1000)*J49*S49/2.5))*I49*H49</f>
        <v/>
      </c>
      <c r="V49">
        <f>(E49*F49*(P49/1000)*J49*S49*I49*H49)/12500000</f>
        <v/>
      </c>
      <c r="W49">
        <f>IFERROR((((E49/30000)+(F49/200)+(S49/450)+((P49/4500)*J49))*300/4+(((E49/30000)*(F49/200))+(((P49/4500)*J49)*(S49/450)))*300/2+((E49/30000)*(F49/200)*((P49/4500)*J49)*(S49/450))*300)*(H49/1.0)/3,"")</f>
        <v/>
      </c>
      <c r="X49" s="6" t="n">
        <v>300</v>
      </c>
      <c r="Y49">
        <f>IFERROR(W49-X49,"")</f>
        <v/>
      </c>
      <c r="Z49">
        <f>IFERROR(ABS(Y49)/MAX(X49,1),"")</f>
        <v/>
      </c>
      <c r="AA49">
        <f>IFERROR(ROUND(((3*X49-(((E49/30000)+(F49/200)+(S49/450))*300/4+((E49/30000)*(F49/200))*300/2)*(H49/1.0))/(300/4+((S49/450))*300/2+((E49/30000)*(F49/200)*(S49/450))*300)*(H49/1.0)*4500)/J49,-1),"")</f>
        <v/>
      </c>
    </row>
    <row r="50">
      <c r="B50" s="7" t="inlineStr">
        <is>
          <t xml:space="preserve">  ↳ MachineGun</t>
        </is>
      </c>
      <c r="C50" s="7" t="inlineStr">
        <is>
          <t>Armament</t>
        </is>
      </c>
      <c r="L50" s="6" t="n">
        <v>4000</v>
      </c>
      <c r="M50" s="6" t="n">
        <v>10</v>
      </c>
      <c r="N50" s="6" t="n">
        <v>3</v>
      </c>
      <c r="O50" s="6" t="n">
        <v>5</v>
      </c>
      <c r="P50" s="6" t="n">
        <v>4540</v>
      </c>
      <c r="Q50" s="6" t="n">
        <v>0.75</v>
      </c>
      <c r="R50">
        <f>M50+IF(MAX(N50-1,0)&gt;0,IF(ISBLANK(O50),5*MAX(N50-1,0),IF(ISNUMBER(O50),O50*MAX(N50-1,0),SUM(IFERROR(VALUE(TEXTSPLIT(O50,",")),0)))),0)</f>
        <v/>
      </c>
      <c r="S50">
        <f>IFERROR(L50*MAX(N50,1)/R50*IF(ISBLANK(K49),1,K49),0)</f>
        <v/>
      </c>
      <c r="AB50" s="7" t="inlineStr">
        <is>
          <t>^Warhead_Bullet_Light</t>
        </is>
      </c>
    </row>
    <row r="51">
      <c r="B51" s="7" t="inlineStr">
        <is>
          <t xml:space="preserve">  ↳ FireballLauncherBuggy</t>
        </is>
      </c>
      <c r="C51" s="7" t="inlineStr">
        <is>
          <t>Armament@Upgrade</t>
        </is>
      </c>
      <c r="L51" s="6" t="n">
        <v>2000</v>
      </c>
      <c r="M51" s="6" t="n">
        <v>10</v>
      </c>
      <c r="N51" s="6" t="n">
        <v>3</v>
      </c>
      <c r="O51" s="6" t="n">
        <v>5</v>
      </c>
      <c r="P51" s="6" t="n">
        <v>4540</v>
      </c>
      <c r="Q51" s="6" t="n">
        <v>0.75</v>
      </c>
      <c r="R51">
        <f>M51+IF(MAX(N51-1,0)&gt;0,IF(ISBLANK(O51),5*MAX(N51-1,0),IF(ISNUMBER(O51),O51*MAX(N51-1,0),SUM(IFERROR(VALUE(TEXTSPLIT(O51,",")),0)))),0)</f>
        <v/>
      </c>
      <c r="S51">
        <f>IFERROR(L51*MAX(N51,1)/R51*IF(ISBLANK(K49),1,K49),0)</f>
        <v/>
      </c>
      <c r="AB51" s="7" t="inlineStr">
        <is>
          <t>^Warhead_Flame_Light</t>
        </is>
      </c>
    </row>
    <row r="52">
      <c r="A52" t="inlineStr">
        <is>
          <t>tiberiandawn</t>
        </is>
      </c>
      <c r="B52" t="inlineStr">
        <is>
          <t>td_nod_buggymkii</t>
        </is>
      </c>
      <c r="C52" t="inlineStr">
        <is>
          <t>Nod Buggy Mk. II</t>
        </is>
      </c>
      <c r="D52" s="6" t="inlineStr">
        <is>
          <t>ScoutVehicle</t>
        </is>
      </c>
      <c r="E52" s="6" t="n">
        <v>25000</v>
      </c>
      <c r="F52" s="6" t="n">
        <v>120</v>
      </c>
      <c r="G52" t="inlineStr">
        <is>
          <t>Scout</t>
        </is>
      </c>
      <c r="H52" s="6" t="n">
        <v>0.9429</v>
      </c>
      <c r="I52" s="6" t="n">
        <v>1</v>
      </c>
      <c r="J52" s="6" t="n">
        <v>1</v>
      </c>
      <c r="K52" t="n">
        <v>0.005</v>
      </c>
      <c r="P52">
        <f>MAX(P53,P54,P55,P56,P57,P58,P59,P60,P61)</f>
        <v/>
      </c>
      <c r="S52">
        <f>S53+S54+S55+S56+S57+S58+S59+S60+S61</f>
        <v/>
      </c>
      <c r="T52">
        <f>(E52/100000+F52/100+(P52/1000)*J52/5+S52/200)*200*I52*H52</f>
        <v/>
      </c>
      <c r="U52">
        <f>((E52*F52/25000)+((P52/1000)*J52*S52/2.5))*I52*H52</f>
        <v/>
      </c>
      <c r="V52">
        <f>(E52*F52*(P52/1000)*J52*S52*I52*H52)/12500000</f>
        <v/>
      </c>
      <c r="W52">
        <f>IFERROR((((E52/30000)+(F52/200)+(S52/450)+((P52/4500)*J52))*300/4+(((E52/30000)*(F52/200))+(((P52/4500)*J52)*(S52/450)))*300/2+((E52/30000)*(F52/200)*((P52/4500)*J52)*(S52/450))*300)*(H52/1.0)/3,"")</f>
        <v/>
      </c>
      <c r="X52" s="6" t="n">
        <v>500</v>
      </c>
      <c r="Y52">
        <f>IFERROR(W52-X52,"")</f>
        <v/>
      </c>
      <c r="Z52">
        <f>IFERROR(ABS(Y52)/MAX(X52,1),"")</f>
        <v/>
      </c>
      <c r="AA52">
        <f>IFERROR(ROUND(((3*X52-(((E52/30000)+(F52/200)+(S52/450))*300/4+((E52/30000)*(F52/200))*300/2)*(H52/1.0))/(300/4+((S52/450))*300/2+((E52/30000)*(F52/200)*(S52/450))*300)*(H52/1.0)*4500)/J52,-1),"")</f>
        <v/>
      </c>
    </row>
    <row r="53">
      <c r="B53" s="7" t="inlineStr">
        <is>
          <t xml:space="preserve">  ↳ MachineGunBuggy2</t>
        </is>
      </c>
      <c r="C53" s="7" t="inlineStr">
        <is>
          <t>Armament</t>
        </is>
      </c>
      <c r="L53" s="6" t="n">
        <v>6000</v>
      </c>
      <c r="M53" s="6" t="n">
        <v>60</v>
      </c>
      <c r="N53" s="6" t="n">
        <v>3</v>
      </c>
      <c r="O53" s="6" t="n">
        <v>4</v>
      </c>
      <c r="P53" s="6" t="n">
        <v>5274</v>
      </c>
      <c r="Q53" s="6" t="n">
        <v>1</v>
      </c>
      <c r="R53">
        <f>M53+IF(MAX(N53-1,0)&gt;0,IF(ISBLANK(O53),5*MAX(N53-1,0),IF(ISNUMBER(O53),O53*MAX(N53-1,0),SUM(IFERROR(VALUE(TEXTSPLIT(O53,",")),0)))),0)</f>
        <v/>
      </c>
      <c r="S53">
        <f>IFERROR(L53*MAX(N53,1)/R53*IF(ISBLANK(K52),1,K52),0)</f>
        <v/>
      </c>
      <c r="AB53" s="7" t="inlineStr">
        <is>
          <t>^HeavyCannon, ^SmallArms, ^Chaingun</t>
        </is>
      </c>
    </row>
    <row r="54">
      <c r="B54" s="7" t="inlineStr">
        <is>
          <t xml:space="preserve">  ↳ FireballLauncherBuggy2</t>
        </is>
      </c>
      <c r="C54" s="7" t="inlineStr">
        <is>
          <t>Armament@Upgrade</t>
        </is>
      </c>
      <c r="L54" s="6" t="n">
        <v>6000</v>
      </c>
      <c r="M54" s="6" t="n">
        <v>60</v>
      </c>
      <c r="N54" s="6" t="n">
        <v>3</v>
      </c>
      <c r="O54" s="6" t="n">
        <v>4</v>
      </c>
      <c r="P54" s="6" t="n">
        <v>5274</v>
      </c>
      <c r="Q54" s="6" t="n">
        <v>1</v>
      </c>
      <c r="R54">
        <f>M54+IF(MAX(N54-1,0)&gt;0,IF(ISBLANK(O54),5*MAX(N54-1,0),IF(ISNUMBER(O54),O54*MAX(N54-1,0),SUM(IFERROR(VALUE(TEXTSPLIT(O54,",")),0)))),0)</f>
        <v/>
      </c>
      <c r="S54">
        <f>IFERROR(L54*MAX(N54,1)/R54*IF(ISBLANK(K52),1,K52),0)</f>
        <v/>
      </c>
      <c r="AB54" s="7" t="inlineStr">
        <is>
          <t>^Warhead_Flame_Light, ^Warhead_Flame_Heavy, ^Warhead_Flame_Medium</t>
        </is>
      </c>
    </row>
    <row r="55">
      <c r="B55" s="7" t="inlineStr">
        <is>
          <t xml:space="preserve">  ↳ MachineGunBuggy2_AA</t>
        </is>
      </c>
      <c r="C55" s="7" t="inlineStr">
        <is>
          <t>Armament@AA</t>
        </is>
      </c>
      <c r="L55" s="6" t="n">
        <v>6000</v>
      </c>
      <c r="M55" s="6" t="n">
        <v>60</v>
      </c>
      <c r="N55" s="6" t="n">
        <v>3</v>
      </c>
      <c r="O55" s="6" t="n">
        <v>4</v>
      </c>
      <c r="P55" s="6" t="n">
        <v>7911</v>
      </c>
      <c r="Q55" s="6" t="n">
        <v>1</v>
      </c>
      <c r="R55">
        <f>M55+IF(MAX(N55-1,0)&gt;0,IF(ISBLANK(O55),5*MAX(N55-1,0),IF(ISNUMBER(O55),O55*MAX(N55-1,0),SUM(IFERROR(VALUE(TEXTSPLIT(O55,",")),0)))),0)</f>
        <v/>
      </c>
      <c r="S55">
        <f>IFERROR(L55*MAX(N55,1)/R55*IF(ISBLANK(K52),1,K52),0)</f>
        <v/>
      </c>
      <c r="AB55" s="7" t="inlineStr">
        <is>
          <t>MachineGunBuggy2</t>
        </is>
      </c>
    </row>
    <row r="56">
      <c r="B56" s="7" t="inlineStr">
        <is>
          <t xml:space="preserve">  ↳ LaserBuggy2</t>
        </is>
      </c>
      <c r="C56" s="7" t="inlineStr">
        <is>
          <t>Armament@LaserBase</t>
        </is>
      </c>
      <c r="L56" s="6" t="n">
        <v>6000</v>
      </c>
      <c r="M56" s="6" t="n">
        <v>60</v>
      </c>
      <c r="N56" s="6" t="n">
        <v>3</v>
      </c>
      <c r="O56" s="6" t="n">
        <v>4</v>
      </c>
      <c r="P56" s="6" t="n">
        <v>5274</v>
      </c>
      <c r="Q56" s="6" t="n">
        <v>0.75</v>
      </c>
      <c r="R56">
        <f>M56+IF(MAX(N56-1,0)&gt;0,IF(ISBLANK(O56),5*MAX(N56-1,0),IF(ISNUMBER(O56),O56*MAX(N56-1,0),SUM(IFERROR(VALUE(TEXTSPLIT(O56,",")),0)))),0)</f>
        <v/>
      </c>
      <c r="S56">
        <f>IFERROR(L56*MAX(N56,1)/R56*IF(ISBLANK(K52),1,K52),0)</f>
        <v/>
      </c>
      <c r="AB56" s="7" t="inlineStr">
        <is>
          <t>^Warhead_Laser_Light</t>
        </is>
      </c>
    </row>
    <row r="57">
      <c r="B57" s="7" t="inlineStr">
        <is>
          <t xml:space="preserve">  ↳ LaserBuggy2Inferno</t>
        </is>
      </c>
      <c r="C57" s="7" t="inlineStr">
        <is>
          <t>Armament@LaserElite</t>
        </is>
      </c>
      <c r="L57" s="6" t="n">
        <v>6000</v>
      </c>
      <c r="M57" s="6" t="n">
        <v>60</v>
      </c>
      <c r="N57" s="6" t="n">
        <v>3</v>
      </c>
      <c r="O57" s="6" t="n">
        <v>4</v>
      </c>
      <c r="P57" s="6" t="n">
        <v>5274</v>
      </c>
      <c r="Q57" s="6" t="n">
        <v>0.75</v>
      </c>
      <c r="R57">
        <f>M57+IF(MAX(N57-1,0)&gt;0,IF(ISBLANK(O57),5*MAX(N57-1,0),IF(ISNUMBER(O57),O57*MAX(N57-1,0),SUM(IFERROR(VALUE(TEXTSPLIT(O57,",")),0)))),0)</f>
        <v/>
      </c>
      <c r="S57">
        <f>IFERROR(L57*MAX(N57,1)/R57*IF(ISBLANK(K52),1,K52),0)</f>
        <v/>
      </c>
      <c r="AB57" s="7" t="inlineStr">
        <is>
          <t>^Warhead_Inferno_Light</t>
        </is>
      </c>
    </row>
    <row r="58">
      <c r="B58" s="7" t="inlineStr">
        <is>
          <t xml:space="preserve">  ↳ LaserBuggy2Burning</t>
        </is>
      </c>
      <c r="C58" s="7" t="inlineStr">
        <is>
          <t>Armament@LaserBurning</t>
        </is>
      </c>
      <c r="L58" s="6" t="n">
        <v>6000</v>
      </c>
      <c r="M58" s="6" t="n">
        <v>60</v>
      </c>
      <c r="N58" s="6" t="n">
        <v>10</v>
      </c>
      <c r="O58" s="6" t="n">
        <v>1</v>
      </c>
      <c r="P58" s="6" t="n">
        <v>5274</v>
      </c>
      <c r="Q58" s="6" t="n">
        <v>0.75</v>
      </c>
      <c r="R58">
        <f>M58+IF(MAX(N58-1,0)&gt;0,IF(ISBLANK(O58),5*MAX(N58-1,0),IF(ISNUMBER(O58),O58*MAX(N58-1,0),SUM(IFERROR(VALUE(TEXTSPLIT(O58,",")),0)))),0)</f>
        <v/>
      </c>
      <c r="S58">
        <f>IFERROR(L58*MAX(N58,1)/R58*IF(ISBLANK(K52),1,K52),0)</f>
        <v/>
      </c>
      <c r="AB58" s="7" t="inlineStr">
        <is>
          <t>^Warhead_Inferno_Light</t>
        </is>
      </c>
    </row>
    <row r="59">
      <c r="B59" s="7" t="inlineStr">
        <is>
          <t xml:space="preserve">  ↳ LaserBuggy2_AA</t>
        </is>
      </c>
      <c r="C59" s="7" t="inlineStr">
        <is>
          <t>Armament@LaserAABase</t>
        </is>
      </c>
      <c r="L59" s="6" t="n">
        <v>6000</v>
      </c>
      <c r="M59" s="6" t="n">
        <v>60</v>
      </c>
      <c r="N59" s="6" t="n">
        <v>3</v>
      </c>
      <c r="O59" s="6" t="n">
        <v>4</v>
      </c>
      <c r="P59" s="6" t="n">
        <v>7911</v>
      </c>
      <c r="Q59" s="6" t="n">
        <v>0.75</v>
      </c>
      <c r="R59">
        <f>M59+IF(MAX(N59-1,0)&gt;0,IF(ISBLANK(O59),5*MAX(N59-1,0),IF(ISNUMBER(O59),O59*MAX(N59-1,0),SUM(IFERROR(VALUE(TEXTSPLIT(O59,",")),0)))),0)</f>
        <v/>
      </c>
      <c r="S59">
        <f>IFERROR(L59*MAX(N59,1)/R59*IF(ISBLANK(K52),1,K52),0)</f>
        <v/>
      </c>
      <c r="AB59" s="7" t="inlineStr">
        <is>
          <t>^Warhead_Laser_Light</t>
        </is>
      </c>
    </row>
    <row r="60">
      <c r="B60" s="7" t="inlineStr">
        <is>
          <t xml:space="preserve">  ↳ LaserBuggy2_AAInferno</t>
        </is>
      </c>
      <c r="C60" s="7" t="inlineStr">
        <is>
          <t>Armament@LaserAAElite</t>
        </is>
      </c>
      <c r="L60" s="6" t="n">
        <v>6000</v>
      </c>
      <c r="M60" s="6" t="n">
        <v>60</v>
      </c>
      <c r="N60" s="6" t="n">
        <v>3</v>
      </c>
      <c r="O60" s="6" t="n">
        <v>4</v>
      </c>
      <c r="P60" s="6" t="n">
        <v>7911</v>
      </c>
      <c r="Q60" s="6" t="n">
        <v>0.75</v>
      </c>
      <c r="R60">
        <f>M60+IF(MAX(N60-1,0)&gt;0,IF(ISBLANK(O60),5*MAX(N60-1,0),IF(ISNUMBER(O60),O60*MAX(N60-1,0),SUM(IFERROR(VALUE(TEXTSPLIT(O60,",")),0)))),0)</f>
        <v/>
      </c>
      <c r="S60">
        <f>IFERROR(L60*MAX(N60,1)/R60*IF(ISBLANK(K52),1,K52),0)</f>
        <v/>
      </c>
      <c r="AB60" s="7" t="inlineStr">
        <is>
          <t>^Warhead_Inferno_Light</t>
        </is>
      </c>
    </row>
    <row r="61">
      <c r="B61" s="7" t="inlineStr">
        <is>
          <t xml:space="preserve">  ↳ LaserBuggy2_AABurning</t>
        </is>
      </c>
      <c r="C61" s="7" t="inlineStr">
        <is>
          <t>Armament@LaserAABurning</t>
        </is>
      </c>
      <c r="L61" s="6" t="n">
        <v>6000</v>
      </c>
      <c r="M61" s="6" t="n">
        <v>60</v>
      </c>
      <c r="N61" s="6" t="n">
        <v>10</v>
      </c>
      <c r="O61" s="6" t="n">
        <v>1</v>
      </c>
      <c r="P61" s="6" t="n">
        <v>7911</v>
      </c>
      <c r="Q61" s="6" t="n">
        <v>0.75</v>
      </c>
      <c r="R61">
        <f>M61+IF(MAX(N61-1,0)&gt;0,IF(ISBLANK(O61),5*MAX(N61-1,0),IF(ISNUMBER(O61),O61*MAX(N61-1,0),SUM(IFERROR(VALUE(TEXTSPLIT(O61,",")),0)))),0)</f>
        <v/>
      </c>
      <c r="S61">
        <f>IFERROR(L61*MAX(N61,1)/R61*IF(ISBLANK(K52),1,K52),0)</f>
        <v/>
      </c>
      <c r="AB61" s="7" t="inlineStr">
        <is>
          <t>^Warhead_Inferno_Light</t>
        </is>
      </c>
    </row>
    <row r="62">
      <c r="A62" t="inlineStr">
        <is>
          <t>redalert</t>
        </is>
      </c>
      <c r="B62" t="inlineStr">
        <is>
          <t>japan_grenadebuggy</t>
        </is>
      </c>
      <c r="C62" t="inlineStr">
        <is>
          <t>Grenade Buggy</t>
        </is>
      </c>
      <c r="D62" s="6" t="inlineStr">
        <is>
          <t>ScoutVehicle</t>
        </is>
      </c>
      <c r="E62" s="6" t="n">
        <v>60000</v>
      </c>
      <c r="F62" s="6" t="n">
        <v>120</v>
      </c>
      <c r="G62" t="inlineStr">
        <is>
          <t>Scout</t>
        </is>
      </c>
      <c r="H62" s="6" t="n">
        <v>1</v>
      </c>
      <c r="I62" s="6" t="n">
        <v>0.5</v>
      </c>
      <c r="J62" s="6" t="n">
        <v>1</v>
      </c>
      <c r="P62">
        <f>MAX(P63,P64)</f>
        <v/>
      </c>
      <c r="S62">
        <f>S63+S64</f>
        <v/>
      </c>
      <c r="T62">
        <f>(E62/100000+F62/100+(P62/1000)*J62/5+S62/200)*200*I62*H62</f>
        <v/>
      </c>
      <c r="U62">
        <f>((E62*F62/25000)+((P62/1000)*J62*S62/2.5))*I62*H62</f>
        <v/>
      </c>
      <c r="V62">
        <f>(E62*F62*(P62/1000)*J62*S62*I62*H62)/12500000</f>
        <v/>
      </c>
      <c r="W62">
        <f>IFERROR((((E62/30000)+(F62/200)+(S62/450)+((P62/4500)*J62))*300/4+(((E62/30000)*(F62/200))+(((P62/4500)*J62)*(S62/450)))*300/2+((E62/30000)*(F62/200)*((P62/4500)*J62)*(S62/450))*300)*(H62/1.0)/3,"")</f>
        <v/>
      </c>
      <c r="X62" s="6" t="n">
        <v>900</v>
      </c>
      <c r="Y62">
        <f>IFERROR(W62-X62,"")</f>
        <v/>
      </c>
      <c r="Z62">
        <f>IFERROR(ABS(Y62)/MAX(X62,1),"")</f>
        <v/>
      </c>
      <c r="AA62">
        <f>IFERROR(ROUND(((3*X62-(((E62/30000)+(F62/200)+(S62/450))*300/4+((E62/30000)*(F62/200))*300/2)*(H62/1.0))/(300/4+((S62/450))*300/2+((E62/30000)*(F62/200)*(S62/450))*300)*(H62/1.0)*4500)/J62,-1),"")</f>
        <v/>
      </c>
    </row>
    <row r="63">
      <c r="B63" s="7" t="inlineStr">
        <is>
          <t xml:space="preserve">  ↳ BuggyGrenade</t>
        </is>
      </c>
      <c r="C63" s="7" t="inlineStr">
        <is>
          <t>Armament</t>
        </is>
      </c>
      <c r="L63" s="6" t="n">
        <v>60000</v>
      </c>
      <c r="M63" s="6" t="n">
        <v>60</v>
      </c>
      <c r="N63" s="6" t="n">
        <v>1</v>
      </c>
      <c r="O63" s="6" t="n"/>
      <c r="P63" s="6" t="n">
        <v>5184</v>
      </c>
      <c r="Q63" s="6" t="n">
        <v>0.75</v>
      </c>
      <c r="R63">
        <f>M63+IF(MAX(N63-1,0)&gt;0,IF(ISBLANK(O63),5*MAX(N63-1,0),IF(ISNUMBER(O63),O63*MAX(N63-1,0),SUM(IFERROR(VALUE(TEXTSPLIT(O63,",")),0)))),0)</f>
        <v/>
      </c>
      <c r="S63">
        <f>IFERROR(L63*MAX(N63,1)/R63*IF(ISBLANK(K62),1,K62),0)</f>
        <v/>
      </c>
      <c r="AB63" s="7" t="inlineStr">
        <is>
          <t>^Warhead_Demolition_Light</t>
        </is>
      </c>
    </row>
    <row r="64">
      <c r="B64" s="7" t="inlineStr">
        <is>
          <t xml:space="preserve">  ↳ BuggyPlasmaGrenade</t>
        </is>
      </c>
      <c r="C64" s="7" t="inlineStr">
        <is>
          <t>Armament@Upgrade</t>
        </is>
      </c>
      <c r="L64" s="6" t="n">
        <v>60000</v>
      </c>
      <c r="M64" s="6" t="n">
        <v>60</v>
      </c>
      <c r="N64" s="6" t="n">
        <v>1</v>
      </c>
      <c r="O64" s="6" t="n"/>
      <c r="P64" s="6" t="n">
        <v>5184</v>
      </c>
      <c r="Q64" s="6" t="n">
        <v>0.75</v>
      </c>
      <c r="R64">
        <f>M64+IF(MAX(N64-1,0)&gt;0,IF(ISBLANK(O64),5*MAX(N64-1,0),IF(ISNUMBER(O64),O64*MAX(N64-1,0),SUM(IFERROR(VALUE(TEXTSPLIT(O64,",")),0)))),0)</f>
        <v/>
      </c>
      <c r="S64">
        <f>IFERROR(L64*MAX(N64,1)/R64*IF(ISBLANK(K62),1,K62),0)</f>
        <v/>
      </c>
      <c r="AB64" s="7" t="inlineStr">
        <is>
          <t>^Warhead_Demolition_Light</t>
        </is>
      </c>
    </row>
    <row r="65">
      <c r="A65" t="inlineStr">
        <is>
          <t>redalert</t>
        </is>
      </c>
      <c r="B65" t="inlineStr">
        <is>
          <t>japan_scoutcar</t>
        </is>
      </c>
      <c r="C65" t="inlineStr">
        <is>
          <t>Scout Car</t>
        </is>
      </c>
      <c r="D65" s="6" t="inlineStr">
        <is>
          <t>ScoutVehicle</t>
        </is>
      </c>
      <c r="E65" s="6" t="n">
        <v>25000</v>
      </c>
      <c r="F65" s="6" t="n">
        <v>160</v>
      </c>
      <c r="G65" t="inlineStr">
        <is>
          <t>Scout</t>
        </is>
      </c>
      <c r="H65" s="6" t="n">
        <v>1</v>
      </c>
      <c r="I65" s="6" t="n">
        <v>0.333</v>
      </c>
      <c r="J65" s="6" t="n">
        <v>1</v>
      </c>
      <c r="P65">
        <f>MAX(P66,P67)</f>
        <v/>
      </c>
      <c r="S65">
        <f>S66+S67</f>
        <v/>
      </c>
      <c r="T65">
        <f>(E65/100000+F65/100+(P65/1000)*J65/5+S65/200)*200*I65*H65</f>
        <v/>
      </c>
      <c r="U65">
        <f>((E65*F65/25000)+((P65/1000)*J65*S65/2.5))*I65*H65</f>
        <v/>
      </c>
      <c r="V65">
        <f>(E65*F65*(P65/1000)*J65*S65*I65*H65)/12500000</f>
        <v/>
      </c>
      <c r="W65">
        <f>IFERROR((((E65/30000)+(F65/200)+(S65/450)+((P65/4500)*J65))*300/4+(((E65/30000)*(F65/200))+(((P65/4500)*J65)*(S65/450)))*300/2+((E65/30000)*(F65/200)*((P65/4500)*J65)*(S65/450))*300)*(H65/1.0)/3,"")</f>
        <v/>
      </c>
      <c r="X65" s="6" t="n">
        <v>300</v>
      </c>
      <c r="Y65">
        <f>IFERROR(W65-X65,"")</f>
        <v/>
      </c>
      <c r="Z65">
        <f>IFERROR(ABS(Y65)/MAX(X65,1),"")</f>
        <v/>
      </c>
      <c r="AA65">
        <f>IFERROR(ROUND(((3*X65-(((E65/30000)+(F65/200)+(S65/450))*300/4+((E65/30000)*(F65/200))*300/2)*(H65/1.0))/(300/4+((S65/450))*300/2+((E65/30000)*(F65/200)*(S65/450))*300)*(H65/1.0)*4500)/J65,-1),"")</f>
        <v/>
      </c>
    </row>
    <row r="66">
      <c r="B66" s="7" t="inlineStr">
        <is>
          <t xml:space="preserve">  ↳ NambuMG</t>
        </is>
      </c>
      <c r="C66" s="7" t="inlineStr">
        <is>
          <t>Armament</t>
        </is>
      </c>
      <c r="L66" s="6" t="n">
        <v>4000</v>
      </c>
      <c r="M66" s="6" t="n">
        <v>15</v>
      </c>
      <c r="N66" s="6" t="n">
        <v>5</v>
      </c>
      <c r="O66" s="6" t="n">
        <v>5</v>
      </c>
      <c r="P66" s="6" t="n">
        <v>5004</v>
      </c>
      <c r="Q66" s="6" t="n">
        <v>0.75</v>
      </c>
      <c r="R66">
        <f>M66+IF(MAX(N66-1,0)&gt;0,IF(ISBLANK(O66),5*MAX(N66-1,0),IF(ISNUMBER(O66),O66*MAX(N66-1,0),SUM(IFERROR(VALUE(TEXTSPLIT(O66,",")),0)))),0)</f>
        <v/>
      </c>
      <c r="S66">
        <f>IFERROR(L66*MAX(N66,1)/R66*IF(ISBLANK(K65),1,K65),0)</f>
        <v/>
      </c>
      <c r="AB66" s="7" t="inlineStr">
        <is>
          <t>^Warhead_Bullet_Light</t>
        </is>
      </c>
    </row>
    <row r="67">
      <c r="B67" s="7" t="inlineStr">
        <is>
          <t xml:space="preserve">  ↳ NambuMGWaveforce</t>
        </is>
      </c>
      <c r="C67" s="7" t="inlineStr">
        <is>
          <t>Armament@Upgrade</t>
        </is>
      </c>
      <c r="L67" s="6" t="n">
        <v>4000</v>
      </c>
      <c r="M67" s="6" t="n">
        <v>15</v>
      </c>
      <c r="N67" s="6" t="n">
        <v>5</v>
      </c>
      <c r="O67" s="6" t="n">
        <v>5</v>
      </c>
      <c r="P67" s="6" t="n">
        <v>5004</v>
      </c>
      <c r="Q67" s="6" t="n">
        <v>1</v>
      </c>
      <c r="R67">
        <f>M67+IF(MAX(N67-1,0)&gt;0,IF(ISBLANK(O67),5*MAX(N67-1,0),IF(ISNUMBER(O67),O67*MAX(N67-1,0),SUM(IFERROR(VALUE(TEXTSPLIT(O67,",")),0)))),0)</f>
        <v/>
      </c>
      <c r="S67">
        <f>IFERROR(L67*MAX(N67,1)/R67*IF(ISBLANK(K65),1,K65),0)</f>
        <v/>
      </c>
      <c r="AB67" s="7" t="inlineStr">
        <is>
          <t>^Warhead_Railgun_Heavy, ^Warhead_Bullet_Light</t>
        </is>
      </c>
    </row>
    <row r="68">
      <c r="A68" t="inlineStr">
        <is>
          <t>redalert</t>
        </is>
      </c>
      <c r="B68" t="inlineStr">
        <is>
          <t>ra1_allies_ranger</t>
        </is>
      </c>
      <c r="C68" t="inlineStr">
        <is>
          <t>Ranger</t>
        </is>
      </c>
      <c r="D68" s="6" t="inlineStr">
        <is>
          <t>ScoutVehicle</t>
        </is>
      </c>
      <c r="E68" s="6" t="n">
        <v>22500</v>
      </c>
      <c r="F68" s="6" t="n">
        <v>175</v>
      </c>
      <c r="G68" t="inlineStr">
        <is>
          <t>Scout</t>
        </is>
      </c>
      <c r="H68" s="6" t="n">
        <v>0.8919</v>
      </c>
      <c r="I68" s="6" t="n">
        <v>1</v>
      </c>
      <c r="J68" s="6" t="n">
        <v>1</v>
      </c>
      <c r="P68">
        <f>MAX(P69,P70)</f>
        <v/>
      </c>
      <c r="S68">
        <f>S69+S70</f>
        <v/>
      </c>
      <c r="T68">
        <f>(E68/100000+F68/100+(P68/1000)*J68/5+S68/200)*200*I68*H68</f>
        <v/>
      </c>
      <c r="U68">
        <f>((E68*F68/25000)+((P68/1000)*J68*S68/2.5))*I68*H68</f>
        <v/>
      </c>
      <c r="V68">
        <f>(E68*F68*(P68/1000)*J68*S68*I68*H68)/12500000</f>
        <v/>
      </c>
      <c r="W68">
        <f>IFERROR((((E68/30000)+(F68/200)+(S68/450)+((P68/4500)*J68))*300/4+(((E68/30000)*(F68/200))+(((P68/4500)*J68)*(S68/450)))*300/2+((E68/30000)*(F68/200)*((P68/4500)*J68)*(S68/450))*300)*(H68/1.0)/3,"")</f>
        <v/>
      </c>
      <c r="X68" s="6" t="n">
        <v>300</v>
      </c>
      <c r="Y68">
        <f>IFERROR(W68-X68,"")</f>
        <v/>
      </c>
      <c r="Z68">
        <f>IFERROR(ABS(Y68)/MAX(X68,1),"")</f>
        <v/>
      </c>
      <c r="AA68">
        <f>IFERROR(ROUND(((3*X68-(((E68/30000)+(F68/200)+(S68/450))*300/4+((E68/30000)*(F68/200))*300/2)*(H68/1.0))/(300/4+((S68/450))*300/2+((E68/30000)*(F68/200)*(S68/450))*300)*(H68/1.0)*4500)/J68,-1),"")</f>
        <v/>
      </c>
    </row>
    <row r="69">
      <c r="B69" s="7" t="inlineStr">
        <is>
          <t xml:space="preserve">  ↳ M60mg</t>
        </is>
      </c>
      <c r="C69" s="7" t="inlineStr">
        <is>
          <t>Armament</t>
        </is>
      </c>
      <c r="L69" s="6" t="n">
        <v>4000</v>
      </c>
      <c r="M69" s="6" t="n">
        <v>10</v>
      </c>
      <c r="N69" s="6" t="n">
        <v>4</v>
      </c>
      <c r="O69" s="6" t="n">
        <v>5</v>
      </c>
      <c r="P69" s="6" t="n">
        <v>4359</v>
      </c>
      <c r="Q69" s="6" t="n">
        <v>0.75</v>
      </c>
      <c r="R69">
        <f>M69+IF(MAX(N69-1,0)&gt;0,IF(ISBLANK(O69),5*MAX(N69-1,0),IF(ISNUMBER(O69),O69*MAX(N69-1,0),SUM(IFERROR(VALUE(TEXTSPLIT(O69,",")),0)))),0)</f>
        <v/>
      </c>
      <c r="S69">
        <f>IFERROR(L69*MAX(N69,1)/R69*IF(ISBLANK(K68),1,K68),0)</f>
        <v/>
      </c>
      <c r="AB69" s="7" t="inlineStr">
        <is>
          <t>^Warhead_Bullet_Light</t>
        </is>
      </c>
    </row>
    <row r="70">
      <c r="B70" s="7" t="inlineStr">
        <is>
          <t xml:space="preserve">  ↳ M60mgCryo</t>
        </is>
      </c>
      <c r="C70" s="7" t="inlineStr">
        <is>
          <t>Armament@Cryo</t>
        </is>
      </c>
      <c r="L70" s="6" t="n">
        <v>4000</v>
      </c>
      <c r="M70" s="6" t="n">
        <v>10</v>
      </c>
      <c r="N70" s="6" t="n">
        <v>4</v>
      </c>
      <c r="O70" s="6" t="n">
        <v>5</v>
      </c>
      <c r="P70" s="6" t="n">
        <v>4359</v>
      </c>
      <c r="Q70" s="6" t="n">
        <v>0.75</v>
      </c>
      <c r="R70">
        <f>M70+IF(MAX(N70-1,0)&gt;0,IF(ISBLANK(O70),5*MAX(N70-1,0),IF(ISNUMBER(O70),O70*MAX(N70-1,0),SUM(IFERROR(VALUE(TEXTSPLIT(O70,",")),0)))),0)</f>
        <v/>
      </c>
      <c r="S70">
        <f>IFERROR(L70*MAX(N70,1)/R70*IF(ISBLANK(K68),1,K68),0)</f>
        <v/>
      </c>
      <c r="AB70" s="7" t="inlineStr">
        <is>
          <t>^Warhead_BulletCryo_Light</t>
        </is>
      </c>
    </row>
    <row r="71">
      <c r="A71" t="inlineStr">
        <is>
          <t>tiberiansun</t>
        </is>
      </c>
      <c r="B71" t="inlineStr">
        <is>
          <t>ts_nod_attackbuggy</t>
        </is>
      </c>
      <c r="C71" t="inlineStr">
        <is>
          <t>Attack Buggy</t>
        </is>
      </c>
      <c r="D71" s="6" t="inlineStr">
        <is>
          <t>ScoutVehicle</t>
        </is>
      </c>
      <c r="E71" s="6" t="n">
        <v>30000</v>
      </c>
      <c r="F71" s="6" t="n">
        <v>160</v>
      </c>
      <c r="G71" t="inlineStr">
        <is>
          <t>Scout</t>
        </is>
      </c>
      <c r="H71" s="6" t="n">
        <v>1</v>
      </c>
      <c r="I71" s="6" t="n">
        <v>0.333</v>
      </c>
      <c r="J71" s="6" t="n">
        <v>1</v>
      </c>
      <c r="P71">
        <f>MAX(P72,P73,P74)</f>
        <v/>
      </c>
      <c r="S71">
        <f>S72+S73+S74</f>
        <v/>
      </c>
      <c r="T71">
        <f>(E71/100000+F71/100+(P71/1000)*J71/5+S71/200)*200*I71*H71</f>
        <v/>
      </c>
      <c r="U71">
        <f>((E71*F71/25000)+((P71/1000)*J71*S71/2.5))*I71*H71</f>
        <v/>
      </c>
      <c r="V71">
        <f>(E71*F71*(P71/1000)*J71*S71*I71*H71)/12500000</f>
        <v/>
      </c>
      <c r="W71">
        <f>IFERROR((((E71/30000)+(F71/200)+(S71/450)+((P71/4500)*J71))*300/4+(((E71/30000)*(F71/200))+(((P71/4500)*J71)*(S71/450)))*300/2+((E71/30000)*(F71/200)*((P71/4500)*J71)*(S71/450))*300)*(H71/1.0)/3,"")</f>
        <v/>
      </c>
      <c r="X71" s="6" t="n">
        <v>450</v>
      </c>
      <c r="Y71">
        <f>IFERROR(W71-X71,"")</f>
        <v/>
      </c>
      <c r="Z71">
        <f>IFERROR(ABS(Y71)/MAX(X71,1),"")</f>
        <v/>
      </c>
      <c r="AA71">
        <f>IFERROR(ROUND(((3*X71-(((E71/30000)+(F71/200)+(S71/450))*300/4+((E71/30000)*(F71/200))*300/2)*(H71/1.0))/(300/4+((S71/450))*300/2+((E71/30000)*(F71/200)*(S71/450))*300)*(H71/1.0)*4500)/J71,-1),"")</f>
        <v/>
      </c>
    </row>
    <row r="72">
      <c r="B72" s="7" t="inlineStr">
        <is>
          <t xml:space="preserve">  ↳ TSRaiderCannon</t>
        </is>
      </c>
      <c r="C72" s="7" t="inlineStr">
        <is>
          <t>Armament@PRIMARY</t>
        </is>
      </c>
      <c r="L72" s="6" t="n">
        <v>6000</v>
      </c>
      <c r="M72" s="6" t="n">
        <v>20</v>
      </c>
      <c r="N72" s="6" t="n">
        <v>4</v>
      </c>
      <c r="O72" s="6" t="n">
        <v>2</v>
      </c>
      <c r="P72" s="6" t="n">
        <v>4787</v>
      </c>
      <c r="Q72" s="6" t="n">
        <v>0.75</v>
      </c>
      <c r="R72">
        <f>M72+IF(MAX(N72-1,0)&gt;0,IF(ISBLANK(O72),5*MAX(N72-1,0),IF(ISNUMBER(O72),O72*MAX(N72-1,0),SUM(IFERROR(VALUE(TEXTSPLIT(O72,",")),0)))),0)</f>
        <v/>
      </c>
      <c r="S72">
        <f>IFERROR(L72*MAX(N72,1)/R72*IF(ISBLANK(K71),1,K71),0)</f>
        <v/>
      </c>
      <c r="AB72" s="7" t="inlineStr">
        <is>
          <t>^Warhead_Bullet_Light</t>
        </is>
      </c>
    </row>
    <row r="73">
      <c r="B73" s="7" t="inlineStr">
        <is>
          <t xml:space="preserve">  ↳ TSLaserRaiderCannon</t>
        </is>
      </c>
      <c r="C73" s="7" t="inlineStr">
        <is>
          <t>Armament@UPGRADE</t>
        </is>
      </c>
      <c r="L73" s="6" t="n">
        <v>12000</v>
      </c>
      <c r="M73" s="6" t="n">
        <v>20</v>
      </c>
      <c r="N73" s="6" t="n">
        <v>3</v>
      </c>
      <c r="O73" s="6" t="n">
        <v>2</v>
      </c>
      <c r="P73" s="6" t="n">
        <v>4964</v>
      </c>
      <c r="Q73" s="6" t="n">
        <v>1</v>
      </c>
      <c r="R73">
        <f>M73+IF(MAX(N73-1,0)&gt;0,IF(ISBLANK(O73),5*MAX(N73-1,0),IF(ISNUMBER(O73),O73*MAX(N73-1,0),SUM(IFERROR(VALUE(TEXTSPLIT(O73,",")),0)))),0)</f>
        <v/>
      </c>
      <c r="S73">
        <f>IFERROR(L73*MAX(N73,1)/R73*IF(ISBLANK(K71),1,K71),0)</f>
        <v/>
      </c>
      <c r="AB73" s="7" t="inlineStr">
        <is>
          <t>^Warhead_Bullet_Light, ^Warhead_Laser_Heavy</t>
        </is>
      </c>
    </row>
    <row r="74">
      <c r="B74" s="7" t="inlineStr">
        <is>
          <t xml:space="preserve">  ↳ TSRaiderGrenade</t>
        </is>
      </c>
      <c r="C74" s="7" t="inlineStr">
        <is>
          <t>Armament@SECONDARY</t>
        </is>
      </c>
      <c r="L74" s="6" t="n">
        <v>36000</v>
      </c>
      <c r="M74" s="6" t="n">
        <v>52</v>
      </c>
      <c r="N74" s="6" t="n">
        <v>1</v>
      </c>
      <c r="O74" s="6" t="n"/>
      <c r="P74" s="6" t="n">
        <v>4787</v>
      </c>
      <c r="Q74" s="6" t="n">
        <v>0.75</v>
      </c>
      <c r="R74">
        <f>M74+IF(MAX(N74-1,0)&gt;0,IF(ISBLANK(O74),5*MAX(N74-1,0),IF(ISNUMBER(O74),O74*MAX(N74-1,0),SUM(IFERROR(VALUE(TEXTSPLIT(O74,",")),0)))),0)</f>
        <v/>
      </c>
      <c r="S74">
        <f>IFERROR(L74*MAX(N74,1)/R74*IF(ISBLANK(K71),1,K71),0)</f>
        <v/>
      </c>
      <c r="AB74" s="7" t="inlineStr">
        <is>
          <t>^Warhead_Demolition_Light</t>
        </is>
      </c>
    </row>
    <row r="75">
      <c r="A75" t="inlineStr">
        <is>
          <t>tiberiansun</t>
        </is>
      </c>
      <c r="B75" t="inlineStr">
        <is>
          <t>ts_gdi_pitbull</t>
        </is>
      </c>
      <c r="C75" t="inlineStr">
        <is>
          <t>Pitbull</t>
        </is>
      </c>
      <c r="D75" s="6" t="inlineStr">
        <is>
          <t>ScoutVehicle</t>
        </is>
      </c>
      <c r="E75" s="6" t="n">
        <v>27500</v>
      </c>
      <c r="F75" s="6" t="n">
        <v>150</v>
      </c>
      <c r="G75" t="inlineStr">
        <is>
          <t>Scout</t>
        </is>
      </c>
      <c r="H75" s="6" t="n">
        <v>1</v>
      </c>
      <c r="I75" s="6" t="n">
        <v>1</v>
      </c>
      <c r="J75" s="6" t="n">
        <v>1</v>
      </c>
      <c r="P75">
        <f>MAX(P76)</f>
        <v/>
      </c>
      <c r="S75">
        <f>S76</f>
        <v/>
      </c>
      <c r="T75">
        <f>(E75/100000+F75/100+(P75/1000)*J75/5+S75/200)*200*I75*H75</f>
        <v/>
      </c>
      <c r="U75">
        <f>((E75*F75/25000)+((P75/1000)*J75*S75/2.5))*I75*H75</f>
        <v/>
      </c>
      <c r="V75">
        <f>(E75*F75*(P75/1000)*J75*S75*I75*H75)/12500000</f>
        <v/>
      </c>
      <c r="W75">
        <f>IFERROR((((E75/30000)+(F75/200)+(S75/450)+((P75/4500)*J75))*300/4+(((E75/30000)*(F75/200))+(((P75/4500)*J75)*(S75/450)))*300/2+((E75/30000)*(F75/200)*((P75/4500)*J75)*(S75/450))*300)*(H75/1.0)/3,"")</f>
        <v/>
      </c>
      <c r="X75" s="6" t="n">
        <v>400</v>
      </c>
      <c r="Y75">
        <f>IFERROR(W75-X75,"")</f>
        <v/>
      </c>
      <c r="Z75">
        <f>IFERROR(ABS(Y75)/MAX(X75,1),"")</f>
        <v/>
      </c>
      <c r="AA75">
        <f>IFERROR(ROUND(((3*X75-(((E75/30000)+(F75/200)+(S75/450))*300/4+((E75/30000)*(F75/200))*300/2)*(H75/1.0))/(300/4+((S75/450))*300/2+((E75/30000)*(F75/200)*(S75/450))*300)*(H75/1.0)*4500)/J75,-1),"")</f>
        <v/>
      </c>
    </row>
    <row r="76">
      <c r="B76" s="7" t="inlineStr">
        <is>
          <t xml:space="preserve">  ↳ PitbullRockets</t>
        </is>
      </c>
      <c r="C76" s="7" t="inlineStr">
        <is>
          <t>Armament</t>
        </is>
      </c>
      <c r="L76" s="6" t="n">
        <v>20000</v>
      </c>
      <c r="M76" s="6" t="n">
        <v>55</v>
      </c>
      <c r="N76" s="6" t="n">
        <v>2</v>
      </c>
      <c r="O76" s="6" t="n">
        <v>5</v>
      </c>
      <c r="P76" s="6" t="n">
        <v>6379</v>
      </c>
      <c r="Q76" s="6" t="n">
        <v>0.75</v>
      </c>
      <c r="R76">
        <f>M76+IF(MAX(N76-1,0)&gt;0,IF(ISBLANK(O76),5*MAX(N76-1,0),IF(ISNUMBER(O76),O76*MAX(N76-1,0),SUM(IFERROR(VALUE(TEXTSPLIT(O76,",")),0)))),0)</f>
        <v/>
      </c>
      <c r="S76">
        <f>IFERROR(L76*MAX(N76,1)/R76*IF(ISBLANK(K75),1,K75),0)</f>
        <v/>
      </c>
      <c r="AB76" s="7" t="inlineStr">
        <is>
          <t>^Warhead_MissileAP_Light</t>
        </is>
      </c>
    </row>
    <row r="77">
      <c r="A77" t="inlineStr">
        <is>
          <t>tiberiansun</t>
        </is>
      </c>
      <c r="B77" t="inlineStr">
        <is>
          <t>forgotten_bowler</t>
        </is>
      </c>
      <c r="C77" t="inlineStr">
        <is>
          <t>actor_forgotten_bowler.name</t>
        </is>
      </c>
      <c r="D77" s="6" t="inlineStr">
        <is>
          <t>ScoutVehicle</t>
        </is>
      </c>
      <c r="E77" s="6" t="n">
        <v>40000</v>
      </c>
      <c r="F77" s="6" t="n">
        <v>120</v>
      </c>
      <c r="G77" t="inlineStr">
        <is>
          <t>Scout</t>
        </is>
      </c>
      <c r="H77" s="6" t="n">
        <v>1</v>
      </c>
      <c r="I77" s="6" t="n">
        <v>1</v>
      </c>
      <c r="J77" s="6" t="n">
        <v>1</v>
      </c>
      <c r="P77">
        <f>MAX(P78)</f>
        <v/>
      </c>
      <c r="S77">
        <f>S78</f>
        <v/>
      </c>
      <c r="T77">
        <f>(E77/100000+F77/100+(P77/1000)*J77/5+S77/200)*200*I77*H77</f>
        <v/>
      </c>
      <c r="U77">
        <f>((E77*F77/25000)+((P77/1000)*J77*S77/2.5))*I77*H77</f>
        <v/>
      </c>
      <c r="V77">
        <f>(E77*F77*(P77/1000)*J77*S77*I77*H77)/12500000</f>
        <v/>
      </c>
      <c r="W77">
        <f>IFERROR((((E77/30000)+(F77/200)+(S77/450)+((P77/4500)*J77))*300/4+(((E77/30000)*(F77/200))+(((P77/4500)*J77)*(S77/450)))*300/2+((E77/30000)*(F77/200)*((P77/4500)*J77)*(S77/450))*300)*(H77/1.0)/3,"")</f>
        <v/>
      </c>
      <c r="X77" s="6" t="n">
        <v>850</v>
      </c>
      <c r="Y77">
        <f>IFERROR(W77-X77,"")</f>
        <v/>
      </c>
      <c r="Z77">
        <f>IFERROR(ABS(Y77)/MAX(X77,1),"")</f>
        <v/>
      </c>
      <c r="AA77">
        <f>IFERROR(ROUND(((3*X77-(((E77/30000)+(F77/200)+(S77/450))*300/4+((E77/30000)*(F77/200))*300/2)*(H77/1.0))/(300/4+((S77/450))*300/2+((E77/30000)*(F77/200)*(S77/450))*300)*(H77/1.0)*4500)/J77,-1),"")</f>
        <v/>
      </c>
    </row>
    <row r="78">
      <c r="B78" s="7" t="inlineStr">
        <is>
          <t xml:space="preserve">  ↳ TSBowlerCannon</t>
        </is>
      </c>
      <c r="C78" s="7" t="inlineStr">
        <is>
          <t>Armament</t>
        </is>
      </c>
      <c r="L78" s="6" t="n">
        <v>4000</v>
      </c>
      <c r="M78" s="6" t="n">
        <v>5</v>
      </c>
      <c r="N78" s="6" t="n">
        <v>1</v>
      </c>
      <c r="O78" s="6" t="n"/>
      <c r="P78" s="6" t="n">
        <v>6603</v>
      </c>
      <c r="Q78" s="6" t="n">
        <v>0.875</v>
      </c>
      <c r="R78">
        <f>M78+IF(MAX(N78-1,0)&gt;0,IF(ISBLANK(O78),5*MAX(N78-1,0),IF(ISNUMBER(O78),O78*MAX(N78-1,0),SUM(IFERROR(VALUE(TEXTSPLIT(O78,",")),0)))),0)</f>
        <v/>
      </c>
      <c r="S78">
        <f>IFERROR(L78*MAX(N78,1)/R78*IF(ISBLANK(K77),1,K77),0)</f>
        <v/>
      </c>
      <c r="AB78" s="7" t="inlineStr">
        <is>
          <t>^Warhead_Bullet_Light, ^Warhead_Bullet_Medium</t>
        </is>
      </c>
    </row>
    <row r="79">
      <c r="A79" t="inlineStr">
        <is>
          <t>tiberiansun</t>
        </is>
      </c>
      <c r="B79" t="inlineStr">
        <is>
          <t>forgotten_raidercar</t>
        </is>
      </c>
      <c r="C79" t="inlineStr">
        <is>
          <t>actor_forgotten_raidercar.name</t>
        </is>
      </c>
      <c r="D79" s="6" t="inlineStr">
        <is>
          <t>ScoutVehicle</t>
        </is>
      </c>
      <c r="E79" s="6" t="n">
        <v>22500</v>
      </c>
      <c r="F79" s="6" t="n">
        <v>180</v>
      </c>
      <c r="G79" t="inlineStr">
        <is>
          <t>Scout</t>
        </is>
      </c>
      <c r="H79" s="6" t="n">
        <v>1</v>
      </c>
      <c r="I79" s="6" t="n">
        <v>1</v>
      </c>
      <c r="J79" s="6" t="n">
        <v>1</v>
      </c>
      <c r="P79">
        <f>MAX(P80)</f>
        <v/>
      </c>
      <c r="S79">
        <f>S80</f>
        <v/>
      </c>
      <c r="T79">
        <f>(E79/100000+F79/100+(P79/1000)*J79/5+S79/200)*200*I79*H79</f>
        <v/>
      </c>
      <c r="U79">
        <f>((E79*F79/25000)+((P79/1000)*J79*S79/2.5))*I79*H79</f>
        <v/>
      </c>
      <c r="V79">
        <f>(E79*F79*(P79/1000)*J79*S79*I79*H79)/12500000</f>
        <v/>
      </c>
      <c r="W79">
        <f>IFERROR((((E79/30000)+(F79/200)+(S79/450)+((P79/4500)*J79))*300/4+(((E79/30000)*(F79/200))+(((P79/4500)*J79)*(S79/450)))*300/2+((E79/30000)*(F79/200)*((P79/4500)*J79)*(S79/450))*300)*(H79/1.0)/3,"")</f>
        <v/>
      </c>
      <c r="X79" s="6" t="n">
        <v>300</v>
      </c>
      <c r="Y79">
        <f>IFERROR(W79-X79,"")</f>
        <v/>
      </c>
      <c r="Z79">
        <f>IFERROR(ABS(Y79)/MAX(X79,1),"")</f>
        <v/>
      </c>
      <c r="AA79">
        <f>IFERROR(ROUND(((3*X79-(((E79/30000)+(F79/200)+(S79/450))*300/4+((E79/30000)*(F79/200))*300/2)*(H79/1.0))/(300/4+((S79/450))*300/2+((E79/30000)*(F79/200)*(S79/450))*300)*(H79/1.0)*4500)/J79,-1),"")</f>
        <v/>
      </c>
    </row>
    <row r="80">
      <c r="B80" s="7" t="inlineStr">
        <is>
          <t xml:space="preserve">  ↳ TSRaiderCarCannon</t>
        </is>
      </c>
      <c r="C80" s="7" t="inlineStr">
        <is>
          <t>Armament</t>
        </is>
      </c>
      <c r="L80" s="6" t="n">
        <v>4000</v>
      </c>
      <c r="M80" s="6" t="n">
        <v>20</v>
      </c>
      <c r="N80" s="6" t="n">
        <v>4</v>
      </c>
      <c r="O80" s="6" t="n">
        <v>2</v>
      </c>
      <c r="P80" s="6" t="n">
        <v>4475</v>
      </c>
      <c r="Q80" s="6" t="n">
        <v>0.75</v>
      </c>
      <c r="R80">
        <f>M80+IF(MAX(N80-1,0)&gt;0,IF(ISBLANK(O80),5*MAX(N80-1,0),IF(ISNUMBER(O80),O80*MAX(N80-1,0),SUM(IFERROR(VALUE(TEXTSPLIT(O80,",")),0)))),0)</f>
        <v/>
      </c>
      <c r="S80">
        <f>IFERROR(L80*MAX(N80,1)/R80*IF(ISBLANK(K79),1,K79),0)</f>
        <v/>
      </c>
      <c r="AB80" s="7" t="inlineStr">
        <is>
          <t>^Warhead_Bullet_Light</t>
        </is>
      </c>
    </row>
    <row r="81">
      <c r="A81" t="inlineStr">
        <is>
          <t>tiberiansun</t>
        </is>
      </c>
      <c r="B81" t="inlineStr">
        <is>
          <t>forgotten_ruiner</t>
        </is>
      </c>
      <c r="C81" t="inlineStr">
        <is>
          <t>actor_forgotten_ruiner.name</t>
        </is>
      </c>
      <c r="D81" s="6" t="inlineStr">
        <is>
          <t>ScoutVehicle</t>
        </is>
      </c>
      <c r="E81" s="6" t="n">
        <v>35000</v>
      </c>
      <c r="F81" s="6" t="n">
        <v>150</v>
      </c>
      <c r="G81" t="inlineStr">
        <is>
          <t>Scout</t>
        </is>
      </c>
      <c r="H81" s="6" t="n">
        <v>1</v>
      </c>
      <c r="I81" s="6" t="n">
        <v>1</v>
      </c>
      <c r="J81" s="6" t="n">
        <v>1</v>
      </c>
      <c r="P81">
        <f>MAX(P82,P83)</f>
        <v/>
      </c>
      <c r="S81">
        <f>S82+S83</f>
        <v/>
      </c>
      <c r="T81">
        <f>(E81/100000+F81/100+(P81/1000)*J81/5+S81/200)*200*I81*H81</f>
        <v/>
      </c>
      <c r="U81">
        <f>((E81*F81/25000)+((P81/1000)*J81*S81/2.5))*I81*H81</f>
        <v/>
      </c>
      <c r="V81">
        <f>(E81*F81*(P81/1000)*J81*S81*I81*H81)/12500000</f>
        <v/>
      </c>
      <c r="W81">
        <f>IFERROR((((E81/30000)+(F81/200)+(S81/450)+((P81/4500)*J81))*300/4+(((E81/30000)*(F81/200))+(((P81/4500)*J81)*(S81/450)))*300/2+((E81/30000)*(F81/200)*((P81/4500)*J81)*(S81/450))*300)*(H81/1.0)/3,"")</f>
        <v/>
      </c>
      <c r="X81" s="6" t="n">
        <v>500</v>
      </c>
      <c r="Y81">
        <f>IFERROR(W81-X81,"")</f>
        <v/>
      </c>
      <c r="Z81">
        <f>IFERROR(ABS(Y81)/MAX(X81,1),"")</f>
        <v/>
      </c>
      <c r="AA81">
        <f>IFERROR(ROUND(((3*X81-(((E81/30000)+(F81/200)+(S81/450))*300/4+((E81/30000)*(F81/200))*300/2)*(H81/1.0))/(300/4+((S81/450))*300/2+((E81/30000)*(F81/200)*(S81/450))*300)*(H81/1.0)*4500)/J81,-1),"")</f>
        <v/>
      </c>
    </row>
    <row r="82">
      <c r="B82" s="7" t="inlineStr">
        <is>
          <t xml:space="preserve">  ↳ TSRuinerMissile</t>
        </is>
      </c>
      <c r="C82" s="7" t="inlineStr">
        <is>
          <t>Armament@PRIMARY</t>
        </is>
      </c>
      <c r="L82" s="6" t="n">
        <v>36000</v>
      </c>
      <c r="M82" s="6" t="n">
        <v>50</v>
      </c>
      <c r="N82" s="6" t="n">
        <v>1</v>
      </c>
      <c r="O82" s="6" t="n"/>
      <c r="P82" s="6" t="n">
        <v>5919</v>
      </c>
      <c r="Q82" s="6" t="n">
        <v>0.875</v>
      </c>
      <c r="R82">
        <f>M82+IF(MAX(N82-1,0)&gt;0,IF(ISBLANK(O82),5*MAX(N82-1,0),IF(ISNUMBER(O82),O82*MAX(N82-1,0),SUM(IFERROR(VALUE(TEXTSPLIT(O82,",")),0)))),0)</f>
        <v/>
      </c>
      <c r="S82">
        <f>IFERROR(L82*MAX(N82,1)/R82*IF(ISBLANK(K81),1,K81),0)</f>
        <v/>
      </c>
      <c r="AB82" s="7" t="inlineStr">
        <is>
          <t>^Warhead_Demolition_Light, ^Warhead_MissileHE_Medium</t>
        </is>
      </c>
    </row>
    <row r="83">
      <c r="B83" s="7" t="inlineStr">
        <is>
          <t xml:space="preserve">  ↳ TSChemRuinerMissile</t>
        </is>
      </c>
      <c r="C83" s="7" t="inlineStr">
        <is>
          <t>Armament@UPGRADE</t>
        </is>
      </c>
      <c r="L83" s="6" t="n">
        <v>54000</v>
      </c>
      <c r="M83" s="6" t="n">
        <v>50</v>
      </c>
      <c r="N83" s="6" t="n">
        <v>1</v>
      </c>
      <c r="O83" s="6" t="n"/>
      <c r="P83" s="6" t="n">
        <v>5919</v>
      </c>
      <c r="Q83" s="6" t="n">
        <v>1</v>
      </c>
      <c r="R83">
        <f>M83+IF(MAX(N83-1,0)&gt;0,IF(ISBLANK(O83),5*MAX(N83-1,0),IF(ISNUMBER(O83),O83*MAX(N83-1,0),SUM(IFERROR(VALUE(TEXTSPLIT(O83,",")),0)))),0)</f>
        <v/>
      </c>
      <c r="S83">
        <f>IFERROR(L83*MAX(N83,1)/R83*IF(ISBLANK(K81),1,K81),0)</f>
        <v/>
      </c>
      <c r="AB83" s="7" t="inlineStr">
        <is>
          <t>^LightChemicalWeapon, ^MediumChemicalWeapon, ^Grenade, ^MediumMissile</t>
        </is>
      </c>
    </row>
    <row r="84">
      <c r="A84" t="inlineStr">
        <is>
          <t>shared</t>
        </is>
      </c>
      <c r="B84" t="inlineStr">
        <is>
          <t>ra2_ambu_driveby</t>
        </is>
      </c>
      <c r="C84" t="inlineStr">
        <is>
          <t>Drive By Car</t>
        </is>
      </c>
      <c r="D84" s="6" t="inlineStr">
        <is>
          <t>ScoutVehicle</t>
        </is>
      </c>
      <c r="E84" s="6" t="n">
        <v>25000</v>
      </c>
      <c r="F84" s="6" t="n">
        <v>100</v>
      </c>
      <c r="G84" t="inlineStr">
        <is>
          <t>Scout</t>
        </is>
      </c>
      <c r="H84" s="6" t="n">
        <v>1</v>
      </c>
      <c r="I84" s="6" t="n">
        <v>1</v>
      </c>
      <c r="J84" s="6" t="n">
        <v>1</v>
      </c>
      <c r="P84">
        <f>MAX(P85)</f>
        <v/>
      </c>
      <c r="S84">
        <f>S85</f>
        <v/>
      </c>
      <c r="T84">
        <f>(E84/100000+F84/100+(P84/1000)*J84/5+S84/200)*200*I84*H84</f>
        <v/>
      </c>
      <c r="U84">
        <f>((E84*F84/25000)+((P84/1000)*J84*S84/2.5))*I84*H84</f>
        <v/>
      </c>
      <c r="V84">
        <f>(E84*F84*(P84/1000)*J84*S84*I84*H84)/12500000</f>
        <v/>
      </c>
      <c r="W84">
        <f>(T84+U84+V84)/3</f>
        <v/>
      </c>
      <c r="X84" s="6" t="n">
        <v>1000</v>
      </c>
      <c r="Y84">
        <f>IFERROR(W84-X84,"")</f>
        <v/>
      </c>
      <c r="Z84">
        <f>IFERROR(ABS(Y84)/MAX(X84,1),"")</f>
        <v/>
      </c>
      <c r="AA84">
        <f>IFERROR((X84-(((E84/100000+F84/100+S84/200)*200*I84*H84)+((E84*F84/25000)*I84*H84))/3)/(((J84/5)*200*I84*H84)+((J84*S84/2.5)*I84*H84)+((E84*F84*J84*S84*I84*H84)/12500000))/3*1000,"")</f>
        <v/>
      </c>
    </row>
    <row r="85">
      <c r="B85" s="7" t="inlineStr">
        <is>
          <t xml:space="preserve">  ↳ RA220mmrapid</t>
        </is>
      </c>
      <c r="C85" s="7" t="inlineStr">
        <is>
          <t>Armament</t>
        </is>
      </c>
      <c r="L85" s="6" t="n">
        <v>8000</v>
      </c>
      <c r="M85" s="6" t="n">
        <v>15</v>
      </c>
      <c r="N85" s="6" t="n">
        <v>1</v>
      </c>
      <c r="O85" s="6" t="n"/>
      <c r="P85" s="6" t="n">
        <v>5000</v>
      </c>
      <c r="Q85" s="6" t="n">
        <v>0.875</v>
      </c>
      <c r="R85">
        <f>M85+IF(MAX(N85-1,0)&gt;0,IF(ISBLANK(O85),5*MAX(N85-1,0),IF(ISNUMBER(O85),O85*MAX(N85-1,0),SUM(IFERROR(VALUE(TEXTSPLIT(O85,",")),0)))),0)</f>
        <v/>
      </c>
      <c r="S85">
        <f>IFERROR(L85*MAX(N85,1)/R85*IF(ISBLANK(K84),1,K84),0)</f>
        <v/>
      </c>
      <c r="AB85" s="7" t="inlineStr">
        <is>
          <t>^Warhead_Bullet_Light, ^Warhead_Bullet_Medium</t>
        </is>
      </c>
    </row>
    <row r="86">
      <c r="A86" t="inlineStr">
        <is>
          <t>shared</t>
        </is>
      </c>
      <c r="B86" t="inlineStr">
        <is>
          <t>ra2_bcab_driveby</t>
        </is>
      </c>
      <c r="C86" t="inlineStr">
        <is>
          <t>Drive By Car</t>
        </is>
      </c>
      <c r="D86" s="6" t="inlineStr">
        <is>
          <t>ScoutVehicle</t>
        </is>
      </c>
      <c r="E86" s="6" t="n">
        <v>25000</v>
      </c>
      <c r="F86" s="6" t="n">
        <v>100</v>
      </c>
      <c r="G86" t="inlineStr">
        <is>
          <t>Scout</t>
        </is>
      </c>
      <c r="H86" s="6" t="n">
        <v>1</v>
      </c>
      <c r="I86" s="6" t="n">
        <v>1</v>
      </c>
      <c r="J86" s="6" t="n">
        <v>1</v>
      </c>
      <c r="P86">
        <f>MAX(P87)</f>
        <v/>
      </c>
      <c r="S86">
        <f>S87</f>
        <v/>
      </c>
      <c r="T86">
        <f>(E86/100000+F86/100+(P86/1000)*J86/5+S86/200)*200*I86*H86</f>
        <v/>
      </c>
      <c r="U86">
        <f>((E86*F86/25000)+((P86/1000)*J86*S86/2.5))*I86*H86</f>
        <v/>
      </c>
      <c r="V86">
        <f>(E86*F86*(P86/1000)*J86*S86*I86*H86)/12500000</f>
        <v/>
      </c>
      <c r="W86">
        <f>(T86+U86+V86)/3</f>
        <v/>
      </c>
      <c r="X86" s="6" t="n">
        <v>1000</v>
      </c>
      <c r="Y86">
        <f>IFERROR(W86-X86,"")</f>
        <v/>
      </c>
      <c r="Z86">
        <f>IFERROR(ABS(Y86)/MAX(X86,1),"")</f>
        <v/>
      </c>
      <c r="AA86">
        <f>IFERROR((X86-(((E86/100000+F86/100+S86/200)*200*I86*H86)+((E86*F86/25000)*I86*H86))/3)/(((J86/5)*200*I86*H86)+((J86*S86/2.5)*I86*H86)+((E86*F86*J86*S86*I86*H86)/12500000))/3*1000,"")</f>
        <v/>
      </c>
    </row>
    <row r="87">
      <c r="B87" s="7" t="inlineStr">
        <is>
          <t xml:space="preserve">  ↳ RA220mmrapid</t>
        </is>
      </c>
      <c r="C87" s="7" t="inlineStr">
        <is>
          <t>Armament</t>
        </is>
      </c>
      <c r="L87" s="6" t="n">
        <v>8000</v>
      </c>
      <c r="M87" s="6" t="n">
        <v>15</v>
      </c>
      <c r="N87" s="6" t="n">
        <v>1</v>
      </c>
      <c r="O87" s="6" t="n"/>
      <c r="P87" s="6" t="n">
        <v>5000</v>
      </c>
      <c r="Q87" s="6" t="n">
        <v>0.875</v>
      </c>
      <c r="R87">
        <f>M87+IF(MAX(N87-1,0)&gt;0,IF(ISBLANK(O87),5*MAX(N87-1,0),IF(ISNUMBER(O87),O87*MAX(N87-1,0),SUM(IFERROR(VALUE(TEXTSPLIT(O87,",")),0)))),0)</f>
        <v/>
      </c>
      <c r="S87">
        <f>IFERROR(L87*MAX(N87,1)/R87*IF(ISBLANK(K86),1,K86),0)</f>
        <v/>
      </c>
      <c r="AB87" s="7" t="inlineStr">
        <is>
          <t>^Warhead_Bullet_Light, ^Warhead_Bullet_Medium</t>
        </is>
      </c>
    </row>
    <row r="88">
      <c r="A88" t="inlineStr">
        <is>
          <t>shared</t>
        </is>
      </c>
      <c r="B88" t="inlineStr">
        <is>
          <t>ra2_bus_driveby</t>
        </is>
      </c>
      <c r="C88" t="inlineStr">
        <is>
          <t>Drive By Car</t>
        </is>
      </c>
      <c r="D88" s="6" t="inlineStr">
        <is>
          <t>ScoutVehicle</t>
        </is>
      </c>
      <c r="E88" s="6" t="n">
        <v>25000</v>
      </c>
      <c r="F88" s="6" t="n">
        <v>100</v>
      </c>
      <c r="G88" t="inlineStr">
        <is>
          <t>Scout</t>
        </is>
      </c>
      <c r="H88" s="6" t="n">
        <v>1</v>
      </c>
      <c r="I88" s="6" t="n">
        <v>1</v>
      </c>
      <c r="J88" s="6" t="n">
        <v>1</v>
      </c>
      <c r="P88">
        <f>MAX(P89)</f>
        <v/>
      </c>
      <c r="S88">
        <f>S89</f>
        <v/>
      </c>
      <c r="T88">
        <f>(E88/100000+F88/100+(P88/1000)*J88/5+S88/200)*200*I88*H88</f>
        <v/>
      </c>
      <c r="U88">
        <f>((E88*F88/25000)+((P88/1000)*J88*S88/2.5))*I88*H88</f>
        <v/>
      </c>
      <c r="V88">
        <f>(E88*F88*(P88/1000)*J88*S88*I88*H88)/12500000</f>
        <v/>
      </c>
      <c r="W88">
        <f>(T88+U88+V88)/3</f>
        <v/>
      </c>
      <c r="X88" s="6" t="n">
        <v>1000</v>
      </c>
      <c r="Y88">
        <f>IFERROR(W88-X88,"")</f>
        <v/>
      </c>
      <c r="Z88">
        <f>IFERROR(ABS(Y88)/MAX(X88,1),"")</f>
        <v/>
      </c>
      <c r="AA88">
        <f>IFERROR((X88-(((E88/100000+F88/100+S88/200)*200*I88*H88)+((E88*F88/25000)*I88*H88))/3)/(((J88/5)*200*I88*H88)+((J88*S88/2.5)*I88*H88)+((E88*F88*J88*S88*I88*H88)/12500000))/3*1000,"")</f>
        <v/>
      </c>
    </row>
    <row r="89">
      <c r="B89" s="7" t="inlineStr">
        <is>
          <t xml:space="preserve">  ↳ RA220mmrapid</t>
        </is>
      </c>
      <c r="C89" s="7" t="inlineStr">
        <is>
          <t>Armament</t>
        </is>
      </c>
      <c r="L89" s="6" t="n">
        <v>8000</v>
      </c>
      <c r="M89" s="6" t="n">
        <v>15</v>
      </c>
      <c r="N89" s="6" t="n">
        <v>1</v>
      </c>
      <c r="O89" s="6" t="n"/>
      <c r="P89" s="6" t="n">
        <v>5000</v>
      </c>
      <c r="Q89" s="6" t="n">
        <v>0.875</v>
      </c>
      <c r="R89">
        <f>M89+IF(MAX(N89-1,0)&gt;0,IF(ISBLANK(O89),5*MAX(N89-1,0),IF(ISNUMBER(O89),O89*MAX(N89-1,0),SUM(IFERROR(VALUE(TEXTSPLIT(O89,",")),0)))),0)</f>
        <v/>
      </c>
      <c r="S89">
        <f>IFERROR(L89*MAX(N89,1)/R89*IF(ISBLANK(K88),1,K88),0)</f>
        <v/>
      </c>
      <c r="AB89" s="7" t="inlineStr">
        <is>
          <t>^Warhead_Bullet_Light, ^Warhead_Bullet_Medium</t>
        </is>
      </c>
    </row>
    <row r="90">
      <c r="A90" t="inlineStr">
        <is>
          <t>shared</t>
        </is>
      </c>
      <c r="B90" t="inlineStr">
        <is>
          <t>ra2_c_hum</t>
        </is>
      </c>
      <c r="C90" t="inlineStr">
        <is>
          <t>Humvee</t>
        </is>
      </c>
      <c r="D90" s="6" t="inlineStr">
        <is>
          <t>ScoutVehicle</t>
        </is>
      </c>
      <c r="E90" s="6" t="n">
        <v>80000</v>
      </c>
      <c r="F90" s="6" t="n">
        <v>100</v>
      </c>
      <c r="G90" t="inlineStr">
        <is>
          <t>Light</t>
        </is>
      </c>
      <c r="H90" s="6" t="n">
        <v>1</v>
      </c>
      <c r="I90" s="6" t="n">
        <v>1</v>
      </c>
      <c r="J90" s="6" t="n">
        <v>1</v>
      </c>
      <c r="P90">
        <f>MAX(P91,P92)</f>
        <v/>
      </c>
      <c r="S90">
        <f>S91+S92</f>
        <v/>
      </c>
      <c r="T90">
        <f>(E90/100000+F90/100+(P90/1000)*J90/5+S90/200)*200*I90*H90</f>
        <v/>
      </c>
      <c r="U90">
        <f>((E90*F90/25000)+((P90/1000)*J90*S90/2.5))*I90*H90</f>
        <v/>
      </c>
      <c r="V90">
        <f>(E90*F90*(P90/1000)*J90*S90*I90*H90)/12500000</f>
        <v/>
      </c>
      <c r="W90">
        <f>(T90+U90+V90)/3</f>
        <v/>
      </c>
      <c r="X90" s="6" t="n">
        <v>400</v>
      </c>
      <c r="Y90">
        <f>IFERROR(W90-X90,"")</f>
        <v/>
      </c>
      <c r="Z90">
        <f>IFERROR(ABS(Y90)/MAX(X90,1),"")</f>
        <v/>
      </c>
      <c r="AA90">
        <f>IFERROR((X90-(((E90/100000+F90/100+S90/200)*200*I90*H90)+((E90*F90/25000)*I90*H90))/3)/(((J90/5)*200*I90*H90)+((J90*S90/2.5)*I90*H90)+((E90*F90*J90*S90*I90*H90)/12500000))/3*1000,"")</f>
        <v/>
      </c>
    </row>
    <row r="91">
      <c r="B91" s="7" t="inlineStr">
        <is>
          <t xml:space="preserve">  ↳ RA2GattlingMG1</t>
        </is>
      </c>
      <c r="C91" s="7" t="inlineStr">
        <is>
          <t>Armament</t>
        </is>
      </c>
      <c r="L91" s="6" t="n">
        <v>4000</v>
      </c>
      <c r="M91" s="6" t="n">
        <v>6</v>
      </c>
      <c r="N91" s="6" t="n">
        <v>1</v>
      </c>
      <c r="O91" s="6" t="n"/>
      <c r="P91" s="6" t="n">
        <v>5000</v>
      </c>
      <c r="Q91" s="6" t="n">
        <v>0.875</v>
      </c>
      <c r="R91">
        <f>M91+IF(MAX(N91-1,0)&gt;0,IF(ISBLANK(O91),5*MAX(N91-1,0),IF(ISNUMBER(O91),O91*MAX(N91-1,0),SUM(IFERROR(VALUE(TEXTSPLIT(O91,",")),0)))),0)</f>
        <v/>
      </c>
      <c r="S91">
        <f>IFERROR(L91*MAX(N91,1)/R91*IF(ISBLANK(K90),1,K90),0)</f>
        <v/>
      </c>
      <c r="AB91" s="7" t="inlineStr">
        <is>
          <t>^Warhead_Bullet_Light, ^Warhead_Bullet_Medium</t>
        </is>
      </c>
    </row>
    <row r="92">
      <c r="B92" s="7" t="inlineStr">
        <is>
          <t xml:space="preserve">  ↳ RA2GattlingMG2</t>
        </is>
      </c>
      <c r="C92" s="7" t="inlineStr">
        <is>
          <t>Armament@elite</t>
        </is>
      </c>
      <c r="L92" s="6" t="n">
        <v>4000</v>
      </c>
      <c r="M92" s="6" t="n">
        <v>4</v>
      </c>
      <c r="N92" s="6" t="n">
        <v>1</v>
      </c>
      <c r="O92" s="6" t="n"/>
      <c r="P92" s="6" t="n">
        <v>5250</v>
      </c>
      <c r="Q92" s="6" t="n">
        <v>0.875</v>
      </c>
      <c r="R92">
        <f>M92+IF(MAX(N92-1,0)&gt;0,IF(ISBLANK(O92),5*MAX(N92-1,0),IF(ISNUMBER(O92),O92*MAX(N92-1,0),SUM(IFERROR(VALUE(TEXTSPLIT(O92,",")),0)))),0)</f>
        <v/>
      </c>
      <c r="S92">
        <f>IFERROR(L92*MAX(N92,1)/R92*IF(ISBLANK(K90),1,K90),0)</f>
        <v/>
      </c>
      <c r="AB92" s="7" t="inlineStr">
        <is>
          <t>^Warhead_Bullet_Light, ^Warhead_Bullet_Medium</t>
        </is>
      </c>
    </row>
    <row r="93">
      <c r="A93" t="inlineStr">
        <is>
          <t>shared</t>
        </is>
      </c>
      <c r="B93" t="inlineStr">
        <is>
          <t>ra2_c_hum2</t>
        </is>
      </c>
      <c r="C93" t="inlineStr">
        <is>
          <t>Civilian Humvee</t>
        </is>
      </c>
      <c r="D93" s="6" t="inlineStr">
        <is>
          <t>ScoutVehicle</t>
        </is>
      </c>
      <c r="E93" s="6" t="n">
        <v>80000</v>
      </c>
      <c r="F93" s="6" t="n">
        <v>100</v>
      </c>
      <c r="G93" t="inlineStr">
        <is>
          <t>Light</t>
        </is>
      </c>
      <c r="H93" s="6" t="n">
        <v>1</v>
      </c>
      <c r="I93" s="6" t="n">
        <v>1</v>
      </c>
      <c r="J93" s="6" t="n">
        <v>1</v>
      </c>
      <c r="P93">
        <f>MAX(P94,P95)</f>
        <v/>
      </c>
      <c r="S93">
        <f>S94+S95</f>
        <v/>
      </c>
      <c r="T93">
        <f>(E93/100000+F93/100+(P93/1000)*J93/5+S93/200)*200*I93*H93</f>
        <v/>
      </c>
      <c r="U93">
        <f>((E93*F93/25000)+((P93/1000)*J93*S93/2.5))*I93*H93</f>
        <v/>
      </c>
      <c r="V93">
        <f>(E93*F93*(P93/1000)*J93*S93*I93*H93)/12500000</f>
        <v/>
      </c>
      <c r="W93">
        <f>(T93+U93+V93)/3</f>
        <v/>
      </c>
      <c r="X93" s="6" t="n">
        <v>400</v>
      </c>
      <c r="Y93">
        <f>IFERROR(W93-X93,"")</f>
        <v/>
      </c>
      <c r="Z93">
        <f>IFERROR(ABS(Y93)/MAX(X93,1),"")</f>
        <v/>
      </c>
      <c r="AA93">
        <f>IFERROR((X93-(((E93/100000+F93/100+S93/200)*200*I93*H93)+((E93*F93/25000)*I93*H93))/3)/(((J93/5)*200*I93*H93)+((J93*S93/2.5)*I93*H93)+((E93*F93*J93*S93*I93*H93)/12500000))/3*1000,"")</f>
        <v/>
      </c>
    </row>
    <row r="94">
      <c r="B94" s="7" t="inlineStr">
        <is>
          <t xml:space="preserve">  ↳ RA2GattlingMG1</t>
        </is>
      </c>
      <c r="C94" s="7" t="inlineStr">
        <is>
          <t>Armament</t>
        </is>
      </c>
      <c r="L94" s="6" t="n">
        <v>4000</v>
      </c>
      <c r="M94" s="6" t="n">
        <v>6</v>
      </c>
      <c r="N94" s="6" t="n">
        <v>1</v>
      </c>
      <c r="O94" s="6" t="n"/>
      <c r="P94" s="6" t="n">
        <v>5000</v>
      </c>
      <c r="Q94" s="6" t="n">
        <v>0.875</v>
      </c>
      <c r="R94">
        <f>M94+IF(MAX(N94-1,0)&gt;0,IF(ISBLANK(O94),5*MAX(N94-1,0),IF(ISNUMBER(O94),O94*MAX(N94-1,0),SUM(IFERROR(VALUE(TEXTSPLIT(O94,",")),0)))),0)</f>
        <v/>
      </c>
      <c r="S94">
        <f>IFERROR(L94*MAX(N94,1)/R94*IF(ISBLANK(K93),1,K93),0)</f>
        <v/>
      </c>
      <c r="AB94" s="7" t="inlineStr">
        <is>
          <t>^Warhead_Bullet_Light, ^Warhead_Bullet_Medium</t>
        </is>
      </c>
    </row>
    <row r="95">
      <c r="B95" s="7" t="inlineStr">
        <is>
          <t xml:space="preserve">  ↳ RA2GattlingMG2</t>
        </is>
      </c>
      <c r="C95" s="7" t="inlineStr">
        <is>
          <t>Armament@elite</t>
        </is>
      </c>
      <c r="L95" s="6" t="n">
        <v>4000</v>
      </c>
      <c r="M95" s="6" t="n">
        <v>4</v>
      </c>
      <c r="N95" s="6" t="n">
        <v>1</v>
      </c>
      <c r="O95" s="6" t="n"/>
      <c r="P95" s="6" t="n">
        <v>5250</v>
      </c>
      <c r="Q95" s="6" t="n">
        <v>0.875</v>
      </c>
      <c r="R95">
        <f>M95+IF(MAX(N95-1,0)&gt;0,IF(ISBLANK(O95),5*MAX(N95-1,0),IF(ISNUMBER(O95),O95*MAX(N95-1,0),SUM(IFERROR(VALUE(TEXTSPLIT(O95,",")),0)))),0)</f>
        <v/>
      </c>
      <c r="S95">
        <f>IFERROR(L95*MAX(N95,1)/R95*IF(ISBLANK(K93),1,K93),0)</f>
        <v/>
      </c>
      <c r="AB95" s="7" t="inlineStr">
        <is>
          <t>^Warhead_Bullet_Light, ^Warhead_Bullet_Medium</t>
        </is>
      </c>
    </row>
    <row r="96">
      <c r="A96" t="inlineStr">
        <is>
          <t>shared</t>
        </is>
      </c>
      <c r="B96" t="inlineStr">
        <is>
          <t>ra2_car_driveby</t>
        </is>
      </c>
      <c r="C96" t="inlineStr">
        <is>
          <t>Drive By Car</t>
        </is>
      </c>
      <c r="D96" s="6" t="inlineStr">
        <is>
          <t>ScoutVehicle</t>
        </is>
      </c>
      <c r="E96" s="6" t="n">
        <v>25000</v>
      </c>
      <c r="F96" s="6" t="n">
        <v>100</v>
      </c>
      <c r="G96" t="inlineStr">
        <is>
          <t>Scout</t>
        </is>
      </c>
      <c r="H96" s="6" t="n">
        <v>1</v>
      </c>
      <c r="I96" s="6" t="n">
        <v>1</v>
      </c>
      <c r="J96" s="6" t="n">
        <v>1</v>
      </c>
      <c r="P96">
        <f>MAX(P97)</f>
        <v/>
      </c>
      <c r="S96">
        <f>S97</f>
        <v/>
      </c>
      <c r="T96">
        <f>(E96/100000+F96/100+(P96/1000)*J96/5+S96/200)*200*I96*H96</f>
        <v/>
      </c>
      <c r="U96">
        <f>((E96*F96/25000)+((P96/1000)*J96*S96/2.5))*I96*H96</f>
        <v/>
      </c>
      <c r="V96">
        <f>(E96*F96*(P96/1000)*J96*S96*I96*H96)/12500000</f>
        <v/>
      </c>
      <c r="W96">
        <f>(T96+U96+V96)/3</f>
        <v/>
      </c>
      <c r="X96" s="6" t="n">
        <v>1000</v>
      </c>
      <c r="Y96">
        <f>IFERROR(W96-X96,"")</f>
        <v/>
      </c>
      <c r="Z96">
        <f>IFERROR(ABS(Y96)/MAX(X96,1),"")</f>
        <v/>
      </c>
      <c r="AA96">
        <f>IFERROR((X96-(((E96/100000+F96/100+S96/200)*200*I96*H96)+((E96*F96/25000)*I96*H96))/3)/(((J96/5)*200*I96*H96)+((J96*S96/2.5)*I96*H96)+((E96*F96*J96*S96*I96*H96)/12500000))/3*1000,"")</f>
        <v/>
      </c>
    </row>
    <row r="97">
      <c r="B97" s="7" t="inlineStr">
        <is>
          <t xml:space="preserve">  ↳ RA220mmrapid</t>
        </is>
      </c>
      <c r="C97" s="7" t="inlineStr">
        <is>
          <t>Armament</t>
        </is>
      </c>
      <c r="L97" s="6" t="n">
        <v>8000</v>
      </c>
      <c r="M97" s="6" t="n">
        <v>15</v>
      </c>
      <c r="N97" s="6" t="n">
        <v>1</v>
      </c>
      <c r="O97" s="6" t="n"/>
      <c r="P97" s="6" t="n">
        <v>5000</v>
      </c>
      <c r="Q97" s="6" t="n">
        <v>0.875</v>
      </c>
      <c r="R97">
        <f>M97+IF(MAX(N97-1,0)&gt;0,IF(ISBLANK(O97),5*MAX(N97-1,0),IF(ISNUMBER(O97),O97*MAX(N97-1,0),SUM(IFERROR(VALUE(TEXTSPLIT(O97,",")),0)))),0)</f>
        <v/>
      </c>
      <c r="S97">
        <f>IFERROR(L97*MAX(N97,1)/R97*IF(ISBLANK(K96),1,K96),0)</f>
        <v/>
      </c>
      <c r="AB97" s="7" t="inlineStr">
        <is>
          <t>^Warhead_Bullet_Light, ^Warhead_Bullet_Medium</t>
        </is>
      </c>
    </row>
    <row r="98">
      <c r="A98" t="inlineStr">
        <is>
          <t>shared</t>
        </is>
      </c>
      <c r="B98" t="inlineStr">
        <is>
          <t>ra2_cona_driveby</t>
        </is>
      </c>
      <c r="C98" t="inlineStr">
        <is>
          <t>Drive By Car</t>
        </is>
      </c>
      <c r="D98" s="6" t="inlineStr">
        <is>
          <t>ScoutVehicle</t>
        </is>
      </c>
      <c r="E98" s="6" t="n">
        <v>25000</v>
      </c>
      <c r="F98" s="6" t="n">
        <v>100</v>
      </c>
      <c r="G98" t="inlineStr">
        <is>
          <t>Scout</t>
        </is>
      </c>
      <c r="H98" s="6" t="n">
        <v>1</v>
      </c>
      <c r="I98" s="6" t="n">
        <v>1</v>
      </c>
      <c r="J98" s="6" t="n">
        <v>1</v>
      </c>
      <c r="P98">
        <f>MAX(P99)</f>
        <v/>
      </c>
      <c r="S98">
        <f>S99</f>
        <v/>
      </c>
      <c r="T98">
        <f>(E98/100000+F98/100+(P98/1000)*J98/5+S98/200)*200*I98*H98</f>
        <v/>
      </c>
      <c r="U98">
        <f>((E98*F98/25000)+((P98/1000)*J98*S98/2.5))*I98*H98</f>
        <v/>
      </c>
      <c r="V98">
        <f>(E98*F98*(P98/1000)*J98*S98*I98*H98)/12500000</f>
        <v/>
      </c>
      <c r="W98">
        <f>(T98+U98+V98)/3</f>
        <v/>
      </c>
      <c r="X98" s="6" t="n">
        <v>1000</v>
      </c>
      <c r="Y98">
        <f>IFERROR(W98-X98,"")</f>
        <v/>
      </c>
      <c r="Z98">
        <f>IFERROR(ABS(Y98)/MAX(X98,1),"")</f>
        <v/>
      </c>
      <c r="AA98">
        <f>IFERROR((X98-(((E98/100000+F98/100+S98/200)*200*I98*H98)+((E98*F98/25000)*I98*H98))/3)/(((J98/5)*200*I98*H98)+((J98*S98/2.5)*I98*H98)+((E98*F98*J98*S98*I98*H98)/12500000))/3*1000,"")</f>
        <v/>
      </c>
    </row>
    <row r="99">
      <c r="B99" s="7" t="inlineStr">
        <is>
          <t xml:space="preserve">  ↳ RA220mmrapid</t>
        </is>
      </c>
      <c r="C99" s="7" t="inlineStr">
        <is>
          <t>Armament</t>
        </is>
      </c>
      <c r="L99" s="6" t="n">
        <v>8000</v>
      </c>
      <c r="M99" s="6" t="n">
        <v>15</v>
      </c>
      <c r="N99" s="6" t="n">
        <v>1</v>
      </c>
      <c r="O99" s="6" t="n"/>
      <c r="P99" s="6" t="n">
        <v>5000</v>
      </c>
      <c r="Q99" s="6" t="n">
        <v>0.875</v>
      </c>
      <c r="R99">
        <f>M99+IF(MAX(N99-1,0)&gt;0,IF(ISBLANK(O99),5*MAX(N99-1,0),IF(ISNUMBER(O99),O99*MAX(N99-1,0),SUM(IFERROR(VALUE(TEXTSPLIT(O99,",")),0)))),0)</f>
        <v/>
      </c>
      <c r="S99">
        <f>IFERROR(L99*MAX(N99,1)/R99*IF(ISBLANK(K98),1,K98),0)</f>
        <v/>
      </c>
      <c r="AB99" s="7" t="inlineStr">
        <is>
          <t>^Warhead_Bullet_Light, ^Warhead_Bullet_Medium</t>
        </is>
      </c>
    </row>
    <row r="100">
      <c r="A100" t="inlineStr">
        <is>
          <t>shared</t>
        </is>
      </c>
      <c r="B100" t="inlineStr">
        <is>
          <t>ra2_cop_driveby</t>
        </is>
      </c>
      <c r="C100" t="inlineStr">
        <is>
          <t>Drive By Car</t>
        </is>
      </c>
      <c r="D100" s="6" t="inlineStr">
        <is>
          <t>ScoutVehicle</t>
        </is>
      </c>
      <c r="E100" s="6" t="n">
        <v>25000</v>
      </c>
      <c r="F100" s="6" t="n">
        <v>100</v>
      </c>
      <c r="G100" t="inlineStr">
        <is>
          <t>Scout</t>
        </is>
      </c>
      <c r="H100" s="6" t="n">
        <v>1</v>
      </c>
      <c r="I100" s="6" t="n">
        <v>1</v>
      </c>
      <c r="J100" s="6" t="n">
        <v>1</v>
      </c>
      <c r="P100">
        <f>MAX(P101)</f>
        <v/>
      </c>
      <c r="S100">
        <f>S101</f>
        <v/>
      </c>
      <c r="T100">
        <f>(E100/100000+F100/100+(P100/1000)*J100/5+S100/200)*200*I100*H100</f>
        <v/>
      </c>
      <c r="U100">
        <f>((E100*F100/25000)+((P100/1000)*J100*S100/2.5))*I100*H100</f>
        <v/>
      </c>
      <c r="V100">
        <f>(E100*F100*(P100/1000)*J100*S100*I100*H100)/12500000</f>
        <v/>
      </c>
      <c r="W100">
        <f>(T100+U100+V100)/3</f>
        <v/>
      </c>
      <c r="X100" s="6" t="n">
        <v>1000</v>
      </c>
      <c r="Y100">
        <f>IFERROR(W100-X100,"")</f>
        <v/>
      </c>
      <c r="Z100">
        <f>IFERROR(ABS(Y100)/MAX(X100,1),"")</f>
        <v/>
      </c>
      <c r="AA100">
        <f>IFERROR((X100-(((E100/100000+F100/100+S100/200)*200*I100*H100)+((E100*F100/25000)*I100*H100))/3)/(((J100/5)*200*I100*H100)+((J100*S100/2.5)*I100*H100)+((E100*F100*J100*S100*I100*H100)/12500000))/3*1000,"")</f>
        <v/>
      </c>
    </row>
    <row r="101">
      <c r="B101" s="7" t="inlineStr">
        <is>
          <t xml:space="preserve">  ↳ RA220mmrapid</t>
        </is>
      </c>
      <c r="C101" s="7" t="inlineStr">
        <is>
          <t>Armament</t>
        </is>
      </c>
      <c r="L101" s="6" t="n">
        <v>8000</v>
      </c>
      <c r="M101" s="6" t="n">
        <v>15</v>
      </c>
      <c r="N101" s="6" t="n">
        <v>1</v>
      </c>
      <c r="O101" s="6" t="n"/>
      <c r="P101" s="6" t="n">
        <v>5000</v>
      </c>
      <c r="Q101" s="6" t="n">
        <v>0.875</v>
      </c>
      <c r="R101">
        <f>M101+IF(MAX(N101-1,0)&gt;0,IF(ISBLANK(O101),5*MAX(N101-1,0),IF(ISNUMBER(O101),O101*MAX(N101-1,0),SUM(IFERROR(VALUE(TEXTSPLIT(O101,",")),0)))),0)</f>
        <v/>
      </c>
      <c r="S101">
        <f>IFERROR(L101*MAX(N101,1)/R101*IF(ISBLANK(K100),1,K100),0)</f>
        <v/>
      </c>
      <c r="AB101" s="7" t="inlineStr">
        <is>
          <t>^Warhead_Bullet_Light, ^Warhead_Bullet_Medium</t>
        </is>
      </c>
    </row>
    <row r="102">
      <c r="A102" t="inlineStr">
        <is>
          <t>shared</t>
        </is>
      </c>
      <c r="B102" t="inlineStr">
        <is>
          <t>ra2_ddbx_driveby</t>
        </is>
      </c>
      <c r="C102" t="inlineStr">
        <is>
          <t>Drive By Car</t>
        </is>
      </c>
      <c r="D102" s="6" t="inlineStr">
        <is>
          <t>ScoutVehicle</t>
        </is>
      </c>
      <c r="E102" s="6" t="n">
        <v>25000</v>
      </c>
      <c r="F102" s="6" t="n">
        <v>100</v>
      </c>
      <c r="G102" t="inlineStr">
        <is>
          <t>Scout</t>
        </is>
      </c>
      <c r="H102" s="6" t="n">
        <v>1</v>
      </c>
      <c r="I102" s="6" t="n">
        <v>1</v>
      </c>
      <c r="J102" s="6" t="n">
        <v>1</v>
      </c>
      <c r="P102">
        <f>MAX(P103)</f>
        <v/>
      </c>
      <c r="S102">
        <f>S103</f>
        <v/>
      </c>
      <c r="T102">
        <f>(E102/100000+F102/100+(P102/1000)*J102/5+S102/200)*200*I102*H102</f>
        <v/>
      </c>
      <c r="U102">
        <f>((E102*F102/25000)+((P102/1000)*J102*S102/2.5))*I102*H102</f>
        <v/>
      </c>
      <c r="V102">
        <f>(E102*F102*(P102/1000)*J102*S102*I102*H102)/12500000</f>
        <v/>
      </c>
      <c r="W102">
        <f>(T102+U102+V102)/3</f>
        <v/>
      </c>
      <c r="X102" s="6" t="n">
        <v>1000</v>
      </c>
      <c r="Y102">
        <f>IFERROR(W102-X102,"")</f>
        <v/>
      </c>
      <c r="Z102">
        <f>IFERROR(ABS(Y102)/MAX(X102,1),"")</f>
        <v/>
      </c>
      <c r="AA102">
        <f>IFERROR((X102-(((E102/100000+F102/100+S102/200)*200*I102*H102)+((E102*F102/25000)*I102*H102))/3)/(((J102/5)*200*I102*H102)+((J102*S102/2.5)*I102*H102)+((E102*F102*J102*S102*I102*H102)/12500000))/3*1000,"")</f>
        <v/>
      </c>
    </row>
    <row r="103">
      <c r="B103" s="7" t="inlineStr">
        <is>
          <t xml:space="preserve">  ↳ RA220mmrapid</t>
        </is>
      </c>
      <c r="C103" s="7" t="inlineStr">
        <is>
          <t>Armament</t>
        </is>
      </c>
      <c r="L103" s="6" t="n">
        <v>8000</v>
      </c>
      <c r="M103" s="6" t="n">
        <v>15</v>
      </c>
      <c r="N103" s="6" t="n">
        <v>1</v>
      </c>
      <c r="O103" s="6" t="n"/>
      <c r="P103" s="6" t="n">
        <v>5000</v>
      </c>
      <c r="Q103" s="6" t="n">
        <v>0.875</v>
      </c>
      <c r="R103">
        <f>M103+IF(MAX(N103-1,0)&gt;0,IF(ISBLANK(O103),5*MAX(N103-1,0),IF(ISNUMBER(O103),O103*MAX(N103-1,0),SUM(IFERROR(VALUE(TEXTSPLIT(O103,",")),0)))),0)</f>
        <v/>
      </c>
      <c r="S103">
        <f>IFERROR(L103*MAX(N103,1)/R103*IF(ISBLANK(K102),1,K102),0)</f>
        <v/>
      </c>
      <c r="AB103" s="7" t="inlineStr">
        <is>
          <t>^Warhead_Bullet_Light, ^Warhead_Bullet_Medium</t>
        </is>
      </c>
    </row>
    <row r="104">
      <c r="A104" t="inlineStr">
        <is>
          <t>shared</t>
        </is>
      </c>
      <c r="B104" t="inlineStr">
        <is>
          <t>ra2_euroc_driveby</t>
        </is>
      </c>
      <c r="C104" t="inlineStr">
        <is>
          <t>Drive By Car</t>
        </is>
      </c>
      <c r="D104" s="6" t="inlineStr">
        <is>
          <t>ScoutVehicle</t>
        </is>
      </c>
      <c r="E104" s="6" t="n">
        <v>25000</v>
      </c>
      <c r="F104" s="6" t="n">
        <v>100</v>
      </c>
      <c r="G104" t="inlineStr">
        <is>
          <t>Scout</t>
        </is>
      </c>
      <c r="H104" s="6" t="n">
        <v>1</v>
      </c>
      <c r="I104" s="6" t="n">
        <v>1</v>
      </c>
      <c r="J104" s="6" t="n">
        <v>1</v>
      </c>
      <c r="P104">
        <f>MAX(P105)</f>
        <v/>
      </c>
      <c r="S104">
        <f>S105</f>
        <v/>
      </c>
      <c r="T104">
        <f>(E104/100000+F104/100+(P104/1000)*J104/5+S104/200)*200*I104*H104</f>
        <v/>
      </c>
      <c r="U104">
        <f>((E104*F104/25000)+((P104/1000)*J104*S104/2.5))*I104*H104</f>
        <v/>
      </c>
      <c r="V104">
        <f>(E104*F104*(P104/1000)*J104*S104*I104*H104)/12500000</f>
        <v/>
      </c>
      <c r="W104">
        <f>(T104+U104+V104)/3</f>
        <v/>
      </c>
      <c r="X104" s="6" t="n">
        <v>1000</v>
      </c>
      <c r="Y104">
        <f>IFERROR(W104-X104,"")</f>
        <v/>
      </c>
      <c r="Z104">
        <f>IFERROR(ABS(Y104)/MAX(X104,1),"")</f>
        <v/>
      </c>
      <c r="AA104">
        <f>IFERROR((X104-(((E104/100000+F104/100+S104/200)*200*I104*H104)+((E104*F104/25000)*I104*H104))/3)/(((J104/5)*200*I104*H104)+((J104*S104/2.5)*I104*H104)+((E104*F104*J104*S104*I104*H104)/12500000))/3*1000,"")</f>
        <v/>
      </c>
    </row>
    <row r="105">
      <c r="B105" s="7" t="inlineStr">
        <is>
          <t xml:space="preserve">  ↳ RA220mmrapid</t>
        </is>
      </c>
      <c r="C105" s="7" t="inlineStr">
        <is>
          <t>Armament</t>
        </is>
      </c>
      <c r="L105" s="6" t="n">
        <v>8000</v>
      </c>
      <c r="M105" s="6" t="n">
        <v>15</v>
      </c>
      <c r="N105" s="6" t="n">
        <v>1</v>
      </c>
      <c r="O105" s="6" t="n"/>
      <c r="P105" s="6" t="n">
        <v>5000</v>
      </c>
      <c r="Q105" s="6" t="n">
        <v>0.875</v>
      </c>
      <c r="R105">
        <f>M105+IF(MAX(N105-1,0)&gt;0,IF(ISBLANK(O105),5*MAX(N105-1,0),IF(ISNUMBER(O105),O105*MAX(N105-1,0),SUM(IFERROR(VALUE(TEXTSPLIT(O105,",")),0)))),0)</f>
        <v/>
      </c>
      <c r="S105">
        <f>IFERROR(L105*MAX(N105,1)/R105*IF(ISBLANK(K104),1,K104),0)</f>
        <v/>
      </c>
      <c r="AB105" s="7" t="inlineStr">
        <is>
          <t>^Warhead_Bullet_Light, ^Warhead_Bullet_Medium</t>
        </is>
      </c>
    </row>
    <row r="106">
      <c r="A106" t="inlineStr">
        <is>
          <t>shared</t>
        </is>
      </c>
      <c r="B106" t="inlineStr">
        <is>
          <t>ra2_jeep_driveby</t>
        </is>
      </c>
      <c r="C106" t="inlineStr">
        <is>
          <t>Drive By Car</t>
        </is>
      </c>
      <c r="D106" s="6" t="inlineStr">
        <is>
          <t>ScoutVehicle</t>
        </is>
      </c>
      <c r="E106" s="6" t="n">
        <v>25000</v>
      </c>
      <c r="F106" s="6" t="n">
        <v>100</v>
      </c>
      <c r="G106" t="inlineStr">
        <is>
          <t>Scout</t>
        </is>
      </c>
      <c r="H106" s="6" t="n">
        <v>1</v>
      </c>
      <c r="I106" s="6" t="n">
        <v>1</v>
      </c>
      <c r="J106" s="6" t="n">
        <v>1</v>
      </c>
      <c r="P106">
        <f>MAX(P107)</f>
        <v/>
      </c>
      <c r="S106">
        <f>S107</f>
        <v/>
      </c>
      <c r="T106">
        <f>(E106/100000+F106/100+(P106/1000)*J106/5+S106/200)*200*I106*H106</f>
        <v/>
      </c>
      <c r="U106">
        <f>((E106*F106/25000)+((P106/1000)*J106*S106/2.5))*I106*H106</f>
        <v/>
      </c>
      <c r="V106">
        <f>(E106*F106*(P106/1000)*J106*S106*I106*H106)/12500000</f>
        <v/>
      </c>
      <c r="W106">
        <f>(T106+U106+V106)/3</f>
        <v/>
      </c>
      <c r="X106" s="6" t="n">
        <v>1000</v>
      </c>
      <c r="Y106">
        <f>IFERROR(W106-X106,"")</f>
        <v/>
      </c>
      <c r="Z106">
        <f>IFERROR(ABS(Y106)/MAX(X106,1),"")</f>
        <v/>
      </c>
      <c r="AA106">
        <f>IFERROR((X106-(((E106/100000+F106/100+S106/200)*200*I106*H106)+((E106*F106/25000)*I106*H106))/3)/(((J106/5)*200*I106*H106)+((J106*S106/2.5)*I106*H106)+((E106*F106*J106*S106*I106*H106)/12500000))/3*1000,"")</f>
        <v/>
      </c>
    </row>
    <row r="107">
      <c r="B107" s="7" t="inlineStr">
        <is>
          <t xml:space="preserve">  ↳ RA220mmrapid</t>
        </is>
      </c>
      <c r="C107" s="7" t="inlineStr">
        <is>
          <t>Armament</t>
        </is>
      </c>
      <c r="L107" s="6" t="n">
        <v>8000</v>
      </c>
      <c r="M107" s="6" t="n">
        <v>15</v>
      </c>
      <c r="N107" s="6" t="n">
        <v>1</v>
      </c>
      <c r="O107" s="6" t="n"/>
      <c r="P107" s="6" t="n">
        <v>5000</v>
      </c>
      <c r="Q107" s="6" t="n">
        <v>0.875</v>
      </c>
      <c r="R107">
        <f>M107+IF(MAX(N107-1,0)&gt;0,IF(ISBLANK(O107),5*MAX(N107-1,0),IF(ISNUMBER(O107),O107*MAX(N107-1,0),SUM(IFERROR(VALUE(TEXTSPLIT(O107,",")),0)))),0)</f>
        <v/>
      </c>
      <c r="S107">
        <f>IFERROR(L107*MAX(N107,1)/R107*IF(ISBLANK(K106),1,K106),0)</f>
        <v/>
      </c>
      <c r="AB107" s="7" t="inlineStr">
        <is>
          <t>^Warhead_Bullet_Light, ^Warhead_Bullet_Medium</t>
        </is>
      </c>
    </row>
    <row r="108">
      <c r="A108" t="inlineStr">
        <is>
          <t>shared</t>
        </is>
      </c>
      <c r="B108" t="inlineStr">
        <is>
          <t>ra2_limo_driveby</t>
        </is>
      </c>
      <c r="C108" t="inlineStr">
        <is>
          <t>Drive By Car</t>
        </is>
      </c>
      <c r="D108" s="6" t="inlineStr">
        <is>
          <t>ScoutVehicle</t>
        </is>
      </c>
      <c r="E108" s="6" t="n">
        <v>25000</v>
      </c>
      <c r="F108" s="6" t="n">
        <v>100</v>
      </c>
      <c r="G108" t="inlineStr">
        <is>
          <t>Scout</t>
        </is>
      </c>
      <c r="H108" s="6" t="n">
        <v>1</v>
      </c>
      <c r="I108" s="6" t="n">
        <v>1</v>
      </c>
      <c r="J108" s="6" t="n">
        <v>1</v>
      </c>
      <c r="P108">
        <f>MAX(P109)</f>
        <v/>
      </c>
      <c r="S108">
        <f>S109</f>
        <v/>
      </c>
      <c r="T108">
        <f>(E108/100000+F108/100+(P108/1000)*J108/5+S108/200)*200*I108*H108</f>
        <v/>
      </c>
      <c r="U108">
        <f>((E108*F108/25000)+((P108/1000)*J108*S108/2.5))*I108*H108</f>
        <v/>
      </c>
      <c r="V108">
        <f>(E108*F108*(P108/1000)*J108*S108*I108*H108)/12500000</f>
        <v/>
      </c>
      <c r="W108">
        <f>(T108+U108+V108)/3</f>
        <v/>
      </c>
      <c r="X108" s="6" t="n">
        <v>1000</v>
      </c>
      <c r="Y108">
        <f>IFERROR(W108-X108,"")</f>
        <v/>
      </c>
      <c r="Z108">
        <f>IFERROR(ABS(Y108)/MAX(X108,1),"")</f>
        <v/>
      </c>
      <c r="AA108">
        <f>IFERROR((X108-(((E108/100000+F108/100+S108/200)*200*I108*H108)+((E108*F108/25000)*I108*H108))/3)/(((J108/5)*200*I108*H108)+((J108*S108/2.5)*I108*H108)+((E108*F108*J108*S108*I108*H108)/12500000))/3*1000,"")</f>
        <v/>
      </c>
    </row>
    <row r="109">
      <c r="B109" s="7" t="inlineStr">
        <is>
          <t xml:space="preserve">  ↳ RA220mmrapid</t>
        </is>
      </c>
      <c r="C109" s="7" t="inlineStr">
        <is>
          <t>Armament</t>
        </is>
      </c>
      <c r="L109" s="6" t="n">
        <v>8000</v>
      </c>
      <c r="M109" s="6" t="n">
        <v>15</v>
      </c>
      <c r="N109" s="6" t="n">
        <v>1</v>
      </c>
      <c r="O109" s="6" t="n"/>
      <c r="P109" s="6" t="n">
        <v>5000</v>
      </c>
      <c r="Q109" s="6" t="n">
        <v>0.875</v>
      </c>
      <c r="R109">
        <f>M109+IF(MAX(N109-1,0)&gt;0,IF(ISBLANK(O109),5*MAX(N109-1,0),IF(ISNUMBER(O109),O109*MAX(N109-1,0),SUM(IFERROR(VALUE(TEXTSPLIT(O109,",")),0)))),0)</f>
        <v/>
      </c>
      <c r="S109">
        <f>IFERROR(L109*MAX(N109,1)/R109*IF(ISBLANK(K108),1,K108),0)</f>
        <v/>
      </c>
      <c r="AB109" s="7" t="inlineStr">
        <is>
          <t>^Warhead_Bullet_Light, ^Warhead_Bullet_Medium</t>
        </is>
      </c>
    </row>
    <row r="110">
      <c r="A110" t="inlineStr">
        <is>
          <t>shared</t>
        </is>
      </c>
      <c r="B110" t="inlineStr">
        <is>
          <t>ra2_ptruck_driveby</t>
        </is>
      </c>
      <c r="C110" t="inlineStr">
        <is>
          <t>Drive By Car</t>
        </is>
      </c>
      <c r="D110" s="6" t="inlineStr">
        <is>
          <t>ScoutVehicle</t>
        </is>
      </c>
      <c r="E110" s="6" t="n">
        <v>25000</v>
      </c>
      <c r="F110" s="6" t="n">
        <v>100</v>
      </c>
      <c r="G110" t="inlineStr">
        <is>
          <t>Scout</t>
        </is>
      </c>
      <c r="H110" s="6" t="n">
        <v>1</v>
      </c>
      <c r="I110" s="6" t="n">
        <v>1</v>
      </c>
      <c r="J110" s="6" t="n">
        <v>1</v>
      </c>
      <c r="P110">
        <f>MAX(P111)</f>
        <v/>
      </c>
      <c r="S110">
        <f>S111</f>
        <v/>
      </c>
      <c r="T110">
        <f>(E110/100000+F110/100+(P110/1000)*J110/5+S110/200)*200*I110*H110</f>
        <v/>
      </c>
      <c r="U110">
        <f>((E110*F110/25000)+((P110/1000)*J110*S110/2.5))*I110*H110</f>
        <v/>
      </c>
      <c r="V110">
        <f>(E110*F110*(P110/1000)*J110*S110*I110*H110)/12500000</f>
        <v/>
      </c>
      <c r="W110">
        <f>(T110+U110+V110)/3</f>
        <v/>
      </c>
      <c r="X110" s="6" t="n">
        <v>1000</v>
      </c>
      <c r="Y110">
        <f>IFERROR(W110-X110,"")</f>
        <v/>
      </c>
      <c r="Z110">
        <f>IFERROR(ABS(Y110)/MAX(X110,1),"")</f>
        <v/>
      </c>
      <c r="AA110">
        <f>IFERROR((X110-(((E110/100000+F110/100+S110/200)*200*I110*H110)+((E110*F110/25000)*I110*H110))/3)/(((J110/5)*200*I110*H110)+((J110*S110/2.5)*I110*H110)+((E110*F110*J110*S110*I110*H110)/12500000))/3*1000,"")</f>
        <v/>
      </c>
    </row>
    <row r="111">
      <c r="B111" s="7" t="inlineStr">
        <is>
          <t xml:space="preserve">  ↳ RA220mmrapid</t>
        </is>
      </c>
      <c r="C111" s="7" t="inlineStr">
        <is>
          <t>Armament</t>
        </is>
      </c>
      <c r="L111" s="6" t="n">
        <v>8000</v>
      </c>
      <c r="M111" s="6" t="n">
        <v>15</v>
      </c>
      <c r="N111" s="6" t="n">
        <v>1</v>
      </c>
      <c r="O111" s="6" t="n"/>
      <c r="P111" s="6" t="n">
        <v>5000</v>
      </c>
      <c r="Q111" s="6" t="n">
        <v>0.875</v>
      </c>
      <c r="R111">
        <f>M111+IF(MAX(N111-1,0)&gt;0,IF(ISBLANK(O111),5*MAX(N111-1,0),IF(ISNUMBER(O111),O111*MAX(N111-1,0),SUM(IFERROR(VALUE(TEXTSPLIT(O111,",")),0)))),0)</f>
        <v/>
      </c>
      <c r="S111">
        <f>IFERROR(L111*MAX(N111,1)/R111*IF(ISBLANK(K110),1,K110),0)</f>
        <v/>
      </c>
      <c r="AB111" s="7" t="inlineStr">
        <is>
          <t>^Warhead_Bullet_Light, ^Warhead_Bullet_Medium</t>
        </is>
      </c>
    </row>
    <row r="112">
      <c r="A112" t="inlineStr">
        <is>
          <t>shared</t>
        </is>
      </c>
      <c r="B112" t="inlineStr">
        <is>
          <t>ra2_stang_driveby</t>
        </is>
      </c>
      <c r="C112" t="inlineStr">
        <is>
          <t>Drive By Car</t>
        </is>
      </c>
      <c r="D112" s="6" t="inlineStr">
        <is>
          <t>ScoutVehicle</t>
        </is>
      </c>
      <c r="E112" s="6" t="n">
        <v>25000</v>
      </c>
      <c r="F112" s="6" t="n">
        <v>100</v>
      </c>
      <c r="G112" t="inlineStr">
        <is>
          <t>Scout</t>
        </is>
      </c>
      <c r="H112" s="6" t="n">
        <v>1</v>
      </c>
      <c r="I112" s="6" t="n">
        <v>1</v>
      </c>
      <c r="J112" s="6" t="n">
        <v>1</v>
      </c>
      <c r="P112">
        <f>MAX(P113)</f>
        <v/>
      </c>
      <c r="S112">
        <f>S113</f>
        <v/>
      </c>
      <c r="T112">
        <f>(E112/100000+F112/100+(P112/1000)*J112/5+S112/200)*200*I112*H112</f>
        <v/>
      </c>
      <c r="U112">
        <f>((E112*F112/25000)+((P112/1000)*J112*S112/2.5))*I112*H112</f>
        <v/>
      </c>
      <c r="V112">
        <f>(E112*F112*(P112/1000)*J112*S112*I112*H112)/12500000</f>
        <v/>
      </c>
      <c r="W112">
        <f>(T112+U112+V112)/3</f>
        <v/>
      </c>
      <c r="X112" s="6" t="n">
        <v>1000</v>
      </c>
      <c r="Y112">
        <f>IFERROR(W112-X112,"")</f>
        <v/>
      </c>
      <c r="Z112">
        <f>IFERROR(ABS(Y112)/MAX(X112,1),"")</f>
        <v/>
      </c>
      <c r="AA112">
        <f>IFERROR((X112-(((E112/100000+F112/100+S112/200)*200*I112*H112)+((E112*F112/25000)*I112*H112))/3)/(((J112/5)*200*I112*H112)+((J112*S112/2.5)*I112*H112)+((E112*F112*J112*S112*I112*H112)/12500000))/3*1000,"")</f>
        <v/>
      </c>
    </row>
    <row r="113">
      <c r="B113" s="7" t="inlineStr">
        <is>
          <t xml:space="preserve">  ↳ RA220mmrapid</t>
        </is>
      </c>
      <c r="C113" s="7" t="inlineStr">
        <is>
          <t>Armament</t>
        </is>
      </c>
      <c r="L113" s="6" t="n">
        <v>8000</v>
      </c>
      <c r="M113" s="6" t="n">
        <v>15</v>
      </c>
      <c r="N113" s="6" t="n">
        <v>1</v>
      </c>
      <c r="O113" s="6" t="n"/>
      <c r="P113" s="6" t="n">
        <v>5000</v>
      </c>
      <c r="Q113" s="6" t="n">
        <v>0.875</v>
      </c>
      <c r="R113">
        <f>M113+IF(MAX(N113-1,0)&gt;0,IF(ISBLANK(O113),5*MAX(N113-1,0),IF(ISNUMBER(O113),O113*MAX(N113-1,0),SUM(IFERROR(VALUE(TEXTSPLIT(O113,",")),0)))),0)</f>
        <v/>
      </c>
      <c r="S113">
        <f>IFERROR(L113*MAX(N113,1)/R113*IF(ISBLANK(K112),1,K112),0)</f>
        <v/>
      </c>
      <c r="AB113" s="7" t="inlineStr">
        <is>
          <t>^Warhead_Bullet_Light, ^Warhead_Bullet_Medium</t>
        </is>
      </c>
    </row>
    <row r="114">
      <c r="A114" t="inlineStr">
        <is>
          <t>shared</t>
        </is>
      </c>
      <c r="B114" t="inlineStr">
        <is>
          <t>ra2_suvb_driveby</t>
        </is>
      </c>
      <c r="C114" t="inlineStr">
        <is>
          <t>Drive By Car</t>
        </is>
      </c>
      <c r="D114" s="6" t="inlineStr">
        <is>
          <t>ScoutVehicle</t>
        </is>
      </c>
      <c r="E114" s="6" t="n">
        <v>25000</v>
      </c>
      <c r="F114" s="6" t="n">
        <v>100</v>
      </c>
      <c r="G114" t="inlineStr">
        <is>
          <t>Scout</t>
        </is>
      </c>
      <c r="H114" s="6" t="n">
        <v>1</v>
      </c>
      <c r="I114" s="6" t="n">
        <v>1</v>
      </c>
      <c r="J114" s="6" t="n">
        <v>1</v>
      </c>
      <c r="P114">
        <f>MAX(P115)</f>
        <v/>
      </c>
      <c r="S114">
        <f>S115</f>
        <v/>
      </c>
      <c r="T114">
        <f>(E114/100000+F114/100+(P114/1000)*J114/5+S114/200)*200*I114*H114</f>
        <v/>
      </c>
      <c r="U114">
        <f>((E114*F114/25000)+((P114/1000)*J114*S114/2.5))*I114*H114</f>
        <v/>
      </c>
      <c r="V114">
        <f>(E114*F114*(P114/1000)*J114*S114*I114*H114)/12500000</f>
        <v/>
      </c>
      <c r="W114">
        <f>(T114+U114+V114)/3</f>
        <v/>
      </c>
      <c r="X114" s="6" t="n">
        <v>1000</v>
      </c>
      <c r="Y114">
        <f>IFERROR(W114-X114,"")</f>
        <v/>
      </c>
      <c r="Z114">
        <f>IFERROR(ABS(Y114)/MAX(X114,1),"")</f>
        <v/>
      </c>
      <c r="AA114">
        <f>IFERROR((X114-(((E114/100000+F114/100+S114/200)*200*I114*H114)+((E114*F114/25000)*I114*H114))/3)/(((J114/5)*200*I114*H114)+((J114*S114/2.5)*I114*H114)+((E114*F114*J114*S114*I114*H114)/12500000))/3*1000,"")</f>
        <v/>
      </c>
    </row>
    <row r="115">
      <c r="B115" s="7" t="inlineStr">
        <is>
          <t xml:space="preserve">  ↳ RA220mmrapid</t>
        </is>
      </c>
      <c r="C115" s="7" t="inlineStr">
        <is>
          <t>Armament</t>
        </is>
      </c>
      <c r="L115" s="6" t="n">
        <v>8000</v>
      </c>
      <c r="M115" s="6" t="n">
        <v>15</v>
      </c>
      <c r="N115" s="6" t="n">
        <v>1</v>
      </c>
      <c r="O115" s="6" t="n"/>
      <c r="P115" s="6" t="n">
        <v>5000</v>
      </c>
      <c r="Q115" s="6" t="n">
        <v>0.875</v>
      </c>
      <c r="R115">
        <f>M115+IF(MAX(N115-1,0)&gt;0,IF(ISBLANK(O115),5*MAX(N115-1,0),IF(ISNUMBER(O115),O115*MAX(N115-1,0),SUM(IFERROR(VALUE(TEXTSPLIT(O115,",")),0)))),0)</f>
        <v/>
      </c>
      <c r="S115">
        <f>IFERROR(L115*MAX(N115,1)/R115*IF(ISBLANK(K114),1,K114),0)</f>
        <v/>
      </c>
      <c r="AB115" s="7" t="inlineStr">
        <is>
          <t>^Warhead_Bullet_Light, ^Warhead_Bullet_Medium</t>
        </is>
      </c>
    </row>
    <row r="116">
      <c r="A116" t="inlineStr">
        <is>
          <t>shared</t>
        </is>
      </c>
      <c r="B116" t="inlineStr">
        <is>
          <t>ra2_suvw_driveby</t>
        </is>
      </c>
      <c r="C116" t="inlineStr">
        <is>
          <t>Drive By Car</t>
        </is>
      </c>
      <c r="D116" s="6" t="inlineStr">
        <is>
          <t>ScoutVehicle</t>
        </is>
      </c>
      <c r="E116" s="6" t="n">
        <v>25000</v>
      </c>
      <c r="F116" s="6" t="n">
        <v>100</v>
      </c>
      <c r="G116" t="inlineStr">
        <is>
          <t>Scout</t>
        </is>
      </c>
      <c r="H116" s="6" t="n">
        <v>1</v>
      </c>
      <c r="I116" s="6" t="n">
        <v>1</v>
      </c>
      <c r="J116" s="6" t="n">
        <v>1</v>
      </c>
      <c r="P116">
        <f>MAX(P117)</f>
        <v/>
      </c>
      <c r="S116">
        <f>S117</f>
        <v/>
      </c>
      <c r="T116">
        <f>(E116/100000+F116/100+(P116/1000)*J116/5+S116/200)*200*I116*H116</f>
        <v/>
      </c>
      <c r="U116">
        <f>((E116*F116/25000)+((P116/1000)*J116*S116/2.5))*I116*H116</f>
        <v/>
      </c>
      <c r="V116">
        <f>(E116*F116*(P116/1000)*J116*S116*I116*H116)/12500000</f>
        <v/>
      </c>
      <c r="W116">
        <f>(T116+U116+V116)/3</f>
        <v/>
      </c>
      <c r="X116" s="6" t="n">
        <v>1000</v>
      </c>
      <c r="Y116">
        <f>IFERROR(W116-X116,"")</f>
        <v/>
      </c>
      <c r="Z116">
        <f>IFERROR(ABS(Y116)/MAX(X116,1),"")</f>
        <v/>
      </c>
      <c r="AA116">
        <f>IFERROR((X116-(((E116/100000+F116/100+S116/200)*200*I116*H116)+((E116*F116/25000)*I116*H116))/3)/(((J116/5)*200*I116*H116)+((J116*S116/2.5)*I116*H116)+((E116*F116*J116*S116*I116*H116)/12500000))/3*1000,"")</f>
        <v/>
      </c>
    </row>
    <row r="117">
      <c r="B117" s="7" t="inlineStr">
        <is>
          <t xml:space="preserve">  ↳ RA220mmrapid</t>
        </is>
      </c>
      <c r="C117" s="7" t="inlineStr">
        <is>
          <t>Armament</t>
        </is>
      </c>
      <c r="L117" s="6" t="n">
        <v>8000</v>
      </c>
      <c r="M117" s="6" t="n">
        <v>15</v>
      </c>
      <c r="N117" s="6" t="n">
        <v>1</v>
      </c>
      <c r="O117" s="6" t="n"/>
      <c r="P117" s="6" t="n">
        <v>5000</v>
      </c>
      <c r="Q117" s="6" t="n">
        <v>0.875</v>
      </c>
      <c r="R117">
        <f>M117+IF(MAX(N117-1,0)&gt;0,IF(ISBLANK(O117),5*MAX(N117-1,0),IF(ISNUMBER(O117),O117*MAX(N117-1,0),SUM(IFERROR(VALUE(TEXTSPLIT(O117,",")),0)))),0)</f>
        <v/>
      </c>
      <c r="S117">
        <f>IFERROR(L117*MAX(N117,1)/R117*IF(ISBLANK(K116),1,K116),0)</f>
        <v/>
      </c>
      <c r="AB117" s="7" t="inlineStr">
        <is>
          <t>^Warhead_Bullet_Light, ^Warhead_Bullet_Medium</t>
        </is>
      </c>
    </row>
    <row r="118">
      <c r="A118" t="inlineStr">
        <is>
          <t>shared</t>
        </is>
      </c>
      <c r="B118" t="inlineStr">
        <is>
          <t>ra2_taxi_driveby</t>
        </is>
      </c>
      <c r="C118" t="inlineStr">
        <is>
          <t>Drive By Car</t>
        </is>
      </c>
      <c r="D118" s="6" t="inlineStr">
        <is>
          <t>ScoutVehicle</t>
        </is>
      </c>
      <c r="E118" s="6" t="n">
        <v>25000</v>
      </c>
      <c r="F118" s="6" t="n">
        <v>100</v>
      </c>
      <c r="G118" t="inlineStr">
        <is>
          <t>Scout</t>
        </is>
      </c>
      <c r="H118" s="6" t="n">
        <v>1</v>
      </c>
      <c r="I118" s="6" t="n">
        <v>1</v>
      </c>
      <c r="J118" s="6" t="n">
        <v>1</v>
      </c>
      <c r="P118">
        <f>MAX(P119)</f>
        <v/>
      </c>
      <c r="S118">
        <f>S119</f>
        <v/>
      </c>
      <c r="T118">
        <f>(E118/100000+F118/100+(P118/1000)*J118/5+S118/200)*200*I118*H118</f>
        <v/>
      </c>
      <c r="U118">
        <f>((E118*F118/25000)+((P118/1000)*J118*S118/2.5))*I118*H118</f>
        <v/>
      </c>
      <c r="V118">
        <f>(E118*F118*(P118/1000)*J118*S118*I118*H118)/12500000</f>
        <v/>
      </c>
      <c r="W118">
        <f>(T118+U118+V118)/3</f>
        <v/>
      </c>
      <c r="X118" s="6" t="n">
        <v>1000</v>
      </c>
      <c r="Y118">
        <f>IFERROR(W118-X118,"")</f>
        <v/>
      </c>
      <c r="Z118">
        <f>IFERROR(ABS(Y118)/MAX(X118,1),"")</f>
        <v/>
      </c>
      <c r="AA118">
        <f>IFERROR((X118-(((E118/100000+F118/100+S118/200)*200*I118*H118)+((E118*F118/25000)*I118*H118))/3)/(((J118/5)*200*I118*H118)+((J118*S118/2.5)*I118*H118)+((E118*F118*J118*S118*I118*H118)/12500000))/3*1000,"")</f>
        <v/>
      </c>
    </row>
    <row r="119">
      <c r="B119" s="7" t="inlineStr">
        <is>
          <t xml:space="preserve">  ↳ RA220mmrapid</t>
        </is>
      </c>
      <c r="C119" s="7" t="inlineStr">
        <is>
          <t>Armament</t>
        </is>
      </c>
      <c r="L119" s="6" t="n">
        <v>8000</v>
      </c>
      <c r="M119" s="6" t="n">
        <v>15</v>
      </c>
      <c r="N119" s="6" t="n">
        <v>1</v>
      </c>
      <c r="O119" s="6" t="n"/>
      <c r="P119" s="6" t="n">
        <v>5000</v>
      </c>
      <c r="Q119" s="6" t="n">
        <v>0.875</v>
      </c>
      <c r="R119">
        <f>M119+IF(MAX(N119-1,0)&gt;0,IF(ISBLANK(O119),5*MAX(N119-1,0),IF(ISNUMBER(O119),O119*MAX(N119-1,0),SUM(IFERROR(VALUE(TEXTSPLIT(O119,",")),0)))),0)</f>
        <v/>
      </c>
      <c r="S119">
        <f>IFERROR(L119*MAX(N119,1)/R119*IF(ISBLANK(K118),1,K118),0)</f>
        <v/>
      </c>
      <c r="AB119" s="7" t="inlineStr">
        <is>
          <t>^Warhead_Bullet_Light, ^Warhead_Bullet_Medium</t>
        </is>
      </c>
    </row>
    <row r="120">
      <c r="A120" t="inlineStr">
        <is>
          <t>shared</t>
        </is>
      </c>
      <c r="B120" t="inlineStr">
        <is>
          <t>ra2_tractor_driveby</t>
        </is>
      </c>
      <c r="C120" t="inlineStr">
        <is>
          <t>Drive By Car</t>
        </is>
      </c>
      <c r="D120" s="6" t="inlineStr">
        <is>
          <t>ScoutVehicle</t>
        </is>
      </c>
      <c r="E120" s="6" t="n">
        <v>25000</v>
      </c>
      <c r="F120" s="6" t="n">
        <v>100</v>
      </c>
      <c r="G120" t="inlineStr">
        <is>
          <t>Scout</t>
        </is>
      </c>
      <c r="H120" s="6" t="n">
        <v>1</v>
      </c>
      <c r="I120" s="6" t="n">
        <v>1</v>
      </c>
      <c r="J120" s="6" t="n">
        <v>1</v>
      </c>
      <c r="P120">
        <f>MAX(P121)</f>
        <v/>
      </c>
      <c r="S120">
        <f>S121</f>
        <v/>
      </c>
      <c r="T120">
        <f>(E120/100000+F120/100+(P120/1000)*J120/5+S120/200)*200*I120*H120</f>
        <v/>
      </c>
      <c r="U120">
        <f>((E120*F120/25000)+((P120/1000)*J120*S120/2.5))*I120*H120</f>
        <v/>
      </c>
      <c r="V120">
        <f>(E120*F120*(P120/1000)*J120*S120*I120*H120)/12500000</f>
        <v/>
      </c>
      <c r="W120">
        <f>(T120+U120+V120)/3</f>
        <v/>
      </c>
      <c r="X120" s="6" t="n">
        <v>1000</v>
      </c>
      <c r="Y120">
        <f>IFERROR(W120-X120,"")</f>
        <v/>
      </c>
      <c r="Z120">
        <f>IFERROR(ABS(Y120)/MAX(X120,1),"")</f>
        <v/>
      </c>
      <c r="AA120">
        <f>IFERROR((X120-(((E120/100000+F120/100+S120/200)*200*I120*H120)+((E120*F120/25000)*I120*H120))/3)/(((J120/5)*200*I120*H120)+((J120*S120/2.5)*I120*H120)+((E120*F120*J120*S120*I120*H120)/12500000))/3*1000,"")</f>
        <v/>
      </c>
    </row>
    <row r="121">
      <c r="B121" s="7" t="inlineStr">
        <is>
          <t xml:space="preserve">  ↳ RA220mmrapid</t>
        </is>
      </c>
      <c r="C121" s="7" t="inlineStr">
        <is>
          <t>Armament</t>
        </is>
      </c>
      <c r="L121" s="6" t="n">
        <v>8000</v>
      </c>
      <c r="M121" s="6" t="n">
        <v>15</v>
      </c>
      <c r="N121" s="6" t="n">
        <v>1</v>
      </c>
      <c r="O121" s="6" t="n"/>
      <c r="P121" s="6" t="n">
        <v>5000</v>
      </c>
      <c r="Q121" s="6" t="n">
        <v>0.875</v>
      </c>
      <c r="R121">
        <f>M121+IF(MAX(N121-1,0)&gt;0,IF(ISBLANK(O121),5*MAX(N121-1,0),IF(ISNUMBER(O121),O121*MAX(N121-1,0),SUM(IFERROR(VALUE(TEXTSPLIT(O121,",")),0)))),0)</f>
        <v/>
      </c>
      <c r="S121">
        <f>IFERROR(L121*MAX(N121,1)/R121*IF(ISBLANK(K120),1,K120),0)</f>
        <v/>
      </c>
      <c r="AB121" s="7" t="inlineStr">
        <is>
          <t>^Warhead_Bullet_Light, ^Warhead_Bullet_Medium</t>
        </is>
      </c>
    </row>
    <row r="122">
      <c r="A122" t="inlineStr">
        <is>
          <t>shared</t>
        </is>
      </c>
      <c r="B122" t="inlineStr">
        <is>
          <t>ra2_trucka_driveby</t>
        </is>
      </c>
      <c r="C122" t="inlineStr">
        <is>
          <t>Drive By Car</t>
        </is>
      </c>
      <c r="D122" s="6" t="inlineStr">
        <is>
          <t>ScoutVehicle</t>
        </is>
      </c>
      <c r="E122" s="6" t="n">
        <v>25000</v>
      </c>
      <c r="F122" s="6" t="n">
        <v>100</v>
      </c>
      <c r="G122" t="inlineStr">
        <is>
          <t>Scout</t>
        </is>
      </c>
      <c r="H122" s="6" t="n">
        <v>1</v>
      </c>
      <c r="I122" s="6" t="n">
        <v>1</v>
      </c>
      <c r="J122" s="6" t="n">
        <v>1</v>
      </c>
      <c r="P122">
        <f>MAX(P123)</f>
        <v/>
      </c>
      <c r="S122">
        <f>S123</f>
        <v/>
      </c>
      <c r="T122">
        <f>(E122/100000+F122/100+(P122/1000)*J122/5+S122/200)*200*I122*H122</f>
        <v/>
      </c>
      <c r="U122">
        <f>((E122*F122/25000)+((P122/1000)*J122*S122/2.5))*I122*H122</f>
        <v/>
      </c>
      <c r="V122">
        <f>(E122*F122*(P122/1000)*J122*S122*I122*H122)/12500000</f>
        <v/>
      </c>
      <c r="W122">
        <f>(T122+U122+V122)/3</f>
        <v/>
      </c>
      <c r="X122" s="6" t="n">
        <v>1000</v>
      </c>
      <c r="Y122">
        <f>IFERROR(W122-X122,"")</f>
        <v/>
      </c>
      <c r="Z122">
        <f>IFERROR(ABS(Y122)/MAX(X122,1),"")</f>
        <v/>
      </c>
      <c r="AA122">
        <f>IFERROR((X122-(((E122/100000+F122/100+S122/200)*200*I122*H122)+((E122*F122/25000)*I122*H122))/3)/(((J122/5)*200*I122*H122)+((J122*S122/2.5)*I122*H122)+((E122*F122*J122*S122*I122*H122)/12500000))/3*1000,"")</f>
        <v/>
      </c>
    </row>
    <row r="123">
      <c r="B123" s="7" t="inlineStr">
        <is>
          <t xml:space="preserve">  ↳ RA220mmrapid</t>
        </is>
      </c>
      <c r="C123" s="7" t="inlineStr">
        <is>
          <t>Armament</t>
        </is>
      </c>
      <c r="L123" s="6" t="n">
        <v>8000</v>
      </c>
      <c r="M123" s="6" t="n">
        <v>15</v>
      </c>
      <c r="N123" s="6" t="n">
        <v>1</v>
      </c>
      <c r="O123" s="6" t="n"/>
      <c r="P123" s="6" t="n">
        <v>5000</v>
      </c>
      <c r="Q123" s="6" t="n">
        <v>0.875</v>
      </c>
      <c r="R123">
        <f>M123+IF(MAX(N123-1,0)&gt;0,IF(ISBLANK(O123),5*MAX(N123-1,0),IF(ISNUMBER(O123),O123*MAX(N123-1,0),SUM(IFERROR(VALUE(TEXTSPLIT(O123,",")),0)))),0)</f>
        <v/>
      </c>
      <c r="S123">
        <f>IFERROR(L123*MAX(N123,1)/R123*IF(ISBLANK(K122),1,K122),0)</f>
        <v/>
      </c>
      <c r="AB123" s="7" t="inlineStr">
        <is>
          <t>^Warhead_Bullet_Light, ^Warhead_Bullet_Medium</t>
        </is>
      </c>
    </row>
    <row r="124">
      <c r="A124" t="inlineStr">
        <is>
          <t>shared</t>
        </is>
      </c>
      <c r="B124" t="inlineStr">
        <is>
          <t>ra2_truckb_driveby</t>
        </is>
      </c>
      <c r="C124" t="inlineStr">
        <is>
          <t>Drive By Car</t>
        </is>
      </c>
      <c r="D124" s="6" t="inlineStr">
        <is>
          <t>ScoutVehicle</t>
        </is>
      </c>
      <c r="E124" s="6" t="n">
        <v>25000</v>
      </c>
      <c r="F124" s="6" t="n">
        <v>100</v>
      </c>
      <c r="G124" t="inlineStr">
        <is>
          <t>Scout</t>
        </is>
      </c>
      <c r="H124" s="6" t="n">
        <v>1</v>
      </c>
      <c r="I124" s="6" t="n">
        <v>1</v>
      </c>
      <c r="J124" s="6" t="n">
        <v>1</v>
      </c>
      <c r="P124">
        <f>MAX(P125)</f>
        <v/>
      </c>
      <c r="S124">
        <f>S125</f>
        <v/>
      </c>
      <c r="T124">
        <f>(E124/100000+F124/100+(P124/1000)*J124/5+S124/200)*200*I124*H124</f>
        <v/>
      </c>
      <c r="U124">
        <f>((E124*F124/25000)+((P124/1000)*J124*S124/2.5))*I124*H124</f>
        <v/>
      </c>
      <c r="V124">
        <f>(E124*F124*(P124/1000)*J124*S124*I124*H124)/12500000</f>
        <v/>
      </c>
      <c r="W124">
        <f>(T124+U124+V124)/3</f>
        <v/>
      </c>
      <c r="X124" s="6" t="n">
        <v>1000</v>
      </c>
      <c r="Y124">
        <f>IFERROR(W124-X124,"")</f>
        <v/>
      </c>
      <c r="Z124">
        <f>IFERROR(ABS(Y124)/MAX(X124,1),"")</f>
        <v/>
      </c>
      <c r="AA124">
        <f>IFERROR((X124-(((E124/100000+F124/100+S124/200)*200*I124*H124)+((E124*F124/25000)*I124*H124))/3)/(((J124/5)*200*I124*H124)+((J124*S124/2.5)*I124*H124)+((E124*F124*J124*S124*I124*H124)/12500000))/3*1000,"")</f>
        <v/>
      </c>
    </row>
    <row r="125">
      <c r="B125" s="7" t="inlineStr">
        <is>
          <t xml:space="preserve">  ↳ RA220mmrapid</t>
        </is>
      </c>
      <c r="C125" s="7" t="inlineStr">
        <is>
          <t>Armament</t>
        </is>
      </c>
      <c r="L125" s="6" t="n">
        <v>8000</v>
      </c>
      <c r="M125" s="6" t="n">
        <v>15</v>
      </c>
      <c r="N125" s="6" t="n">
        <v>1</v>
      </c>
      <c r="O125" s="6" t="n"/>
      <c r="P125" s="6" t="n">
        <v>5000</v>
      </c>
      <c r="Q125" s="6" t="n">
        <v>0.875</v>
      </c>
      <c r="R125">
        <f>M125+IF(MAX(N125-1,0)&gt;0,IF(ISBLANK(O125),5*MAX(N125-1,0),IF(ISNUMBER(O125),O125*MAX(N125-1,0),SUM(IFERROR(VALUE(TEXTSPLIT(O125,",")),0)))),0)</f>
        <v/>
      </c>
      <c r="S125">
        <f>IFERROR(L125*MAX(N125,1)/R125*IF(ISBLANK(K124),1,K124),0)</f>
        <v/>
      </c>
      <c r="AB125" s="7" t="inlineStr">
        <is>
          <t>^Warhead_Bullet_Light, ^Warhead_Bullet_Medium</t>
        </is>
      </c>
    </row>
    <row r="126">
      <c r="A126" t="inlineStr">
        <is>
          <t>shared</t>
        </is>
      </c>
      <c r="B126" t="inlineStr">
        <is>
          <t>ra2_ycab_driveby</t>
        </is>
      </c>
      <c r="C126" t="inlineStr">
        <is>
          <t>Drive By Car</t>
        </is>
      </c>
      <c r="D126" s="6" t="inlineStr">
        <is>
          <t>ScoutVehicle</t>
        </is>
      </c>
      <c r="E126" s="6" t="n">
        <v>25000</v>
      </c>
      <c r="F126" s="6" t="n">
        <v>100</v>
      </c>
      <c r="G126" t="inlineStr">
        <is>
          <t>Scout</t>
        </is>
      </c>
      <c r="H126" s="6" t="n">
        <v>1</v>
      </c>
      <c r="I126" s="6" t="n">
        <v>1</v>
      </c>
      <c r="J126" s="6" t="n">
        <v>1</v>
      </c>
      <c r="P126">
        <f>MAX(P127)</f>
        <v/>
      </c>
      <c r="S126">
        <f>S127</f>
        <v/>
      </c>
      <c r="T126">
        <f>(E126/100000+F126/100+(P126/1000)*J126/5+S126/200)*200*I126*H126</f>
        <v/>
      </c>
      <c r="U126">
        <f>((E126*F126/25000)+((P126/1000)*J126*S126/2.5))*I126*H126</f>
        <v/>
      </c>
      <c r="V126">
        <f>(E126*F126*(P126/1000)*J126*S126*I126*H126)/12500000</f>
        <v/>
      </c>
      <c r="W126">
        <f>(T126+U126+V126)/3</f>
        <v/>
      </c>
      <c r="X126" s="6" t="n">
        <v>1000</v>
      </c>
      <c r="Y126">
        <f>IFERROR(W126-X126,"")</f>
        <v/>
      </c>
      <c r="Z126">
        <f>IFERROR(ABS(Y126)/MAX(X126,1),"")</f>
        <v/>
      </c>
      <c r="AA126">
        <f>IFERROR((X126-(((E126/100000+F126/100+S126/200)*200*I126*H126)+((E126*F126/25000)*I126*H126))/3)/(((J126/5)*200*I126*H126)+((J126*S126/2.5)*I126*H126)+((E126*F126*J126*S126*I126*H126)/12500000))/3*1000,"")</f>
        <v/>
      </c>
    </row>
    <row r="127">
      <c r="B127" s="7" t="inlineStr">
        <is>
          <t xml:space="preserve">  ↳ RA220mmrapid</t>
        </is>
      </c>
      <c r="C127" s="7" t="inlineStr">
        <is>
          <t>Armament</t>
        </is>
      </c>
      <c r="L127" s="6" t="n">
        <v>8000</v>
      </c>
      <c r="M127" s="6" t="n">
        <v>15</v>
      </c>
      <c r="N127" s="6" t="n">
        <v>1</v>
      </c>
      <c r="O127" s="6" t="n"/>
      <c r="P127" s="6" t="n">
        <v>5000</v>
      </c>
      <c r="Q127" s="6" t="n">
        <v>0.875</v>
      </c>
      <c r="R127">
        <f>M127+IF(MAX(N127-1,0)&gt;0,IF(ISBLANK(O127),5*MAX(N127-1,0),IF(ISNUMBER(O127),O127*MAX(N127-1,0),SUM(IFERROR(VALUE(TEXTSPLIT(O127,",")),0)))),0)</f>
        <v/>
      </c>
      <c r="S127">
        <f>IFERROR(L127*MAX(N127,1)/R127*IF(ISBLANK(K126),1,K126),0)</f>
        <v/>
      </c>
      <c r="AB127" s="7" t="inlineStr">
        <is>
          <t>^Warhead_Bullet_Light, ^Warhead_Bullet_Medium</t>
        </is>
      </c>
    </row>
    <row r="128">
      <c r="A128" t="inlineStr">
        <is>
          <t>redalert2</t>
        </is>
      </c>
      <c r="B128" t="inlineStr">
        <is>
          <t>ra2_allies_ifv</t>
        </is>
      </c>
      <c r="C128" t="inlineStr">
        <is>
          <t>actor_fv.name</t>
        </is>
      </c>
      <c r="D128" s="6" t="inlineStr">
        <is>
          <t>ScoutVehicle</t>
        </is>
      </c>
      <c r="E128" s="6" t="n">
        <v>25000</v>
      </c>
      <c r="F128" s="6" t="n">
        <v>150</v>
      </c>
      <c r="G128" t="inlineStr">
        <is>
          <t>Scout</t>
        </is>
      </c>
      <c r="H128" s="6" t="n">
        <v>0.8639</v>
      </c>
      <c r="I128" s="6" t="n">
        <v>1</v>
      </c>
      <c r="J128" s="6" t="n">
        <v>1</v>
      </c>
      <c r="P128">
        <f>MAX(P129,P130,P131,P132,P133,P134,P135,P136,P137,P138,P139,P140,P141,P142,P143,P144,P145,P146,P147,P151,P152,P153,P154,P155,P156,P157,P158,P159,P160,P161,P162,P163,P164,P165,P166,P167,P168,P169,P170)</f>
        <v/>
      </c>
      <c r="S128">
        <f>S129+S130+S131+S132+S133+S134+S135+S136+S137+S138+S139+S140+S141+S142+S143+S144+S145+S146+S147+S151+S152+S153+S154+S155+S156+S157+S158+S159+S160+S161+S162+S163+S164+S165+S166+S167+S168+S169+S170</f>
        <v/>
      </c>
      <c r="T128">
        <f>(E128/100000+F128/100+(P128/1000)*J128/5+S128/200)*200*I128*H128</f>
        <v/>
      </c>
      <c r="U128">
        <f>((E128*F128/25000)+((P128/1000)*J128*S128/2.5))*I128*H128</f>
        <v/>
      </c>
      <c r="V128">
        <f>(E128*F128*(P128/1000)*J128*S128*I128*H128)/12500000</f>
        <v/>
      </c>
      <c r="W128">
        <f>IFERROR((((E128/30000)+(F128/200)+(S128/450)+((P128/4500)*J128))*300/4+(((E128/30000)*(F128/200))+(((P128/4500)*J128)*(S128/450)))*300/2+((E128/30000)*(F128/200)*((P128/4500)*J128)*(S128/450))*300)*(H128/1.0)/3,"")</f>
        <v/>
      </c>
      <c r="X128" s="6" t="n">
        <v>500</v>
      </c>
      <c r="Y128">
        <f>IFERROR(W128-X128,"")</f>
        <v/>
      </c>
      <c r="Z128">
        <f>IFERROR(ABS(Y128)/MAX(X128,1),"")</f>
        <v/>
      </c>
      <c r="AA128">
        <f>IFERROR(ROUND(((3*X128-(((E128/30000)+(F128/200)+(S128/450))*300/4+((E128/30000)*(F128/200))*300/2)*(H128/1.0))/(300/4+((S128/450))*300/2+((E128/30000)*(F128/200)*(S128/450))*300)*(H128/1.0)*4500)/J128,-1),"")</f>
        <v/>
      </c>
    </row>
    <row r="129">
      <c r="B129" s="7" t="inlineStr">
        <is>
          <t xml:space="preserve">  ↳ RA2CRM60</t>
        </is>
      </c>
      <c r="C129" s="7" t="inlineStr">
        <is>
          <t>Armament@mg</t>
        </is>
      </c>
      <c r="L129" s="6" t="n">
        <v>4000</v>
      </c>
      <c r="M129" s="6" t="n">
        <v>14</v>
      </c>
      <c r="N129" s="6" t="n">
        <v>4</v>
      </c>
      <c r="O129" s="6" t="n">
        <v>2</v>
      </c>
      <c r="P129" s="6" t="n">
        <v>5660</v>
      </c>
      <c r="Q129" s="6" t="n">
        <v>0.875</v>
      </c>
      <c r="R129">
        <f>M129+IF(MAX(N129-1,0)&gt;0,IF(ISBLANK(O129),5*MAX(N129-1,0),IF(ISNUMBER(O129),O129*MAX(N129-1,0),SUM(IFERROR(VALUE(TEXTSPLIT(O129,",")),0)))),0)</f>
        <v/>
      </c>
      <c r="S129">
        <f>IFERROR(L129*MAX(N129,1)/R129*IF(ISBLANK(K128),1,K128),0)</f>
        <v/>
      </c>
      <c r="AB129" s="7" t="inlineStr">
        <is>
          <t>^Warhead_Bullet_Light, ^Warhead_Bullet_Medium</t>
        </is>
      </c>
    </row>
    <row r="130">
      <c r="B130" s="7" t="inlineStr">
        <is>
          <t xml:space="preserve">  ↳ RA2CRM60H</t>
        </is>
      </c>
      <c r="C130" s="7" t="inlineStr">
        <is>
          <t>Armament@hmg</t>
        </is>
      </c>
      <c r="L130" s="6" t="n">
        <v>6000</v>
      </c>
      <c r="M130" s="6" t="n">
        <v>10</v>
      </c>
      <c r="N130" s="6" t="n">
        <v>6</v>
      </c>
      <c r="O130" s="6" t="n">
        <v>2</v>
      </c>
      <c r="P130" s="6" t="n">
        <v>4692</v>
      </c>
      <c r="Q130" s="6" t="n">
        <v>1.125</v>
      </c>
      <c r="R130">
        <f>M130+IF(MAX(N130-1,0)&gt;0,IF(ISBLANK(O130),5*MAX(N130-1,0),IF(ISNUMBER(O130),O130*MAX(N130-1,0),SUM(IFERROR(VALUE(TEXTSPLIT(O130,",")),0)))),0)</f>
        <v/>
      </c>
      <c r="S130">
        <f>IFERROR(L130*MAX(N130,1)/R130*IF(ISBLANK(K128),1,K128),0)</f>
        <v/>
      </c>
      <c r="AB130" s="7" t="inlineStr">
        <is>
          <t>^Warhead_CannonHE_Heavy, ^Warhead_Bullet_Medium</t>
        </is>
      </c>
    </row>
    <row r="131">
      <c r="B131" s="7" t="inlineStr">
        <is>
          <t xml:space="preserve">  ↳ wc_tower_fire</t>
        </is>
      </c>
      <c r="C131" s="7" t="inlineStr">
        <is>
          <t>Armament@archer</t>
        </is>
      </c>
      <c r="L131" s="6" t="n">
        <v>2500</v>
      </c>
      <c r="M131" s="6" t="n">
        <v>40</v>
      </c>
      <c r="N131" s="6" t="n">
        <v>1</v>
      </c>
      <c r="O131" s="6" t="n"/>
      <c r="P131" s="6" t="n">
        <v>8704</v>
      </c>
      <c r="Q131" s="6" t="n">
        <v>1</v>
      </c>
      <c r="R131">
        <f>M131+IF(MAX(N131-1,0)&gt;0,IF(ISBLANK(O131),5*MAX(N131-1,0),IF(ISNUMBER(O131),O131*MAX(N131-1,0),SUM(IFERROR(VALUE(TEXTSPLIT(O131,",")),0)))),0)</f>
        <v/>
      </c>
      <c r="S131">
        <f>IFERROR(L131*MAX(N131,1)/R131*IF(ISBLANK(K128),1,K128),0)</f>
        <v/>
      </c>
      <c r="AB131" s="7" t="inlineStr">
        <is>
          <t>bowFire</t>
        </is>
      </c>
    </row>
    <row r="132">
      <c r="B132" s="7" t="inlineStr">
        <is>
          <t xml:space="preserve">  ↳ RA2IFVRepair</t>
        </is>
      </c>
      <c r="C132" s="7" t="inlineStr">
        <is>
          <t>Armament@repair</t>
        </is>
      </c>
      <c r="L132" s="6" t="n">
        <v>-3000</v>
      </c>
      <c r="M132" s="6" t="n">
        <v>50</v>
      </c>
      <c r="N132" s="6" t="n">
        <v>10</v>
      </c>
      <c r="O132" s="6" t="n">
        <v>1</v>
      </c>
      <c r="P132" s="6" t="n">
        <v>5000</v>
      </c>
      <c r="Q132" s="6" t="n">
        <v>1</v>
      </c>
      <c r="R132">
        <f>M132+IF(MAX(N132-1,0)&gt;0,IF(ISBLANK(O132),5*MAX(N132-1,0),IF(ISNUMBER(O132),O132*MAX(N132-1,0),SUM(IFERROR(VALUE(TEXTSPLIT(O132,",")),0)))),0)</f>
        <v/>
      </c>
      <c r="S132">
        <f>IFERROR(L132*MAX(N132,1)/R132*IF(ISBLANK(K128),1,K128),0)</f>
        <v/>
      </c>
      <c r="AB132" s="7" t="inlineStr">
        <is>
          <t>^RepairWeapon</t>
        </is>
      </c>
    </row>
    <row r="133">
      <c r="B133" s="7" t="inlineStr">
        <is>
          <t xml:space="preserve">  ↳ LightSniper</t>
        </is>
      </c>
      <c r="C133" s="7" t="inlineStr">
        <is>
          <t>Armament@lightsniper</t>
        </is>
      </c>
      <c r="L133" s="6" t="n">
        <v>30000</v>
      </c>
      <c r="M133" s="6" t="n">
        <v>100</v>
      </c>
      <c r="N133" s="6" t="n">
        <v>1</v>
      </c>
      <c r="O133" s="6" t="n"/>
      <c r="P133" s="6" t="n">
        <v>9153</v>
      </c>
      <c r="Q133" s="6" t="n">
        <v>0.75</v>
      </c>
      <c r="R133">
        <f>M133+IF(MAX(N133-1,0)&gt;0,IF(ISBLANK(O133),5*MAX(N133-1,0),IF(ISNUMBER(O133),O133*MAX(N133-1,0),SUM(IFERROR(VALUE(TEXTSPLIT(O133,",")),0)))),0)</f>
        <v/>
      </c>
      <c r="S133">
        <f>IFERROR(L133*MAX(N133,1)/R133*IF(ISBLANK(K128),1,K128),0)</f>
        <v/>
      </c>
      <c r="AB133" s="7" t="inlineStr">
        <is>
          <t>^Warhead_Sniper_Light</t>
        </is>
      </c>
    </row>
    <row r="134">
      <c r="B134" s="7" t="inlineStr">
        <is>
          <t xml:space="preserve">  ↳ RA2DoublePistolsIFV</t>
        </is>
      </c>
      <c r="C134" s="7" t="inlineStr">
        <is>
          <t>Armament@hero</t>
        </is>
      </c>
      <c r="L134" s="6" t="n">
        <v>14000</v>
      </c>
      <c r="M134" s="6" t="n">
        <v>12</v>
      </c>
      <c r="N134" s="6" t="n">
        <v>2</v>
      </c>
      <c r="O134" s="6" t="n">
        <v>3</v>
      </c>
      <c r="P134" s="6" t="n">
        <v>8000</v>
      </c>
      <c r="Q134" s="6" t="n">
        <v>0.75</v>
      </c>
      <c r="R134">
        <f>M134+IF(MAX(N134-1,0)&gt;0,IF(ISBLANK(O134),5*MAX(N134-1,0),IF(ISNUMBER(O134),O134*MAX(N134-1,0),SUM(IFERROR(VALUE(TEXTSPLIT(O134,",")),0)))),0)</f>
        <v/>
      </c>
      <c r="S134">
        <f>IFERROR(L134*MAX(N134,1)/R134*IF(ISBLANK(K128),1,K128),0)</f>
        <v/>
      </c>
      <c r="AB134" s="7" t="inlineStr">
        <is>
          <t>^Warhead_Sniper_Light</t>
        </is>
      </c>
    </row>
    <row r="135">
      <c r="B135" s="7" t="inlineStr">
        <is>
          <t xml:space="preserve">  ↳ TTankZap</t>
        </is>
      </c>
      <c r="C135" s="7" t="inlineStr">
        <is>
          <t>Armament@tesla</t>
        </is>
      </c>
      <c r="L135" s="6" t="n">
        <v>40000</v>
      </c>
      <c r="M135" s="6" t="n">
        <v>80</v>
      </c>
      <c r="N135" s="6" t="n">
        <v>1</v>
      </c>
      <c r="O135" s="6" t="n"/>
      <c r="P135" s="6" t="n">
        <v>7300</v>
      </c>
      <c r="Q135" s="6" t="n">
        <v>1.25</v>
      </c>
      <c r="R135">
        <f>M135+IF(MAX(N135-1,0)&gt;0,IF(ISBLANK(O135),5*MAX(N135-1,0),IF(ISNUMBER(O135),O135*MAX(N135-1,0),SUM(IFERROR(VALUE(TEXTSPLIT(O135,",")),0)))),0)</f>
        <v/>
      </c>
      <c r="S135">
        <f>IFERROR(L135*MAX(N135,1)/R135*IF(ISBLANK(K128),1,K128),0)</f>
        <v/>
      </c>
      <c r="AB135" s="7" t="inlineStr">
        <is>
          <t>^Warhead_Tesla_Heavy</t>
        </is>
      </c>
    </row>
    <row r="136">
      <c r="B136" s="7" t="inlineStr">
        <is>
          <t xml:space="preserve">  ↳ DragunovSniper</t>
        </is>
      </c>
      <c r="C136" s="7" t="inlineStr">
        <is>
          <t>Armament@flak</t>
        </is>
      </c>
      <c r="L136" s="6" t="n">
        <v>400000</v>
      </c>
      <c r="M136" s="6" t="n">
        <v>85</v>
      </c>
      <c r="N136" s="6" t="n">
        <v>1</v>
      </c>
      <c r="O136" s="6" t="n"/>
      <c r="P136" s="6" t="n">
        <v>5804</v>
      </c>
      <c r="Q136" s="6" t="n">
        <v>1</v>
      </c>
      <c r="R136">
        <f>M136+IF(MAX(N136-1,0)&gt;0,IF(ISBLANK(O136),5*MAX(N136-1,0),IF(ISNUMBER(O136),O136*MAX(N136-1,0),SUM(IFERROR(VALUE(TEXTSPLIT(O136,",")),0)))),0)</f>
        <v/>
      </c>
      <c r="S136">
        <f>IFERROR(L136*MAX(N136,1)/R136*IF(ISBLANK(K128),1,K128),0)</f>
        <v/>
      </c>
      <c r="AB136" s="7" t="inlineStr">
        <is>
          <t>^TankDestroyerCannon, ^RailgunWeapon, ^LightMissile, ^HeavyCannon, ^FlakWeapon</t>
        </is>
      </c>
    </row>
    <row r="137">
      <c r="B137" s="7" t="inlineStr">
        <is>
          <t xml:space="preserve">  ↳ RA2MirageGun</t>
        </is>
      </c>
      <c r="C137" s="7" t="inlineStr">
        <is>
          <t>Armament@cannon</t>
        </is>
      </c>
      <c r="L137" s="6" t="n">
        <v>24000</v>
      </c>
      <c r="M137" s="6" t="n">
        <v>39</v>
      </c>
      <c r="N137" s="6" t="n">
        <v>1</v>
      </c>
      <c r="O137" s="6" t="n"/>
      <c r="P137" s="6" t="n">
        <v>6031</v>
      </c>
      <c r="Q137" s="6" t="n">
        <v>0.75</v>
      </c>
      <c r="R137">
        <f>M137+IF(MAX(N137-1,0)&gt;0,IF(ISBLANK(O137),5*MAX(N137-1,0),IF(ISNUMBER(O137),O137*MAX(N137-1,0),SUM(IFERROR(VALUE(TEXTSPLIT(O137,",")),0)))),0)</f>
        <v/>
      </c>
      <c r="S137">
        <f>IFERROR(L137*MAX(N137,1)/R137*IF(ISBLANK(K128),1,K128),0)</f>
        <v/>
      </c>
      <c r="AB137" s="7" t="inlineStr">
        <is>
          <t>^Warhead_CannonAP_Light</t>
        </is>
      </c>
    </row>
    <row r="138">
      <c r="B138" s="7" t="inlineStr">
        <is>
          <t xml:space="preserve">  ↳ Grenade</t>
        </is>
      </c>
      <c r="C138" s="7" t="inlineStr">
        <is>
          <t>Armament@grenade</t>
        </is>
      </c>
      <c r="L138" s="6" t="n">
        <v>16000</v>
      </c>
      <c r="M138" s="6" t="n">
        <v>42</v>
      </c>
      <c r="N138" s="6" t="n">
        <v>1</v>
      </c>
      <c r="O138" s="6" t="n"/>
      <c r="P138" s="6" t="n">
        <v>6097</v>
      </c>
      <c r="Q138" s="6" t="n">
        <v>0.75</v>
      </c>
      <c r="R138">
        <f>M138+IF(MAX(N138-1,0)&gt;0,IF(ISBLANK(O138),5*MAX(N138-1,0),IF(ISNUMBER(O138),O138*MAX(N138-1,0),SUM(IFERROR(VALUE(TEXTSPLIT(O138,",")),0)))),0)</f>
        <v/>
      </c>
      <c r="S138">
        <f>IFERROR(L138*MAX(N138,1)/R138*IF(ISBLANK(K128),1,K128),0)</f>
        <v/>
      </c>
      <c r="AB138" s="7" t="inlineStr">
        <is>
          <t>^Warhead_Demolition_Light</t>
        </is>
      </c>
    </row>
    <row r="139">
      <c r="B139" s="7" t="inlineStr">
        <is>
          <t xml:space="preserve">  ↳ DRPlasmaTankWeapon</t>
        </is>
      </c>
      <c r="C139" s="7" t="inlineStr">
        <is>
          <t>Armament@plasma</t>
        </is>
      </c>
      <c r="L139" s="6" t="n">
        <v>6250</v>
      </c>
      <c r="M139" s="6" t="n">
        <v>21</v>
      </c>
      <c r="N139" s="6" t="n">
        <v>1</v>
      </c>
      <c r="O139" s="6" t="n"/>
      <c r="P139" s="6" t="n">
        <v>5120</v>
      </c>
      <c r="Q139" s="6" t="n">
        <v>1</v>
      </c>
      <c r="R139">
        <f>M139+IF(MAX(N139-1,0)&gt;0,IF(ISBLANK(O139),5*MAX(N139-1,0),IF(ISNUMBER(O139),O139*MAX(N139-1,0),SUM(IFERROR(VALUE(TEXTSPLIT(O139,",")),0)))),0)</f>
        <v/>
      </c>
      <c r="S139">
        <f>IFERROR(L139*MAX(N139,1)/R139*IF(ISBLANK(K128),1,K128),0)</f>
        <v/>
      </c>
      <c r="AB139" s="7" t="inlineStr">
        <is>
          <t>^DRPlasmaWeapon</t>
        </is>
      </c>
    </row>
    <row r="140">
      <c r="B140" s="7" t="inlineStr">
        <is>
          <t xml:space="preserve">  ↳ SWLaserG</t>
        </is>
      </c>
      <c r="C140" s="7" t="inlineStr">
        <is>
          <t>Armament@litlaser</t>
        </is>
      </c>
      <c r="L140" s="6" t="n">
        <v>2000</v>
      </c>
      <c r="M140" s="6" t="n">
        <v>30</v>
      </c>
      <c r="N140" s="6" t="n">
        <v>6</v>
      </c>
      <c r="O140" s="6" t="n"/>
      <c r="P140" s="6" t="n">
        <v>6144</v>
      </c>
      <c r="Q140" s="6" t="n">
        <v>1</v>
      </c>
      <c r="R140">
        <f>M140+IF(MAX(N140-1,0)&gt;0,IF(ISBLANK(O140),5*MAX(N140-1,0),IF(ISNUMBER(O140),O140*MAX(N140-1,0),SUM(IFERROR(VALUE(TEXTSPLIT(O140,",")),0)))),0)</f>
        <v/>
      </c>
      <c r="S140">
        <f>IFERROR(L140*MAX(N140,1)/R140*IF(ISBLANK(K128),1,K128),0)</f>
        <v/>
      </c>
      <c r="AB140" s="7" t="inlineStr">
        <is>
          <t>SWLaser</t>
        </is>
      </c>
    </row>
    <row r="141">
      <c r="B141" s="7" t="inlineStr">
        <is>
          <t xml:space="preserve">  ↳ USALaserCannonAG</t>
        </is>
      </c>
      <c r="C141" s="7" t="inlineStr">
        <is>
          <t>Armament@medlaser</t>
        </is>
      </c>
      <c r="L141" s="6" t="n">
        <v>4000</v>
      </c>
      <c r="M141" s="6" t="n">
        <v>50</v>
      </c>
      <c r="N141" s="6" t="n">
        <v>3</v>
      </c>
      <c r="O141" s="6" t="n">
        <v>6</v>
      </c>
      <c r="P141" s="6" t="n">
        <v>7168</v>
      </c>
      <c r="Q141" s="6" t="n">
        <v>1</v>
      </c>
      <c r="R141">
        <f>M141+IF(MAX(N141-1,0)&gt;0,IF(ISBLANK(O141),5*MAX(N141-1,0),IF(ISNUMBER(O141),O141*MAX(N141-1,0),SUM(IFERROR(VALUE(TEXTSPLIT(O141,",")),0)))),0)</f>
        <v/>
      </c>
      <c r="S141">
        <f>IFERROR(L141*MAX(N141,1)/R141*IF(ISBLANK(K128),1,K128),0)</f>
        <v/>
      </c>
      <c r="AB141" s="7" t="inlineStr">
        <is>
          <t>^AntiGroundMissile</t>
        </is>
      </c>
    </row>
    <row r="142">
      <c r="B142" s="7" t="inlineStr">
        <is>
          <t xml:space="preserve">  ↳ SWGreenLaserG</t>
        </is>
      </c>
      <c r="C142" s="7" t="inlineStr">
        <is>
          <t>Armament@greenlaser</t>
        </is>
      </c>
      <c r="L142" s="6" t="n">
        <v>5000</v>
      </c>
      <c r="M142" s="6" t="n">
        <v>75</v>
      </c>
      <c r="N142" s="6" t="n">
        <v>1</v>
      </c>
      <c r="O142" s="6" t="n"/>
      <c r="P142" s="6" t="n">
        <v>7168</v>
      </c>
      <c r="Q142" s="6" t="n">
        <v>1</v>
      </c>
      <c r="R142">
        <f>M142+IF(MAX(N142-1,0)&gt;0,IF(ISBLANK(O142),5*MAX(N142-1,0),IF(ISNUMBER(O142),O142*MAX(N142-1,0),SUM(IFERROR(VALUE(TEXTSPLIT(O142,",")),0)))),0)</f>
        <v/>
      </c>
      <c r="S142">
        <f>IFERROR(L142*MAX(N142,1)/R142*IF(ISBLANK(K128),1,K128),0)</f>
        <v/>
      </c>
      <c r="AB142" s="7" t="inlineStr">
        <is>
          <t>SWGreenLaser</t>
        </is>
      </c>
    </row>
    <row r="143">
      <c r="B143" s="7" t="inlineStr">
        <is>
          <t xml:space="preserve">  ↳ SWGBigRedLaserG</t>
        </is>
      </c>
      <c r="C143" s="7" t="inlineStr">
        <is>
          <t>Armament@misslaser</t>
        </is>
      </c>
      <c r="L143" s="6" t="n">
        <v>4000</v>
      </c>
      <c r="M143" s="6" t="n">
        <v>75</v>
      </c>
      <c r="N143" s="6" t="n">
        <v>1</v>
      </c>
      <c r="O143" s="6" t="n"/>
      <c r="P143" s="6" t="n">
        <v>8192</v>
      </c>
      <c r="Q143" s="6" t="n">
        <v>1</v>
      </c>
      <c r="R143">
        <f>M143+IF(MAX(N143-1,0)&gt;0,IF(ISBLANK(O143),5*MAX(N143-1,0),IF(ISNUMBER(O143),O143*MAX(N143-1,0),SUM(IFERROR(VALUE(TEXTSPLIT(O143,",")),0)))),0)</f>
        <v/>
      </c>
      <c r="S143">
        <f>IFERROR(L143*MAX(N143,1)/R143*IF(ISBLANK(K128),1,K128),0)</f>
        <v/>
      </c>
      <c r="AB143" s="7" t="inlineStr">
        <is>
          <t>SWrBigRedLaser</t>
        </is>
      </c>
    </row>
    <row r="144">
      <c r="B144" s="7" t="inlineStr">
        <is>
          <t xml:space="preserve">  ↳ BigFlamer</t>
        </is>
      </c>
      <c r="C144" s="7" t="inlineStr">
        <is>
          <t>Armament@fire</t>
        </is>
      </c>
      <c r="L144" s="6" t="n">
        <v>14000</v>
      </c>
      <c r="M144" s="6" t="n">
        <v>50</v>
      </c>
      <c r="N144" s="6" t="n">
        <v>2</v>
      </c>
      <c r="O144" s="6" t="n">
        <v>10</v>
      </c>
      <c r="P144" s="6" t="n">
        <v>2390</v>
      </c>
      <c r="Q144" s="6" t="n">
        <v>1</v>
      </c>
      <c r="R144">
        <f>M144+IF(MAX(N144-1,0)&gt;0,IF(ISBLANK(O144),5*MAX(N144-1,0),IF(ISNUMBER(O144),O144*MAX(N144-1,0),SUM(IFERROR(VALUE(TEXTSPLIT(O144,",")),0)))),0)</f>
        <v/>
      </c>
      <c r="S144">
        <f>IFERROR(L144*MAX(N144,1)/R144*IF(ISBLANK(K128),1,K128),0)</f>
        <v/>
      </c>
      <c r="AB144" s="7" t="inlineStr">
        <is>
          <t>^Warhead_Flame_Medium</t>
        </is>
      </c>
    </row>
    <row r="145">
      <c r="B145" s="7" t="inlineStr">
        <is>
          <t xml:space="preserve">  ↳ RA2RadBeamWeapon</t>
        </is>
      </c>
      <c r="C145" s="7" t="inlineStr">
        <is>
          <t>Armament@chem</t>
        </is>
      </c>
      <c r="L145" s="6" t="n">
        <v>30000</v>
      </c>
      <c r="M145" s="6" t="n">
        <v>45</v>
      </c>
      <c r="N145" s="6" t="n">
        <v>1</v>
      </c>
      <c r="O145" s="6" t="n"/>
      <c r="P145" s="6" t="n">
        <v>6444</v>
      </c>
      <c r="Q145" s="6" t="n">
        <v>1</v>
      </c>
      <c r="R145">
        <f>M145+IF(MAX(N145-1,0)&gt;0,IF(ISBLANK(O145),5*MAX(N145-1,0),IF(ISNUMBER(O145),O145*MAX(N145-1,0),SUM(IFERROR(VALUE(TEXTSPLIT(O145,",")),0)))),0)</f>
        <v/>
      </c>
      <c r="S145">
        <f>IFERROR(L145*MAX(N145,1)/R145*IF(ISBLANK(K128),1,K128),0)</f>
        <v/>
      </c>
      <c r="AB145" s="7" t="inlineStr">
        <is>
          <t>^Warhead_Chemical_Medium</t>
        </is>
      </c>
    </row>
    <row r="146">
      <c r="B146" s="7" t="inlineStr">
        <is>
          <t xml:space="preserve">  ↳ RA2RadBeamWeapon</t>
        </is>
      </c>
      <c r="C146" s="7" t="inlineStr">
        <is>
          <t>Armament@thrax</t>
        </is>
      </c>
      <c r="L146" s="6" t="n">
        <v>30000</v>
      </c>
      <c r="M146" s="6" t="n">
        <v>45</v>
      </c>
      <c r="N146" s="6" t="n">
        <v>1</v>
      </c>
      <c r="O146" s="6" t="n"/>
      <c r="P146" s="6" t="n">
        <v>6444</v>
      </c>
      <c r="Q146" s="6" t="n">
        <v>1</v>
      </c>
      <c r="R146">
        <f>M146+IF(MAX(N146-1,0)&gt;0,IF(ISBLANK(O146),5*MAX(N146-1,0),IF(ISNUMBER(O146),O146*MAX(N146-1,0),SUM(IFERROR(VALUE(TEXTSPLIT(O146,",")),0)))),0)</f>
        <v/>
      </c>
      <c r="S146">
        <f>IFERROR(L146*MAX(N146,1)/R146*IF(ISBLANK(K128),1,K128),0)</f>
        <v/>
      </c>
      <c r="AB146" s="7" t="inlineStr">
        <is>
          <t>^Warhead_Chemical_Medium</t>
        </is>
      </c>
    </row>
    <row r="147">
      <c r="B147" s="7" t="inlineStr">
        <is>
          <t xml:space="preserve">  ↳ RA2MultiHoverMissile</t>
        </is>
      </c>
      <c r="C147" s="7" t="inlineStr">
        <is>
          <t>Armament@missile</t>
        </is>
      </c>
      <c r="L147" s="6" t="n">
        <v>4000</v>
      </c>
      <c r="M147" s="6" t="n">
        <v>20</v>
      </c>
      <c r="N147" s="6" t="n">
        <v>4</v>
      </c>
      <c r="O147" s="6" t="n"/>
      <c r="P147" s="6" t="n">
        <v>6170</v>
      </c>
      <c r="Q147" s="6" t="n">
        <v>0.875</v>
      </c>
      <c r="R147">
        <f>M147+IF(MAX(N147-1,0)&gt;0,IF(ISBLANK(O147),5*MAX(N147-1,0),IF(ISNUMBER(O147),O147*MAX(N147-1,0),SUM(IFERROR(VALUE(TEXTSPLIT(O147,",")),0)))),0)</f>
        <v/>
      </c>
      <c r="S147">
        <f>IFERROR(L147*MAX(N147,1)/R147*IF(ISBLANK(K128),1,K128),0)</f>
        <v/>
      </c>
      <c r="AB147" s="7" t="inlineStr">
        <is>
          <t>^Warhead_CannonHE_Medium, ^Warhead_MissileHE_Light</t>
        </is>
      </c>
    </row>
    <row r="148">
      <c r="B148" s="7" t="inlineStr">
        <is>
          <t xml:space="preserve">  ↳ IFVChronoBeam</t>
        </is>
      </c>
      <c r="C148" s="7" t="inlineStr">
        <is>
          <t>Armament@chrono</t>
        </is>
      </c>
      <c r="M148" s="6" t="n">
        <v>1</v>
      </c>
      <c r="N148" s="6" t="n">
        <v>1</v>
      </c>
      <c r="O148" s="6" t="n"/>
      <c r="P148" s="6" t="n">
        <v>7500</v>
      </c>
      <c r="Q148" s="6" t="n">
        <v>1</v>
      </c>
      <c r="R148">
        <f>M148+IF(MAX(N148-1,0)&gt;0,IF(ISBLANK(O148),5*MAX(N148-1,0),IF(ISNUMBER(O148),O148*MAX(N148-1,0),SUM(IFERROR(VALUE(TEXTSPLIT(O148,",")),0)))),0)</f>
        <v/>
      </c>
      <c r="S148">
        <f>IFERROR(L148*MAX(N148,1)/R148*IF(ISBLANK(K128),1,K128),0)</f>
        <v/>
      </c>
      <c r="AB148" s="7" t="inlineStr">
        <is>
          <t>ChronoBeam</t>
        </is>
      </c>
    </row>
    <row r="149">
      <c r="B149" s="7" t="inlineStr">
        <is>
          <t xml:space="preserve">  ↳ IFVChronoSound</t>
        </is>
      </c>
      <c r="C149" s="7" t="inlineStr">
        <is>
          <t>Armament@chronosound</t>
        </is>
      </c>
      <c r="M149" s="6" t="n">
        <v>180</v>
      </c>
      <c r="N149" s="6" t="n">
        <v>1</v>
      </c>
      <c r="O149" s="6" t="n"/>
      <c r="P149" s="6" t="n">
        <v>8000</v>
      </c>
      <c r="Q149" s="6" t="n">
        <v>1</v>
      </c>
      <c r="R149">
        <f>M149+IF(MAX(N149-1,0)&gt;0,IF(ISBLANK(O149),5*MAX(N149-1,0),IF(ISNUMBER(O149),O149*MAX(N149-1,0),SUM(IFERROR(VALUE(TEXTSPLIT(O149,",")),0)))),0)</f>
        <v/>
      </c>
      <c r="S149">
        <f>IFERROR(L149*MAX(N149,1)/R149*IF(ISBLANK(K128),1,K128),0)</f>
        <v/>
      </c>
      <c r="AB149" s="7" t="inlineStr">
        <is>
          <t>RA2ChronoTele</t>
        </is>
      </c>
    </row>
    <row r="150">
      <c r="B150" s="7" t="inlineStr">
        <is>
          <t xml:space="preserve">  ↳ DemoTruckTargeting</t>
        </is>
      </c>
      <c r="C150" s="7" t="inlineStr">
        <is>
          <t>Armament@ivan</t>
        </is>
      </c>
      <c r="M150" s="6" t="n">
        <v>1</v>
      </c>
      <c r="N150" s="6" t="n">
        <v>1</v>
      </c>
      <c r="O150" s="6" t="n"/>
      <c r="P150" s="6" t="n">
        <v>2000</v>
      </c>
      <c r="Q150" s="6" t="n">
        <v>1</v>
      </c>
      <c r="R150">
        <f>M150+IF(MAX(N150-1,0)&gt;0,IF(ISBLANK(O150),5*MAX(N150-1,0),IF(ISNUMBER(O150),O150*MAX(N150-1,0),SUM(IFERROR(VALUE(TEXTSPLIT(O150,",")),0)))),0)</f>
        <v/>
      </c>
      <c r="S150">
        <f>IFERROR(L150*MAX(N150,1)/R150*IF(ISBLANK(K128),1,K128),0)</f>
        <v/>
      </c>
      <c r="AB150" s="7" t="inlineStr"/>
    </row>
    <row r="151">
      <c r="B151" s="7" t="inlineStr">
        <is>
          <t xml:space="preserve">  ↳ Fremen_L</t>
        </is>
      </c>
      <c r="C151" s="7" t="inlineStr">
        <is>
          <t>Armament@fremen</t>
        </is>
      </c>
      <c r="L151" s="6" t="n">
        <v>3000</v>
      </c>
      <c r="M151" s="6" t="n">
        <v>25</v>
      </c>
      <c r="N151" s="6" t="n">
        <v>1</v>
      </c>
      <c r="O151" s="6" t="n"/>
      <c r="P151" s="6" t="n">
        <v>2560</v>
      </c>
      <c r="Q151" s="6" t="n">
        <v>1</v>
      </c>
      <c r="R151">
        <f>M151+IF(MAX(N151-1,0)&gt;0,IF(ISBLANK(O151),5*MAX(N151-1,0),IF(ISNUMBER(O151),O151*MAX(N151-1,0),SUM(IFERROR(VALUE(TEXTSPLIT(O151,",")),0)))),0)</f>
        <v/>
      </c>
      <c r="S151">
        <f>IFERROR(L151*MAX(N151,1)/R151*IF(ISBLANK(K128),1,K128),0)</f>
        <v/>
      </c>
      <c r="AB151" s="7" t="inlineStr">
        <is>
          <t>M_HMG</t>
        </is>
      </c>
    </row>
    <row r="152">
      <c r="B152" s="7" t="inlineStr">
        <is>
          <t xml:space="preserve">  ↳ TSSonicZap</t>
        </is>
      </c>
      <c r="C152" s="7" t="inlineStr">
        <is>
          <t>Armament@sonic</t>
        </is>
      </c>
      <c r="L152" s="6" t="n">
        <v>5000</v>
      </c>
      <c r="M152" s="6" t="n">
        <v>60</v>
      </c>
      <c r="N152" s="6" t="n">
        <v>1</v>
      </c>
      <c r="O152" s="6" t="n"/>
      <c r="P152" s="6" t="n">
        <v>6144</v>
      </c>
      <c r="Q152" s="6" t="n">
        <v>1</v>
      </c>
      <c r="R152">
        <f>M152+IF(MAX(N152-1,0)&gt;0,IF(ISBLANK(O152),5*MAX(N152-1,0),IF(ISNUMBER(O152),O152*MAX(N152-1,0),SUM(IFERROR(VALUE(TEXTSPLIT(O152,",")),0)))),0)</f>
        <v/>
      </c>
      <c r="S152">
        <f>IFERROR(L152*MAX(N152,1)/R152*IF(ISBLANK(K128),1,K128),0)</f>
        <v/>
      </c>
      <c r="AB152" s="7" t="inlineStr"/>
    </row>
    <row r="153">
      <c r="B153" s="7" t="inlineStr">
        <is>
          <t xml:space="preserve">  ↳ MedicHeal</t>
        </is>
      </c>
      <c r="C153" s="7" t="inlineStr">
        <is>
          <t>Armament@heal</t>
        </is>
      </c>
      <c r="L153" s="6" t="n">
        <v>-3000</v>
      </c>
      <c r="M153" s="6" t="n">
        <v>10</v>
      </c>
      <c r="N153" s="6" t="n">
        <v>1</v>
      </c>
      <c r="O153" s="6" t="n"/>
      <c r="P153" s="6" t="n">
        <v>6000</v>
      </c>
      <c r="Q153" s="6" t="n">
        <v>1</v>
      </c>
      <c r="R153">
        <f>M153+IF(MAX(N153-1,0)&gt;0,IF(ISBLANK(O153),5*MAX(N153-1,0),IF(ISNUMBER(O153),O153*MAX(N153-1,0),SUM(IFERROR(VALUE(TEXTSPLIT(O153,",")),0)))),0)</f>
        <v/>
      </c>
      <c r="S153">
        <f>IFERROR(L153*MAX(N153,1)/R153*IF(ISBLANK(K128),1,K128),0)</f>
        <v/>
      </c>
      <c r="AB153" s="7" t="inlineStr">
        <is>
          <t>^HealingWeapon</t>
        </is>
      </c>
    </row>
    <row r="154">
      <c r="B154" s="7" t="inlineStr">
        <is>
          <t xml:space="preserve">  ↳ RA2HoverMissile</t>
        </is>
      </c>
      <c r="C154" s="7" t="inlineStr">
        <is>
          <t>Armament@primary</t>
        </is>
      </c>
      <c r="L154" s="6" t="n">
        <v>12000</v>
      </c>
      <c r="M154" s="6" t="n">
        <v>28</v>
      </c>
      <c r="N154" s="6" t="n">
        <v>2</v>
      </c>
      <c r="O154" s="6" t="n">
        <v>4</v>
      </c>
      <c r="P154" s="6" t="n">
        <v>5760</v>
      </c>
      <c r="Q154" s="6" t="n">
        <v>0.75</v>
      </c>
      <c r="R154">
        <f>M154+IF(MAX(N154-1,0)&gt;0,IF(ISBLANK(O154),5*MAX(N154-1,0),IF(ISNUMBER(O154),O154*MAX(N154-1,0),SUM(IFERROR(VALUE(TEXTSPLIT(O154,",")),0)))),0)</f>
        <v/>
      </c>
      <c r="S154">
        <f>IFERROR(L154*MAX(N154,1)/R154*IF(ISBLANK(K128),1,K128),0)</f>
        <v/>
      </c>
      <c r="AB154" s="7" t="inlineStr">
        <is>
          <t>^Warhead_Arrow_Light, ^Warhead_MissileAP_Light</t>
        </is>
      </c>
    </row>
    <row r="155">
      <c r="B155" s="7" t="inlineStr">
        <is>
          <t xml:space="preserve">  ↳ RA2HoverMissile_elite</t>
        </is>
      </c>
      <c r="C155" s="7" t="inlineStr">
        <is>
          <t>Armament@primaryelite</t>
        </is>
      </c>
      <c r="L155" s="6" t="n">
        <v>12000</v>
      </c>
      <c r="M155" s="6" t="n">
        <v>28</v>
      </c>
      <c r="N155" s="6" t="n">
        <v>4</v>
      </c>
      <c r="O155" s="6" t="n">
        <v>4</v>
      </c>
      <c r="P155" s="6" t="n">
        <v>6760</v>
      </c>
      <c r="Q155" s="6" t="n">
        <v>0.75</v>
      </c>
      <c r="R155">
        <f>M155+IF(MAX(N155-1,0)&gt;0,IF(ISBLANK(O155),5*MAX(N155-1,0),IF(ISNUMBER(O155),O155*MAX(N155-1,0),SUM(IFERROR(VALUE(TEXTSPLIT(O155,",")),0)))),0)</f>
        <v/>
      </c>
      <c r="S155">
        <f>IFERROR(L155*MAX(N155,1)/R155*IF(ISBLANK(K128),1,K128),0)</f>
        <v/>
      </c>
      <c r="AB155" s="7" t="inlineStr">
        <is>
          <t>^Warhead_Arrow_Light, ^Warhead_MissileAP_Light</t>
        </is>
      </c>
    </row>
    <row r="156">
      <c r="B156" s="7" t="inlineStr">
        <is>
          <t xml:space="preserve">  ↳ RA2HoverMissile_AA</t>
        </is>
      </c>
      <c r="C156" s="7" t="inlineStr">
        <is>
          <t>Armament@primaryAA</t>
        </is>
      </c>
      <c r="L156" s="6" t="n">
        <v>12000</v>
      </c>
      <c r="M156" s="6" t="n">
        <v>28</v>
      </c>
      <c r="N156" s="6" t="n">
        <v>2</v>
      </c>
      <c r="O156" s="6" t="n">
        <v>4</v>
      </c>
      <c r="P156" s="6" t="n">
        <v>8640</v>
      </c>
      <c r="Q156" s="6" t="n">
        <v>0.75</v>
      </c>
      <c r="R156">
        <f>M156+IF(MAX(N156-1,0)&gt;0,IF(ISBLANK(O156),5*MAX(N156-1,0),IF(ISNUMBER(O156),O156*MAX(N156-1,0),SUM(IFERROR(VALUE(TEXTSPLIT(O156,",")),0)))),0)</f>
        <v/>
      </c>
      <c r="S156">
        <f>IFERROR(L156*MAX(N156,1)/R156*IF(ISBLANK(K128),1,K128),0)</f>
        <v/>
      </c>
      <c r="AB156" s="7" t="inlineStr">
        <is>
          <t>^Warhead_Arrow_Light, ^Warhead_MissileAP_Light</t>
        </is>
      </c>
    </row>
    <row r="157">
      <c r="B157" s="7" t="inlineStr">
        <is>
          <t xml:space="preserve">  ↳ RA2HoverMissile_AA_elite</t>
        </is>
      </c>
      <c r="C157" s="7" t="inlineStr">
        <is>
          <t>Armament@primaryeliteAA</t>
        </is>
      </c>
      <c r="L157" s="6" t="n">
        <v>12000</v>
      </c>
      <c r="M157" s="6" t="n">
        <v>28</v>
      </c>
      <c r="N157" s="6" t="n">
        <v>4</v>
      </c>
      <c r="O157" s="6" t="n">
        <v>4</v>
      </c>
      <c r="P157" s="6" t="n">
        <v>9640</v>
      </c>
      <c r="Q157" s="6" t="n">
        <v>0.75</v>
      </c>
      <c r="R157">
        <f>M157+IF(MAX(N157-1,0)&gt;0,IF(ISBLANK(O157),5*MAX(N157-1,0),IF(ISNUMBER(O157),O157*MAX(N157-1,0),SUM(IFERROR(VALUE(TEXTSPLIT(O157,",")),0)))),0)</f>
        <v/>
      </c>
      <c r="S157">
        <f>IFERROR(L157*MAX(N157,1)/R157*IF(ISBLANK(K128),1,K128),0)</f>
        <v/>
      </c>
      <c r="AB157" s="7" t="inlineStr">
        <is>
          <t>^Warhead_Arrow_Light, ^Warhead_MissileAP_Light</t>
        </is>
      </c>
    </row>
    <row r="158">
      <c r="B158" s="7" t="inlineStr">
        <is>
          <t xml:space="preserve">  ↳ RA2ThunderboltMissile</t>
        </is>
      </c>
      <c r="C158" s="7" t="inlineStr">
        <is>
          <t>Armament@primaryThunderbolt</t>
        </is>
      </c>
      <c r="L158" s="6" t="n">
        <v>4000</v>
      </c>
      <c r="M158" s="6" t="n">
        <v>25</v>
      </c>
      <c r="N158" s="6" t="n">
        <v>1</v>
      </c>
      <c r="O158" s="6" t="n"/>
      <c r="P158" s="6" t="n">
        <v>5120</v>
      </c>
      <c r="Q158" s="6" t="n">
        <v>1</v>
      </c>
      <c r="R158">
        <f>M158+IF(MAX(N158-1,0)&gt;0,IF(ISBLANK(O158),5*MAX(N158-1,0),IF(ISNUMBER(O158),O158*MAX(N158-1,0),SUM(IFERROR(VALUE(TEXTSPLIT(O158,",")),0)))),0)</f>
        <v/>
      </c>
      <c r="S158">
        <f>IFERROR(L158*MAX(N158,1)/R158*IF(ISBLANK(K128),1,K128),0)</f>
        <v/>
      </c>
      <c r="AB158" s="7" t="inlineStr">
        <is>
          <t>^Warhead_MissileHE_Heavy, ^Warhead_MissileHE_Light</t>
        </is>
      </c>
    </row>
    <row r="159">
      <c r="B159" s="7" t="inlineStr">
        <is>
          <t xml:space="preserve">  ↳ RA2ThunderboltMissile_elite</t>
        </is>
      </c>
      <c r="C159" s="7" t="inlineStr">
        <is>
          <t>Armament@primaryeliteThunderbolt</t>
        </is>
      </c>
      <c r="L159" s="6" t="n">
        <v>4000</v>
      </c>
      <c r="M159" s="6" t="n">
        <v>25</v>
      </c>
      <c r="N159" s="6" t="n">
        <v>4</v>
      </c>
      <c r="O159" s="6" t="n"/>
      <c r="P159" s="6" t="n">
        <v>6760</v>
      </c>
      <c r="Q159" s="6" t="n">
        <v>1</v>
      </c>
      <c r="R159">
        <f>M159+IF(MAX(N159-1,0)&gt;0,IF(ISBLANK(O159),5*MAX(N159-1,0),IF(ISNUMBER(O159),O159*MAX(N159-1,0),SUM(IFERROR(VALUE(TEXTSPLIT(O159,",")),0)))),0)</f>
        <v/>
      </c>
      <c r="S159">
        <f>IFERROR(L159*MAX(N159,1)/R159*IF(ISBLANK(K128),1,K128),0)</f>
        <v/>
      </c>
      <c r="AB159" s="7" t="inlineStr">
        <is>
          <t>^Warhead_MissileHE_Heavy, ^Warhead_MissileHE_Light</t>
        </is>
      </c>
    </row>
    <row r="160">
      <c r="B160" s="7" t="inlineStr">
        <is>
          <t xml:space="preserve">  ↳ RA2ThunderboltMissile_AA</t>
        </is>
      </c>
      <c r="C160" s="7" t="inlineStr">
        <is>
          <t>Armament@primaryAAThunderbolt</t>
        </is>
      </c>
      <c r="L160" s="6" t="n">
        <v>4000</v>
      </c>
      <c r="M160" s="6" t="n">
        <v>25</v>
      </c>
      <c r="N160" s="6" t="n">
        <v>1</v>
      </c>
      <c r="O160" s="6" t="n"/>
      <c r="P160" s="6" t="n">
        <v>8640</v>
      </c>
      <c r="Q160" s="6" t="n">
        <v>1</v>
      </c>
      <c r="R160">
        <f>M160+IF(MAX(N160-1,0)&gt;0,IF(ISBLANK(O160),5*MAX(N160-1,0),IF(ISNUMBER(O160),O160*MAX(N160-1,0),SUM(IFERROR(VALUE(TEXTSPLIT(O160,",")),0)))),0)</f>
        <v/>
      </c>
      <c r="S160">
        <f>IFERROR(L160*MAX(N160,1)/R160*IF(ISBLANK(K128),1,K128),0)</f>
        <v/>
      </c>
      <c r="AB160" s="7" t="inlineStr">
        <is>
          <t>^Warhead_MissileHE_Heavy, ^Warhead_MissileHE_Light</t>
        </is>
      </c>
    </row>
    <row r="161">
      <c r="B161" s="7" t="inlineStr">
        <is>
          <t xml:space="preserve">  ↳ RA2ThunderboltMissile_AA_elite</t>
        </is>
      </c>
      <c r="C161" s="7" t="inlineStr">
        <is>
          <t>Armament@primaryeliteAAThunderbolt</t>
        </is>
      </c>
      <c r="L161" s="6" t="n">
        <v>4000</v>
      </c>
      <c r="M161" s="6" t="n">
        <v>25</v>
      </c>
      <c r="N161" s="6" t="n">
        <v>4</v>
      </c>
      <c r="O161" s="6" t="n"/>
      <c r="P161" s="6" t="n">
        <v>9640</v>
      </c>
      <c r="Q161" s="6" t="n">
        <v>1</v>
      </c>
      <c r="R161">
        <f>M161+IF(MAX(N161-1,0)&gt;0,IF(ISBLANK(O161),5*MAX(N161-1,0),IF(ISNUMBER(O161),O161*MAX(N161-1,0),SUM(IFERROR(VALUE(TEXTSPLIT(O161,",")),0)))),0)</f>
        <v/>
      </c>
      <c r="S161">
        <f>IFERROR(L161*MAX(N161,1)/R161*IF(ISBLANK(K128),1,K128),0)</f>
        <v/>
      </c>
      <c r="AB161" s="7" t="inlineStr">
        <is>
          <t>^Warhead_MissileHE_Heavy, ^Warhead_MissileHE_Light</t>
        </is>
      </c>
    </row>
    <row r="162">
      <c r="B162" s="7" t="inlineStr">
        <is>
          <t xml:space="preserve">  ↳ RA2MultiHoverMissile_elite</t>
        </is>
      </c>
      <c r="C162" s="7" t="inlineStr">
        <is>
          <t>Armament@missileelite</t>
        </is>
      </c>
      <c r="L162" s="6" t="n">
        <v>4000</v>
      </c>
      <c r="M162" s="6" t="n">
        <v>20</v>
      </c>
      <c r="N162" s="6" t="n">
        <v>4</v>
      </c>
      <c r="O162" s="6" t="n"/>
      <c r="P162" s="6" t="n">
        <v>7170</v>
      </c>
      <c r="Q162" s="6" t="n">
        <v>0.875</v>
      </c>
      <c r="R162">
        <f>M162+IF(MAX(N162-1,0)&gt;0,IF(ISBLANK(O162),5*MAX(N162-1,0),IF(ISNUMBER(O162),O162*MAX(N162-1,0),SUM(IFERROR(VALUE(TEXTSPLIT(O162,",")),0)))),0)</f>
        <v/>
      </c>
      <c r="S162">
        <f>IFERROR(L162*MAX(N162,1)/R162*IF(ISBLANK(K128),1,K128),0)</f>
        <v/>
      </c>
      <c r="AB162" s="7" t="inlineStr">
        <is>
          <t>^Warhead_CannonHE_Medium, ^Warhead_MissileHE_Light</t>
        </is>
      </c>
    </row>
    <row r="163">
      <c r="B163" s="7" t="inlineStr">
        <is>
          <t xml:space="preserve">  ↳ RA2MultiHoverMissile_AA</t>
        </is>
      </c>
      <c r="C163" s="7" t="inlineStr">
        <is>
          <t>Armament@missileAA</t>
        </is>
      </c>
      <c r="L163" s="6" t="n">
        <v>4000</v>
      </c>
      <c r="M163" s="6" t="n">
        <v>20</v>
      </c>
      <c r="N163" s="6" t="n">
        <v>4</v>
      </c>
      <c r="O163" s="6" t="n"/>
      <c r="P163" s="6" t="n">
        <v>9255</v>
      </c>
      <c r="Q163" s="6" t="n">
        <v>0.875</v>
      </c>
      <c r="R163">
        <f>M163+IF(MAX(N163-1,0)&gt;0,IF(ISBLANK(O163),5*MAX(N163-1,0),IF(ISNUMBER(O163),O163*MAX(N163-1,0),SUM(IFERROR(VALUE(TEXTSPLIT(O163,",")),0)))),0)</f>
        <v/>
      </c>
      <c r="S163">
        <f>IFERROR(L163*MAX(N163,1)/R163*IF(ISBLANK(K128),1,K128),0)</f>
        <v/>
      </c>
      <c r="AB163" s="7" t="inlineStr">
        <is>
          <t>^Warhead_CannonHE_Medium, ^Warhead_MissileHE_Light</t>
        </is>
      </c>
    </row>
    <row r="164">
      <c r="B164" s="7" t="inlineStr">
        <is>
          <t xml:space="preserve">  ↳ RA2MultiHoverMissile_AA_elite</t>
        </is>
      </c>
      <c r="C164" s="7" t="inlineStr">
        <is>
          <t>Armament@missileeliteAA</t>
        </is>
      </c>
      <c r="L164" s="6" t="n">
        <v>4000</v>
      </c>
      <c r="M164" s="6" t="n">
        <v>20</v>
      </c>
      <c r="N164" s="6" t="n">
        <v>4</v>
      </c>
      <c r="O164" s="6" t="n"/>
      <c r="P164" s="6" t="n">
        <v>10255</v>
      </c>
      <c r="Q164" s="6" t="n">
        <v>0.875</v>
      </c>
      <c r="R164">
        <f>M164+IF(MAX(N164-1,0)&gt;0,IF(ISBLANK(O164),5*MAX(N164-1,0),IF(ISNUMBER(O164),O164*MAX(N164-1,0),SUM(IFERROR(VALUE(TEXTSPLIT(O164,",")),0)))),0)</f>
        <v/>
      </c>
      <c r="S164">
        <f>IFERROR(L164*MAX(N164,1)/R164*IF(ISBLANK(K128),1,K128),0)</f>
        <v/>
      </c>
      <c r="AB164" s="7" t="inlineStr">
        <is>
          <t>^Warhead_CannonHE_Medium, ^Warhead_MissileHE_Light</t>
        </is>
      </c>
    </row>
    <row r="165">
      <c r="B165" s="7" t="inlineStr">
        <is>
          <t xml:space="preserve">  ↳ RA2MultiThunderboltMissile</t>
        </is>
      </c>
      <c r="C165" s="7" t="inlineStr">
        <is>
          <t>Armament@missileThunderbolt</t>
        </is>
      </c>
      <c r="L165" s="6" t="n">
        <v>4000</v>
      </c>
      <c r="M165" s="6" t="n">
        <v>25</v>
      </c>
      <c r="N165" s="6" t="n">
        <v>1</v>
      </c>
      <c r="O165" s="6" t="n"/>
      <c r="P165" s="6" t="n">
        <v>5120</v>
      </c>
      <c r="Q165" s="6" t="n">
        <v>1</v>
      </c>
      <c r="R165">
        <f>M165+IF(MAX(N165-1,0)&gt;0,IF(ISBLANK(O165),5*MAX(N165-1,0),IF(ISNUMBER(O165),O165*MAX(N165-1,0),SUM(IFERROR(VALUE(TEXTSPLIT(O165,",")),0)))),0)</f>
        <v/>
      </c>
      <c r="S165">
        <f>IFERROR(L165*MAX(N165,1)/R165*IF(ISBLANK(K128),1,K128),0)</f>
        <v/>
      </c>
      <c r="AB165" s="7" t="inlineStr">
        <is>
          <t>^Warhead_MissileHE_Heavy, ^Warhead_MissileHE_Light</t>
        </is>
      </c>
    </row>
    <row r="166">
      <c r="B166" s="7" t="inlineStr">
        <is>
          <t xml:space="preserve">  ↳ RA2MultiThunderboltMissile_elite</t>
        </is>
      </c>
      <c r="C166" s="7" t="inlineStr">
        <is>
          <t>Armament@missileeliteThunderbolt</t>
        </is>
      </c>
      <c r="L166" s="6" t="n">
        <v>4000</v>
      </c>
      <c r="M166" s="6" t="n">
        <v>25</v>
      </c>
      <c r="N166" s="6" t="n">
        <v>4</v>
      </c>
      <c r="O166" s="6" t="n"/>
      <c r="P166" s="6" t="n">
        <v>7170</v>
      </c>
      <c r="Q166" s="6" t="n">
        <v>1</v>
      </c>
      <c r="R166">
        <f>M166+IF(MAX(N166-1,0)&gt;0,IF(ISBLANK(O166),5*MAX(N166-1,0),IF(ISNUMBER(O166),O166*MAX(N166-1,0),SUM(IFERROR(VALUE(TEXTSPLIT(O166,",")),0)))),0)</f>
        <v/>
      </c>
      <c r="S166">
        <f>IFERROR(L166*MAX(N166,1)/R166*IF(ISBLANK(K128),1,K128),0)</f>
        <v/>
      </c>
      <c r="AB166" s="7" t="inlineStr">
        <is>
          <t>^Warhead_MissileHE_Heavy, ^Warhead_MissileHE_Light</t>
        </is>
      </c>
    </row>
    <row r="167">
      <c r="B167" s="7" t="inlineStr">
        <is>
          <t xml:space="preserve">  ↳ RA2MultiThunderboltMissile_AA</t>
        </is>
      </c>
      <c r="C167" s="7" t="inlineStr">
        <is>
          <t>Armament@missileAAThunderbolt</t>
        </is>
      </c>
      <c r="L167" s="6" t="n">
        <v>4000</v>
      </c>
      <c r="M167" s="6" t="n">
        <v>25</v>
      </c>
      <c r="N167" s="6" t="n">
        <v>1</v>
      </c>
      <c r="O167" s="6" t="n"/>
      <c r="P167" s="6" t="n">
        <v>9255</v>
      </c>
      <c r="Q167" s="6" t="n">
        <v>1</v>
      </c>
      <c r="R167">
        <f>M167+IF(MAX(N167-1,0)&gt;0,IF(ISBLANK(O167),5*MAX(N167-1,0),IF(ISNUMBER(O167),O167*MAX(N167-1,0),SUM(IFERROR(VALUE(TEXTSPLIT(O167,",")),0)))),0)</f>
        <v/>
      </c>
      <c r="S167">
        <f>IFERROR(L167*MAX(N167,1)/R167*IF(ISBLANK(K128),1,K128),0)</f>
        <v/>
      </c>
      <c r="AB167" s="7" t="inlineStr">
        <is>
          <t>^Warhead_MissileHE_Heavy, ^Warhead_MissileHE_Light</t>
        </is>
      </c>
    </row>
    <row r="168">
      <c r="B168" s="7" t="inlineStr">
        <is>
          <t xml:space="preserve">  ↳ RA2MultiThunderboltMissile_AA_elite</t>
        </is>
      </c>
      <c r="C168" s="7" t="inlineStr">
        <is>
          <t>Armament@missileeliteAAThunderbolt</t>
        </is>
      </c>
      <c r="L168" s="6" t="n">
        <v>4000</v>
      </c>
      <c r="M168" s="6" t="n">
        <v>25</v>
      </c>
      <c r="N168" s="6" t="n">
        <v>4</v>
      </c>
      <c r="O168" s="6" t="n"/>
      <c r="P168" s="6" t="n">
        <v>10255</v>
      </c>
      <c r="Q168" s="6" t="n">
        <v>1</v>
      </c>
      <c r="R168">
        <f>M168+IF(MAX(N168-1,0)&gt;0,IF(ISBLANK(O168),5*MAX(N168-1,0),IF(ISNUMBER(O168),O168*MAX(N168-1,0),SUM(IFERROR(VALUE(TEXTSPLIT(O168,",")),0)))),0)</f>
        <v/>
      </c>
      <c r="S168">
        <f>IFERROR(L168*MAX(N168,1)/R168*IF(ISBLANK(K128),1,K128),0)</f>
        <v/>
      </c>
      <c r="AB168" s="7" t="inlineStr">
        <is>
          <t>^Warhead_MissileHE_Heavy, ^Warhead_MissileHE_Light</t>
        </is>
      </c>
    </row>
    <row r="169">
      <c r="B169" s="7" t="inlineStr">
        <is>
          <t xml:space="preserve">  ↳ MedicHeal</t>
        </is>
      </c>
      <c r="C169" s="7" t="inlineStr">
        <is>
          <t>Armament@healer</t>
        </is>
      </c>
      <c r="L169" s="6" t="n">
        <v>-3000</v>
      </c>
      <c r="M169" s="6" t="n">
        <v>10</v>
      </c>
      <c r="N169" s="6" t="n">
        <v>1</v>
      </c>
      <c r="O169" s="6" t="n"/>
      <c r="P169" s="6" t="n">
        <v>6000</v>
      </c>
      <c r="Q169" s="6" t="n">
        <v>1</v>
      </c>
      <c r="R169">
        <f>M169+IF(MAX(N169-1,0)&gt;0,IF(ISBLANK(O169),5*MAX(N169-1,0),IF(ISNUMBER(O169),O169*MAX(N169-1,0),SUM(IFERROR(VALUE(TEXTSPLIT(O169,",")),0)))),0)</f>
        <v/>
      </c>
      <c r="S169">
        <f>IFERROR(L169*MAX(N169,1)/R169*IF(ISBLANK(K128),1,K128),0)</f>
        <v/>
      </c>
      <c r="AB169" s="7" t="inlineStr">
        <is>
          <t>^HealingWeapon</t>
        </is>
      </c>
    </row>
    <row r="170">
      <c r="B170" s="7" t="inlineStr">
        <is>
          <t xml:space="preserve">  ↳ RA2AWP</t>
        </is>
      </c>
      <c r="C170" s="7" t="inlineStr">
        <is>
          <t>Armament@ra1_allies_alliedsniper</t>
        </is>
      </c>
      <c r="L170" s="6" t="n">
        <v>44000</v>
      </c>
      <c r="M170" s="6" t="n">
        <v>54</v>
      </c>
      <c r="N170" s="6" t="n">
        <v>1</v>
      </c>
      <c r="O170" s="6" t="n"/>
      <c r="P170" s="6" t="n">
        <v>10000</v>
      </c>
      <c r="Q170" s="6" t="n">
        <v>0.75</v>
      </c>
      <c r="R170">
        <f>M170+IF(MAX(N170-1,0)&gt;0,IF(ISBLANK(O170),5*MAX(N170-1,0),IF(ISNUMBER(O170),O170*MAX(N170-1,0),SUM(IFERROR(VALUE(TEXTSPLIT(O170,",")),0)))),0)</f>
        <v/>
      </c>
      <c r="S170">
        <f>IFERROR(L170*MAX(N170,1)/R170*IF(ISBLANK(K128),1,K128),0)</f>
        <v/>
      </c>
      <c r="AB170" s="7" t="inlineStr">
        <is>
          <t>^Warhead_Sniper_Light</t>
        </is>
      </c>
    </row>
    <row r="171">
      <c r="A171" t="inlineStr">
        <is>
          <t>redalert2</t>
        </is>
      </c>
      <c r="B171" t="inlineStr">
        <is>
          <t>ra2_allies_ifv_chrono</t>
        </is>
      </c>
      <c r="C171" t="inlineStr">
        <is>
          <t>actor_fv.name</t>
        </is>
      </c>
      <c r="D171" s="6" t="inlineStr">
        <is>
          <t>ScoutVehicle</t>
        </is>
      </c>
      <c r="E171" s="6" t="n">
        <v>25000</v>
      </c>
      <c r="F171" s="6" t="n">
        <v>150</v>
      </c>
      <c r="G171" t="inlineStr">
        <is>
          <t>Scout</t>
        </is>
      </c>
      <c r="H171" s="6" t="n">
        <v>0.5305</v>
      </c>
      <c r="I171" s="6" t="n">
        <v>1</v>
      </c>
      <c r="J171" s="6" t="n">
        <v>1</v>
      </c>
      <c r="P171">
        <f>MAX(P172,P173,P174,P175,P176,P177,P178,P179,P180,P181,P182,P183,P184,P185,P186,P187,P188,P189,P190,P194,P195,P196,P197,P198,P199,P200,P201,P202,P203,P204,P205,P206,P207,P208,P209,P210,P211,P212,P213)</f>
        <v/>
      </c>
      <c r="S171">
        <f>S172+S173+S174+S175+S176+S177+S178+S179+S180+S181+S182+S183+S184+S185+S186+S187+S188+S189+S190+S194+S195+S196+S197+S198+S199+S200+S201+S202+S203+S204+S205+S206+S207+S208+S209+S210+S211+S212+S213</f>
        <v/>
      </c>
      <c r="T171">
        <f>(E171/100000+F171/100+(P171/1000)*J171/5+S171/200)*200*I171*H171</f>
        <v/>
      </c>
      <c r="U171">
        <f>((E171*F171/25000)+((P171/1000)*J171*S171/2.5))*I171*H171</f>
        <v/>
      </c>
      <c r="V171">
        <f>(E171*F171*(P171/1000)*J171*S171*I171*H171)/12500000</f>
        <v/>
      </c>
      <c r="W171">
        <f>IFERROR((((E171/30000)+(F171/200)+(S171/450)+((P171/4500)*J171))*300/4+(((E171/30000)*(F171/200))+(((P171/4500)*J171)*(S171/450)))*300/2+((E171/30000)*(F171/200)*((P171/4500)*J171)*(S171/450))*300)*(H171/1.0)/3,"")</f>
        <v/>
      </c>
      <c r="X171" s="6" t="n">
        <v>500</v>
      </c>
      <c r="Y171">
        <f>IFERROR(W171-X171,"")</f>
        <v/>
      </c>
      <c r="Z171">
        <f>IFERROR(ABS(Y171)/MAX(X171,1),"")</f>
        <v/>
      </c>
      <c r="AA171">
        <f>IFERROR(ROUND(((3*X171-(((E171/30000)+(F171/200)+(S171/450))*300/4+((E171/30000)*(F171/200))*300/2)*(H171/1.0))/(300/4+((S171/450))*300/2+((E171/30000)*(F171/200)*(S171/450))*300)*(H171/1.0)*4500)/J171,-1),"")</f>
        <v/>
      </c>
    </row>
    <row r="172">
      <c r="B172" s="7" t="inlineStr">
        <is>
          <t xml:space="preserve">  ↳ RA2CRM60</t>
        </is>
      </c>
      <c r="C172" s="7" t="inlineStr">
        <is>
          <t>Armament@mg</t>
        </is>
      </c>
      <c r="L172" s="6" t="n">
        <v>4000</v>
      </c>
      <c r="M172" s="6" t="n">
        <v>14</v>
      </c>
      <c r="N172" s="6" t="n">
        <v>4</v>
      </c>
      <c r="O172" s="6" t="n">
        <v>2</v>
      </c>
      <c r="P172" s="6" t="n">
        <v>5660</v>
      </c>
      <c r="Q172" s="6" t="n">
        <v>0.875</v>
      </c>
      <c r="R172">
        <f>M172+IF(MAX(N172-1,0)&gt;0,IF(ISBLANK(O172),5*MAX(N172-1,0),IF(ISNUMBER(O172),O172*MAX(N172-1,0),SUM(IFERROR(VALUE(TEXTSPLIT(O172,",")),0)))),0)</f>
        <v/>
      </c>
      <c r="S172">
        <f>IFERROR(L172*MAX(N172,1)/R172*IF(ISBLANK(K171),1,K171),0)</f>
        <v/>
      </c>
      <c r="AB172" s="7" t="inlineStr">
        <is>
          <t>^Warhead_Bullet_Light, ^Warhead_Bullet_Medium</t>
        </is>
      </c>
    </row>
    <row r="173">
      <c r="B173" s="7" t="inlineStr">
        <is>
          <t xml:space="preserve">  ↳ RA2CRM60H</t>
        </is>
      </c>
      <c r="C173" s="7" t="inlineStr">
        <is>
          <t>Armament@hmg</t>
        </is>
      </c>
      <c r="L173" s="6" t="n">
        <v>6000</v>
      </c>
      <c r="M173" s="6" t="n">
        <v>10</v>
      </c>
      <c r="N173" s="6" t="n">
        <v>6</v>
      </c>
      <c r="O173" s="6" t="n">
        <v>2</v>
      </c>
      <c r="P173" s="6" t="n">
        <v>4692</v>
      </c>
      <c r="Q173" s="6" t="n">
        <v>1.125</v>
      </c>
      <c r="R173">
        <f>M173+IF(MAX(N173-1,0)&gt;0,IF(ISBLANK(O173),5*MAX(N173-1,0),IF(ISNUMBER(O173),O173*MAX(N173-1,0),SUM(IFERROR(VALUE(TEXTSPLIT(O173,",")),0)))),0)</f>
        <v/>
      </c>
      <c r="S173">
        <f>IFERROR(L173*MAX(N173,1)/R173*IF(ISBLANK(K171),1,K171),0)</f>
        <v/>
      </c>
      <c r="AB173" s="7" t="inlineStr">
        <is>
          <t>^Warhead_CannonHE_Heavy, ^Warhead_Bullet_Medium</t>
        </is>
      </c>
    </row>
    <row r="174">
      <c r="B174" s="7" t="inlineStr">
        <is>
          <t xml:space="preserve">  ↳ wc_tower_fire</t>
        </is>
      </c>
      <c r="C174" s="7" t="inlineStr">
        <is>
          <t>Armament@archer</t>
        </is>
      </c>
      <c r="L174" s="6" t="n">
        <v>2500</v>
      </c>
      <c r="M174" s="6" t="n">
        <v>40</v>
      </c>
      <c r="N174" s="6" t="n">
        <v>1</v>
      </c>
      <c r="O174" s="6" t="n"/>
      <c r="P174" s="6" t="n">
        <v>8704</v>
      </c>
      <c r="Q174" s="6" t="n">
        <v>1</v>
      </c>
      <c r="R174">
        <f>M174+IF(MAX(N174-1,0)&gt;0,IF(ISBLANK(O174),5*MAX(N174-1,0),IF(ISNUMBER(O174),O174*MAX(N174-1,0),SUM(IFERROR(VALUE(TEXTSPLIT(O174,",")),0)))),0)</f>
        <v/>
      </c>
      <c r="S174">
        <f>IFERROR(L174*MAX(N174,1)/R174*IF(ISBLANK(K171),1,K171),0)</f>
        <v/>
      </c>
      <c r="AB174" s="7" t="inlineStr">
        <is>
          <t>bowFire</t>
        </is>
      </c>
    </row>
    <row r="175">
      <c r="B175" s="7" t="inlineStr">
        <is>
          <t xml:space="preserve">  ↳ RA2IFVRepair</t>
        </is>
      </c>
      <c r="C175" s="7" t="inlineStr">
        <is>
          <t>Armament@repair</t>
        </is>
      </c>
      <c r="L175" s="6" t="n">
        <v>-3000</v>
      </c>
      <c r="M175" s="6" t="n">
        <v>50</v>
      </c>
      <c r="N175" s="6" t="n">
        <v>10</v>
      </c>
      <c r="O175" s="6" t="n">
        <v>1</v>
      </c>
      <c r="P175" s="6" t="n">
        <v>5000</v>
      </c>
      <c r="Q175" s="6" t="n">
        <v>1</v>
      </c>
      <c r="R175">
        <f>M175+IF(MAX(N175-1,0)&gt;0,IF(ISBLANK(O175),5*MAX(N175-1,0),IF(ISNUMBER(O175),O175*MAX(N175-1,0),SUM(IFERROR(VALUE(TEXTSPLIT(O175,",")),0)))),0)</f>
        <v/>
      </c>
      <c r="S175">
        <f>IFERROR(L175*MAX(N175,1)/R175*IF(ISBLANK(K171),1,K171),0)</f>
        <v/>
      </c>
      <c r="AB175" s="7" t="inlineStr">
        <is>
          <t>^RepairWeapon</t>
        </is>
      </c>
    </row>
    <row r="176">
      <c r="B176" s="7" t="inlineStr">
        <is>
          <t xml:space="preserve">  ↳ LightSniper</t>
        </is>
      </c>
      <c r="C176" s="7" t="inlineStr">
        <is>
          <t>Armament@lightsniper</t>
        </is>
      </c>
      <c r="L176" s="6" t="n">
        <v>30000</v>
      </c>
      <c r="M176" s="6" t="n">
        <v>100</v>
      </c>
      <c r="N176" s="6" t="n">
        <v>1</v>
      </c>
      <c r="O176" s="6" t="n"/>
      <c r="P176" s="6" t="n">
        <v>9153</v>
      </c>
      <c r="Q176" s="6" t="n">
        <v>0.75</v>
      </c>
      <c r="R176">
        <f>M176+IF(MAX(N176-1,0)&gt;0,IF(ISBLANK(O176),5*MAX(N176-1,0),IF(ISNUMBER(O176),O176*MAX(N176-1,0),SUM(IFERROR(VALUE(TEXTSPLIT(O176,",")),0)))),0)</f>
        <v/>
      </c>
      <c r="S176">
        <f>IFERROR(L176*MAX(N176,1)/R176*IF(ISBLANK(K171),1,K171),0)</f>
        <v/>
      </c>
      <c r="AB176" s="7" t="inlineStr">
        <is>
          <t>^Warhead_Sniper_Light</t>
        </is>
      </c>
    </row>
    <row r="177">
      <c r="B177" s="7" t="inlineStr">
        <is>
          <t xml:space="preserve">  ↳ RA2DoublePistolsIFV</t>
        </is>
      </c>
      <c r="C177" s="7" t="inlineStr">
        <is>
          <t>Armament@hero</t>
        </is>
      </c>
      <c r="L177" s="6" t="n">
        <v>14000</v>
      </c>
      <c r="M177" s="6" t="n">
        <v>12</v>
      </c>
      <c r="N177" s="6" t="n">
        <v>2</v>
      </c>
      <c r="O177" s="6" t="n">
        <v>3</v>
      </c>
      <c r="P177" s="6" t="n">
        <v>8000</v>
      </c>
      <c r="Q177" s="6" t="n">
        <v>0.75</v>
      </c>
      <c r="R177">
        <f>M177+IF(MAX(N177-1,0)&gt;0,IF(ISBLANK(O177),5*MAX(N177-1,0),IF(ISNUMBER(O177),O177*MAX(N177-1,0),SUM(IFERROR(VALUE(TEXTSPLIT(O177,",")),0)))),0)</f>
        <v/>
      </c>
      <c r="S177">
        <f>IFERROR(L177*MAX(N177,1)/R177*IF(ISBLANK(K171),1,K171),0)</f>
        <v/>
      </c>
      <c r="AB177" s="7" t="inlineStr">
        <is>
          <t>^Warhead_Sniper_Light</t>
        </is>
      </c>
    </row>
    <row r="178">
      <c r="B178" s="7" t="inlineStr">
        <is>
          <t xml:space="preserve">  ↳ TTankZap</t>
        </is>
      </c>
      <c r="C178" s="7" t="inlineStr">
        <is>
          <t>Armament@tesla</t>
        </is>
      </c>
      <c r="L178" s="6" t="n">
        <v>40000</v>
      </c>
      <c r="M178" s="6" t="n">
        <v>80</v>
      </c>
      <c r="N178" s="6" t="n">
        <v>1</v>
      </c>
      <c r="O178" s="6" t="n"/>
      <c r="P178" s="6" t="n">
        <v>7300</v>
      </c>
      <c r="Q178" s="6" t="n">
        <v>1.25</v>
      </c>
      <c r="R178">
        <f>M178+IF(MAX(N178-1,0)&gt;0,IF(ISBLANK(O178),5*MAX(N178-1,0),IF(ISNUMBER(O178),O178*MAX(N178-1,0),SUM(IFERROR(VALUE(TEXTSPLIT(O178,",")),0)))),0)</f>
        <v/>
      </c>
      <c r="S178">
        <f>IFERROR(L178*MAX(N178,1)/R178*IF(ISBLANK(K171),1,K171),0)</f>
        <v/>
      </c>
      <c r="AB178" s="7" t="inlineStr">
        <is>
          <t>^Warhead_Tesla_Heavy</t>
        </is>
      </c>
    </row>
    <row r="179">
      <c r="B179" s="7" t="inlineStr">
        <is>
          <t xml:space="preserve">  ↳ DragunovSniper</t>
        </is>
      </c>
      <c r="C179" s="7" t="inlineStr">
        <is>
          <t>Armament@flak</t>
        </is>
      </c>
      <c r="L179" s="6" t="n">
        <v>400000</v>
      </c>
      <c r="M179" s="6" t="n">
        <v>85</v>
      </c>
      <c r="N179" s="6" t="n">
        <v>1</v>
      </c>
      <c r="O179" s="6" t="n"/>
      <c r="P179" s="6" t="n">
        <v>5804</v>
      </c>
      <c r="Q179" s="6" t="n">
        <v>1</v>
      </c>
      <c r="R179">
        <f>M179+IF(MAX(N179-1,0)&gt;0,IF(ISBLANK(O179),5*MAX(N179-1,0),IF(ISNUMBER(O179),O179*MAX(N179-1,0),SUM(IFERROR(VALUE(TEXTSPLIT(O179,",")),0)))),0)</f>
        <v/>
      </c>
      <c r="S179">
        <f>IFERROR(L179*MAX(N179,1)/R179*IF(ISBLANK(K171),1,K171),0)</f>
        <v/>
      </c>
      <c r="AB179" s="7" t="inlineStr">
        <is>
          <t>^TankDestroyerCannon, ^RailgunWeapon, ^LightMissile, ^HeavyCannon, ^FlakWeapon</t>
        </is>
      </c>
    </row>
    <row r="180">
      <c r="B180" s="7" t="inlineStr">
        <is>
          <t xml:space="preserve">  ↳ RA2MirageGun</t>
        </is>
      </c>
      <c r="C180" s="7" t="inlineStr">
        <is>
          <t>Armament@cannon</t>
        </is>
      </c>
      <c r="L180" s="6" t="n">
        <v>24000</v>
      </c>
      <c r="M180" s="6" t="n">
        <v>39</v>
      </c>
      <c r="N180" s="6" t="n">
        <v>1</v>
      </c>
      <c r="O180" s="6" t="n"/>
      <c r="P180" s="6" t="n">
        <v>6031</v>
      </c>
      <c r="Q180" s="6" t="n">
        <v>0.75</v>
      </c>
      <c r="R180">
        <f>M180+IF(MAX(N180-1,0)&gt;0,IF(ISBLANK(O180),5*MAX(N180-1,0),IF(ISNUMBER(O180),O180*MAX(N180-1,0),SUM(IFERROR(VALUE(TEXTSPLIT(O180,",")),0)))),0)</f>
        <v/>
      </c>
      <c r="S180">
        <f>IFERROR(L180*MAX(N180,1)/R180*IF(ISBLANK(K171),1,K171),0)</f>
        <v/>
      </c>
      <c r="AB180" s="7" t="inlineStr">
        <is>
          <t>^Warhead_CannonAP_Light</t>
        </is>
      </c>
    </row>
    <row r="181">
      <c r="B181" s="7" t="inlineStr">
        <is>
          <t xml:space="preserve">  ↳ Grenade</t>
        </is>
      </c>
      <c r="C181" s="7" t="inlineStr">
        <is>
          <t>Armament@grenade</t>
        </is>
      </c>
      <c r="L181" s="6" t="n">
        <v>16000</v>
      </c>
      <c r="M181" s="6" t="n">
        <v>42</v>
      </c>
      <c r="N181" s="6" t="n">
        <v>1</v>
      </c>
      <c r="O181" s="6" t="n"/>
      <c r="P181" s="6" t="n">
        <v>6097</v>
      </c>
      <c r="Q181" s="6" t="n">
        <v>0.75</v>
      </c>
      <c r="R181">
        <f>M181+IF(MAX(N181-1,0)&gt;0,IF(ISBLANK(O181),5*MAX(N181-1,0),IF(ISNUMBER(O181),O181*MAX(N181-1,0),SUM(IFERROR(VALUE(TEXTSPLIT(O181,",")),0)))),0)</f>
        <v/>
      </c>
      <c r="S181">
        <f>IFERROR(L181*MAX(N181,1)/R181*IF(ISBLANK(K171),1,K171),0)</f>
        <v/>
      </c>
      <c r="AB181" s="7" t="inlineStr">
        <is>
          <t>^Warhead_Demolition_Light</t>
        </is>
      </c>
    </row>
    <row r="182">
      <c r="B182" s="7" t="inlineStr">
        <is>
          <t xml:space="preserve">  ↳ DRPlasmaTankWeapon</t>
        </is>
      </c>
      <c r="C182" s="7" t="inlineStr">
        <is>
          <t>Armament@plasma</t>
        </is>
      </c>
      <c r="L182" s="6" t="n">
        <v>6250</v>
      </c>
      <c r="M182" s="6" t="n">
        <v>21</v>
      </c>
      <c r="N182" s="6" t="n">
        <v>1</v>
      </c>
      <c r="O182" s="6" t="n"/>
      <c r="P182" s="6" t="n">
        <v>5120</v>
      </c>
      <c r="Q182" s="6" t="n">
        <v>1</v>
      </c>
      <c r="R182">
        <f>M182+IF(MAX(N182-1,0)&gt;0,IF(ISBLANK(O182),5*MAX(N182-1,0),IF(ISNUMBER(O182),O182*MAX(N182-1,0),SUM(IFERROR(VALUE(TEXTSPLIT(O182,",")),0)))),0)</f>
        <v/>
      </c>
      <c r="S182">
        <f>IFERROR(L182*MAX(N182,1)/R182*IF(ISBLANK(K171),1,K171),0)</f>
        <v/>
      </c>
      <c r="AB182" s="7" t="inlineStr">
        <is>
          <t>^DRPlasmaWeapon</t>
        </is>
      </c>
    </row>
    <row r="183">
      <c r="B183" s="7" t="inlineStr">
        <is>
          <t xml:space="preserve">  ↳ SWLaserG</t>
        </is>
      </c>
      <c r="C183" s="7" t="inlineStr">
        <is>
          <t>Armament@litlaser</t>
        </is>
      </c>
      <c r="L183" s="6" t="n">
        <v>2000</v>
      </c>
      <c r="M183" s="6" t="n">
        <v>30</v>
      </c>
      <c r="N183" s="6" t="n">
        <v>6</v>
      </c>
      <c r="O183" s="6" t="n"/>
      <c r="P183" s="6" t="n">
        <v>6144</v>
      </c>
      <c r="Q183" s="6" t="n">
        <v>1</v>
      </c>
      <c r="R183">
        <f>M183+IF(MAX(N183-1,0)&gt;0,IF(ISBLANK(O183),5*MAX(N183-1,0),IF(ISNUMBER(O183),O183*MAX(N183-1,0),SUM(IFERROR(VALUE(TEXTSPLIT(O183,",")),0)))),0)</f>
        <v/>
      </c>
      <c r="S183">
        <f>IFERROR(L183*MAX(N183,1)/R183*IF(ISBLANK(K171),1,K171),0)</f>
        <v/>
      </c>
      <c r="AB183" s="7" t="inlineStr">
        <is>
          <t>SWLaser</t>
        </is>
      </c>
    </row>
    <row r="184">
      <c r="B184" s="7" t="inlineStr">
        <is>
          <t xml:space="preserve">  ↳ USALaserCannonAG</t>
        </is>
      </c>
      <c r="C184" s="7" t="inlineStr">
        <is>
          <t>Armament@medlaser</t>
        </is>
      </c>
      <c r="L184" s="6" t="n">
        <v>4000</v>
      </c>
      <c r="M184" s="6" t="n">
        <v>50</v>
      </c>
      <c r="N184" s="6" t="n">
        <v>3</v>
      </c>
      <c r="O184" s="6" t="n">
        <v>6</v>
      </c>
      <c r="P184" s="6" t="n">
        <v>7168</v>
      </c>
      <c r="Q184" s="6" t="n">
        <v>1</v>
      </c>
      <c r="R184">
        <f>M184+IF(MAX(N184-1,0)&gt;0,IF(ISBLANK(O184),5*MAX(N184-1,0),IF(ISNUMBER(O184),O184*MAX(N184-1,0),SUM(IFERROR(VALUE(TEXTSPLIT(O184,",")),0)))),0)</f>
        <v/>
      </c>
      <c r="S184">
        <f>IFERROR(L184*MAX(N184,1)/R184*IF(ISBLANK(K171),1,K171),0)</f>
        <v/>
      </c>
      <c r="AB184" s="7" t="inlineStr">
        <is>
          <t>^AntiGroundMissile</t>
        </is>
      </c>
    </row>
    <row r="185">
      <c r="B185" s="7" t="inlineStr">
        <is>
          <t xml:space="preserve">  ↳ SWGreenLaserG</t>
        </is>
      </c>
      <c r="C185" s="7" t="inlineStr">
        <is>
          <t>Armament@greenlaser</t>
        </is>
      </c>
      <c r="L185" s="6" t="n">
        <v>5000</v>
      </c>
      <c r="M185" s="6" t="n">
        <v>75</v>
      </c>
      <c r="N185" s="6" t="n">
        <v>1</v>
      </c>
      <c r="O185" s="6" t="n"/>
      <c r="P185" s="6" t="n">
        <v>7168</v>
      </c>
      <c r="Q185" s="6" t="n">
        <v>1</v>
      </c>
      <c r="R185">
        <f>M185+IF(MAX(N185-1,0)&gt;0,IF(ISBLANK(O185),5*MAX(N185-1,0),IF(ISNUMBER(O185),O185*MAX(N185-1,0),SUM(IFERROR(VALUE(TEXTSPLIT(O185,",")),0)))),0)</f>
        <v/>
      </c>
      <c r="S185">
        <f>IFERROR(L185*MAX(N185,1)/R185*IF(ISBLANK(K171),1,K171),0)</f>
        <v/>
      </c>
      <c r="AB185" s="7" t="inlineStr">
        <is>
          <t>SWGreenLaser</t>
        </is>
      </c>
    </row>
    <row r="186">
      <c r="B186" s="7" t="inlineStr">
        <is>
          <t xml:space="preserve">  ↳ SWGBigRedLaserG</t>
        </is>
      </c>
      <c r="C186" s="7" t="inlineStr">
        <is>
          <t>Armament@misslaser</t>
        </is>
      </c>
      <c r="L186" s="6" t="n">
        <v>4000</v>
      </c>
      <c r="M186" s="6" t="n">
        <v>75</v>
      </c>
      <c r="N186" s="6" t="n">
        <v>1</v>
      </c>
      <c r="O186" s="6" t="n"/>
      <c r="P186" s="6" t="n">
        <v>8192</v>
      </c>
      <c r="Q186" s="6" t="n">
        <v>1</v>
      </c>
      <c r="R186">
        <f>M186+IF(MAX(N186-1,0)&gt;0,IF(ISBLANK(O186),5*MAX(N186-1,0),IF(ISNUMBER(O186),O186*MAX(N186-1,0),SUM(IFERROR(VALUE(TEXTSPLIT(O186,",")),0)))),0)</f>
        <v/>
      </c>
      <c r="S186">
        <f>IFERROR(L186*MAX(N186,1)/R186*IF(ISBLANK(K171),1,K171),0)</f>
        <v/>
      </c>
      <c r="AB186" s="7" t="inlineStr">
        <is>
          <t>SWrBigRedLaser</t>
        </is>
      </c>
    </row>
    <row r="187">
      <c r="B187" s="7" t="inlineStr">
        <is>
          <t xml:space="preserve">  ↳ BigFlamer</t>
        </is>
      </c>
      <c r="C187" s="7" t="inlineStr">
        <is>
          <t>Armament@fire</t>
        </is>
      </c>
      <c r="L187" s="6" t="n">
        <v>14000</v>
      </c>
      <c r="M187" s="6" t="n">
        <v>50</v>
      </c>
      <c r="N187" s="6" t="n">
        <v>2</v>
      </c>
      <c r="O187" s="6" t="n">
        <v>10</v>
      </c>
      <c r="P187" s="6" t="n">
        <v>2390</v>
      </c>
      <c r="Q187" s="6" t="n">
        <v>1</v>
      </c>
      <c r="R187">
        <f>M187+IF(MAX(N187-1,0)&gt;0,IF(ISBLANK(O187),5*MAX(N187-1,0),IF(ISNUMBER(O187),O187*MAX(N187-1,0),SUM(IFERROR(VALUE(TEXTSPLIT(O187,",")),0)))),0)</f>
        <v/>
      </c>
      <c r="S187">
        <f>IFERROR(L187*MAX(N187,1)/R187*IF(ISBLANK(K171),1,K171),0)</f>
        <v/>
      </c>
      <c r="AB187" s="7" t="inlineStr">
        <is>
          <t>^Warhead_Flame_Medium</t>
        </is>
      </c>
    </row>
    <row r="188">
      <c r="B188" s="7" t="inlineStr">
        <is>
          <t xml:space="preserve">  ↳ RA2RadBeamWeapon</t>
        </is>
      </c>
      <c r="C188" s="7" t="inlineStr">
        <is>
          <t>Armament@chem</t>
        </is>
      </c>
      <c r="L188" s="6" t="n">
        <v>30000</v>
      </c>
      <c r="M188" s="6" t="n">
        <v>45</v>
      </c>
      <c r="N188" s="6" t="n">
        <v>1</v>
      </c>
      <c r="O188" s="6" t="n"/>
      <c r="P188" s="6" t="n">
        <v>6444</v>
      </c>
      <c r="Q188" s="6" t="n">
        <v>1</v>
      </c>
      <c r="R188">
        <f>M188+IF(MAX(N188-1,0)&gt;0,IF(ISBLANK(O188),5*MAX(N188-1,0),IF(ISNUMBER(O188),O188*MAX(N188-1,0),SUM(IFERROR(VALUE(TEXTSPLIT(O188,",")),0)))),0)</f>
        <v/>
      </c>
      <c r="S188">
        <f>IFERROR(L188*MAX(N188,1)/R188*IF(ISBLANK(K171),1,K171),0)</f>
        <v/>
      </c>
      <c r="AB188" s="7" t="inlineStr">
        <is>
          <t>^Warhead_Chemical_Medium</t>
        </is>
      </c>
    </row>
    <row r="189">
      <c r="B189" s="7" t="inlineStr">
        <is>
          <t xml:space="preserve">  ↳ RA2RadBeamWeapon</t>
        </is>
      </c>
      <c r="C189" s="7" t="inlineStr">
        <is>
          <t>Armament@thrax</t>
        </is>
      </c>
      <c r="L189" s="6" t="n">
        <v>30000</v>
      </c>
      <c r="M189" s="6" t="n">
        <v>45</v>
      </c>
      <c r="N189" s="6" t="n">
        <v>1</v>
      </c>
      <c r="O189" s="6" t="n"/>
      <c r="P189" s="6" t="n">
        <v>6444</v>
      </c>
      <c r="Q189" s="6" t="n">
        <v>1</v>
      </c>
      <c r="R189">
        <f>M189+IF(MAX(N189-1,0)&gt;0,IF(ISBLANK(O189),5*MAX(N189-1,0),IF(ISNUMBER(O189),O189*MAX(N189-1,0),SUM(IFERROR(VALUE(TEXTSPLIT(O189,",")),0)))),0)</f>
        <v/>
      </c>
      <c r="S189">
        <f>IFERROR(L189*MAX(N189,1)/R189*IF(ISBLANK(K171),1,K171),0)</f>
        <v/>
      </c>
      <c r="AB189" s="7" t="inlineStr">
        <is>
          <t>^Warhead_Chemical_Medium</t>
        </is>
      </c>
    </row>
    <row r="190">
      <c r="B190" s="7" t="inlineStr">
        <is>
          <t xml:space="preserve">  ↳ RA2MultiHoverMissile</t>
        </is>
      </c>
      <c r="C190" s="7" t="inlineStr">
        <is>
          <t>Armament@missile</t>
        </is>
      </c>
      <c r="L190" s="6" t="n">
        <v>4000</v>
      </c>
      <c r="M190" s="6" t="n">
        <v>20</v>
      </c>
      <c r="N190" s="6" t="n">
        <v>4</v>
      </c>
      <c r="O190" s="6" t="n"/>
      <c r="P190" s="6" t="n">
        <v>6170</v>
      </c>
      <c r="Q190" s="6" t="n">
        <v>0.875</v>
      </c>
      <c r="R190">
        <f>M190+IF(MAX(N190-1,0)&gt;0,IF(ISBLANK(O190),5*MAX(N190-1,0),IF(ISNUMBER(O190),O190*MAX(N190-1,0),SUM(IFERROR(VALUE(TEXTSPLIT(O190,",")),0)))),0)</f>
        <v/>
      </c>
      <c r="S190">
        <f>IFERROR(L190*MAX(N190,1)/R190*IF(ISBLANK(K171),1,K171),0)</f>
        <v/>
      </c>
      <c r="AB190" s="7" t="inlineStr">
        <is>
          <t>^Warhead_CannonHE_Medium, ^Warhead_MissileHE_Light</t>
        </is>
      </c>
    </row>
    <row r="191">
      <c r="B191" s="7" t="inlineStr">
        <is>
          <t xml:space="preserve">  ↳ IFVChronoBeam</t>
        </is>
      </c>
      <c r="C191" s="7" t="inlineStr">
        <is>
          <t>Armament@chrono</t>
        </is>
      </c>
      <c r="M191" s="6" t="n">
        <v>1</v>
      </c>
      <c r="N191" s="6" t="n">
        <v>1</v>
      </c>
      <c r="O191" s="6" t="n"/>
      <c r="P191" s="6" t="n">
        <v>7500</v>
      </c>
      <c r="Q191" s="6" t="n">
        <v>1</v>
      </c>
      <c r="R191">
        <f>M191+IF(MAX(N191-1,0)&gt;0,IF(ISBLANK(O191),5*MAX(N191-1,0),IF(ISNUMBER(O191),O191*MAX(N191-1,0),SUM(IFERROR(VALUE(TEXTSPLIT(O191,",")),0)))),0)</f>
        <v/>
      </c>
      <c r="S191">
        <f>IFERROR(L191*MAX(N191,1)/R191*IF(ISBLANK(K171),1,K171),0)</f>
        <v/>
      </c>
      <c r="AB191" s="7" t="inlineStr">
        <is>
          <t>ChronoBeam</t>
        </is>
      </c>
    </row>
    <row r="192">
      <c r="B192" s="7" t="inlineStr">
        <is>
          <t xml:space="preserve">  ↳ IFVChronoSound</t>
        </is>
      </c>
      <c r="C192" s="7" t="inlineStr">
        <is>
          <t>Armament@chronosound</t>
        </is>
      </c>
      <c r="M192" s="6" t="n">
        <v>180</v>
      </c>
      <c r="N192" s="6" t="n">
        <v>1</v>
      </c>
      <c r="O192" s="6" t="n"/>
      <c r="P192" s="6" t="n">
        <v>8000</v>
      </c>
      <c r="Q192" s="6" t="n">
        <v>1</v>
      </c>
      <c r="R192">
        <f>M192+IF(MAX(N192-1,0)&gt;0,IF(ISBLANK(O192),5*MAX(N192-1,0),IF(ISNUMBER(O192),O192*MAX(N192-1,0),SUM(IFERROR(VALUE(TEXTSPLIT(O192,",")),0)))),0)</f>
        <v/>
      </c>
      <c r="S192">
        <f>IFERROR(L192*MAX(N192,1)/R192*IF(ISBLANK(K171),1,K171),0)</f>
        <v/>
      </c>
      <c r="AB192" s="7" t="inlineStr">
        <is>
          <t>RA2ChronoTele</t>
        </is>
      </c>
    </row>
    <row r="193">
      <c r="B193" s="7" t="inlineStr">
        <is>
          <t xml:space="preserve">  ↳ DemoTruckTargeting</t>
        </is>
      </c>
      <c r="C193" s="7" t="inlineStr">
        <is>
          <t>Armament@ivan</t>
        </is>
      </c>
      <c r="M193" s="6" t="n">
        <v>1</v>
      </c>
      <c r="N193" s="6" t="n">
        <v>1</v>
      </c>
      <c r="O193" s="6" t="n"/>
      <c r="P193" s="6" t="n">
        <v>2000</v>
      </c>
      <c r="Q193" s="6" t="n">
        <v>1</v>
      </c>
      <c r="R193">
        <f>M193+IF(MAX(N193-1,0)&gt;0,IF(ISBLANK(O193),5*MAX(N193-1,0),IF(ISNUMBER(O193),O193*MAX(N193-1,0),SUM(IFERROR(VALUE(TEXTSPLIT(O193,",")),0)))),0)</f>
        <v/>
      </c>
      <c r="S193">
        <f>IFERROR(L193*MAX(N193,1)/R193*IF(ISBLANK(K171),1,K171),0)</f>
        <v/>
      </c>
      <c r="AB193" s="7" t="inlineStr"/>
    </row>
    <row r="194">
      <c r="B194" s="7" t="inlineStr">
        <is>
          <t xml:space="preserve">  ↳ Fremen_L</t>
        </is>
      </c>
      <c r="C194" s="7" t="inlineStr">
        <is>
          <t>Armament@fremen</t>
        </is>
      </c>
      <c r="L194" s="6" t="n">
        <v>3000</v>
      </c>
      <c r="M194" s="6" t="n">
        <v>25</v>
      </c>
      <c r="N194" s="6" t="n">
        <v>1</v>
      </c>
      <c r="O194" s="6" t="n"/>
      <c r="P194" s="6" t="n">
        <v>2560</v>
      </c>
      <c r="Q194" s="6" t="n">
        <v>1</v>
      </c>
      <c r="R194">
        <f>M194+IF(MAX(N194-1,0)&gt;0,IF(ISBLANK(O194),5*MAX(N194-1,0),IF(ISNUMBER(O194),O194*MAX(N194-1,0),SUM(IFERROR(VALUE(TEXTSPLIT(O194,",")),0)))),0)</f>
        <v/>
      </c>
      <c r="S194">
        <f>IFERROR(L194*MAX(N194,1)/R194*IF(ISBLANK(K171),1,K171),0)</f>
        <v/>
      </c>
      <c r="AB194" s="7" t="inlineStr">
        <is>
          <t>M_HMG</t>
        </is>
      </c>
    </row>
    <row r="195">
      <c r="B195" s="7" t="inlineStr">
        <is>
          <t xml:space="preserve">  ↳ TSSonicZap</t>
        </is>
      </c>
      <c r="C195" s="7" t="inlineStr">
        <is>
          <t>Armament@sonic</t>
        </is>
      </c>
      <c r="L195" s="6" t="n">
        <v>5000</v>
      </c>
      <c r="M195" s="6" t="n">
        <v>60</v>
      </c>
      <c r="N195" s="6" t="n">
        <v>1</v>
      </c>
      <c r="O195" s="6" t="n"/>
      <c r="P195" s="6" t="n">
        <v>6144</v>
      </c>
      <c r="Q195" s="6" t="n">
        <v>1</v>
      </c>
      <c r="R195">
        <f>M195+IF(MAX(N195-1,0)&gt;0,IF(ISBLANK(O195),5*MAX(N195-1,0),IF(ISNUMBER(O195),O195*MAX(N195-1,0),SUM(IFERROR(VALUE(TEXTSPLIT(O195,",")),0)))),0)</f>
        <v/>
      </c>
      <c r="S195">
        <f>IFERROR(L195*MAX(N195,1)/R195*IF(ISBLANK(K171),1,K171),0)</f>
        <v/>
      </c>
      <c r="AB195" s="7" t="inlineStr"/>
    </row>
    <row r="196">
      <c r="B196" s="7" t="inlineStr">
        <is>
          <t xml:space="preserve">  ↳ MedicHeal</t>
        </is>
      </c>
      <c r="C196" s="7" t="inlineStr">
        <is>
          <t>Armament@heal</t>
        </is>
      </c>
      <c r="L196" s="6" t="n">
        <v>-3000</v>
      </c>
      <c r="M196" s="6" t="n">
        <v>10</v>
      </c>
      <c r="N196" s="6" t="n">
        <v>1</v>
      </c>
      <c r="O196" s="6" t="n"/>
      <c r="P196" s="6" t="n">
        <v>6000</v>
      </c>
      <c r="Q196" s="6" t="n">
        <v>1</v>
      </c>
      <c r="R196">
        <f>M196+IF(MAX(N196-1,0)&gt;0,IF(ISBLANK(O196),5*MAX(N196-1,0),IF(ISNUMBER(O196),O196*MAX(N196-1,0),SUM(IFERROR(VALUE(TEXTSPLIT(O196,",")),0)))),0)</f>
        <v/>
      </c>
      <c r="S196">
        <f>IFERROR(L196*MAX(N196,1)/R196*IF(ISBLANK(K171),1,K171),0)</f>
        <v/>
      </c>
      <c r="AB196" s="7" t="inlineStr">
        <is>
          <t>^HealingWeapon</t>
        </is>
      </c>
    </row>
    <row r="197">
      <c r="B197" s="7" t="inlineStr">
        <is>
          <t xml:space="preserve">  ↳ RA2HoverMissile</t>
        </is>
      </c>
      <c r="C197" s="7" t="inlineStr">
        <is>
          <t>Armament@primary</t>
        </is>
      </c>
      <c r="L197" s="6" t="n">
        <v>12000</v>
      </c>
      <c r="M197" s="6" t="n">
        <v>28</v>
      </c>
      <c r="N197" s="6" t="n">
        <v>2</v>
      </c>
      <c r="O197" s="6" t="n">
        <v>4</v>
      </c>
      <c r="P197" s="6" t="n">
        <v>5760</v>
      </c>
      <c r="Q197" s="6" t="n">
        <v>0.75</v>
      </c>
      <c r="R197">
        <f>M197+IF(MAX(N197-1,0)&gt;0,IF(ISBLANK(O197),5*MAX(N197-1,0),IF(ISNUMBER(O197),O197*MAX(N197-1,0),SUM(IFERROR(VALUE(TEXTSPLIT(O197,",")),0)))),0)</f>
        <v/>
      </c>
      <c r="S197">
        <f>IFERROR(L197*MAX(N197,1)/R197*IF(ISBLANK(K171),1,K171),0)</f>
        <v/>
      </c>
      <c r="AB197" s="7" t="inlineStr">
        <is>
          <t>^Warhead_Arrow_Light, ^Warhead_MissileAP_Light</t>
        </is>
      </c>
    </row>
    <row r="198">
      <c r="B198" s="7" t="inlineStr">
        <is>
          <t xml:space="preserve">  ↳ RA2HoverMissile_elite</t>
        </is>
      </c>
      <c r="C198" s="7" t="inlineStr">
        <is>
          <t>Armament@primaryelite</t>
        </is>
      </c>
      <c r="L198" s="6" t="n">
        <v>12000</v>
      </c>
      <c r="M198" s="6" t="n">
        <v>28</v>
      </c>
      <c r="N198" s="6" t="n">
        <v>4</v>
      </c>
      <c r="O198" s="6" t="n">
        <v>4</v>
      </c>
      <c r="P198" s="6" t="n">
        <v>6760</v>
      </c>
      <c r="Q198" s="6" t="n">
        <v>0.75</v>
      </c>
      <c r="R198">
        <f>M198+IF(MAX(N198-1,0)&gt;0,IF(ISBLANK(O198),5*MAX(N198-1,0),IF(ISNUMBER(O198),O198*MAX(N198-1,0),SUM(IFERROR(VALUE(TEXTSPLIT(O198,",")),0)))),0)</f>
        <v/>
      </c>
      <c r="S198">
        <f>IFERROR(L198*MAX(N198,1)/R198*IF(ISBLANK(K171),1,K171),0)</f>
        <v/>
      </c>
      <c r="AB198" s="7" t="inlineStr">
        <is>
          <t>^Warhead_Arrow_Light, ^Warhead_MissileAP_Light</t>
        </is>
      </c>
    </row>
    <row r="199">
      <c r="B199" s="7" t="inlineStr">
        <is>
          <t xml:space="preserve">  ↳ RA2HoverMissile_AA</t>
        </is>
      </c>
      <c r="C199" s="7" t="inlineStr">
        <is>
          <t>Armament@primaryAA</t>
        </is>
      </c>
      <c r="L199" s="6" t="n">
        <v>12000</v>
      </c>
      <c r="M199" s="6" t="n">
        <v>28</v>
      </c>
      <c r="N199" s="6" t="n">
        <v>2</v>
      </c>
      <c r="O199" s="6" t="n">
        <v>4</v>
      </c>
      <c r="P199" s="6" t="n">
        <v>8640</v>
      </c>
      <c r="Q199" s="6" t="n">
        <v>0.75</v>
      </c>
      <c r="R199">
        <f>M199+IF(MAX(N199-1,0)&gt;0,IF(ISBLANK(O199),5*MAX(N199-1,0),IF(ISNUMBER(O199),O199*MAX(N199-1,0),SUM(IFERROR(VALUE(TEXTSPLIT(O199,",")),0)))),0)</f>
        <v/>
      </c>
      <c r="S199">
        <f>IFERROR(L199*MAX(N199,1)/R199*IF(ISBLANK(K171),1,K171),0)</f>
        <v/>
      </c>
      <c r="AB199" s="7" t="inlineStr">
        <is>
          <t>^Warhead_Arrow_Light, ^Warhead_MissileAP_Light</t>
        </is>
      </c>
    </row>
    <row r="200">
      <c r="B200" s="7" t="inlineStr">
        <is>
          <t xml:space="preserve">  ↳ RA2HoverMissile_AA_elite</t>
        </is>
      </c>
      <c r="C200" s="7" t="inlineStr">
        <is>
          <t>Armament@primaryeliteAA</t>
        </is>
      </c>
      <c r="L200" s="6" t="n">
        <v>12000</v>
      </c>
      <c r="M200" s="6" t="n">
        <v>28</v>
      </c>
      <c r="N200" s="6" t="n">
        <v>4</v>
      </c>
      <c r="O200" s="6" t="n">
        <v>4</v>
      </c>
      <c r="P200" s="6" t="n">
        <v>9640</v>
      </c>
      <c r="Q200" s="6" t="n">
        <v>0.75</v>
      </c>
      <c r="R200">
        <f>M200+IF(MAX(N200-1,0)&gt;0,IF(ISBLANK(O200),5*MAX(N200-1,0),IF(ISNUMBER(O200),O200*MAX(N200-1,0),SUM(IFERROR(VALUE(TEXTSPLIT(O200,",")),0)))),0)</f>
        <v/>
      </c>
      <c r="S200">
        <f>IFERROR(L200*MAX(N200,1)/R200*IF(ISBLANK(K171),1,K171),0)</f>
        <v/>
      </c>
      <c r="AB200" s="7" t="inlineStr">
        <is>
          <t>^Warhead_Arrow_Light, ^Warhead_MissileAP_Light</t>
        </is>
      </c>
    </row>
    <row r="201">
      <c r="B201" s="7" t="inlineStr">
        <is>
          <t xml:space="preserve">  ↳ RA2ThunderboltMissile</t>
        </is>
      </c>
      <c r="C201" s="7" t="inlineStr">
        <is>
          <t>Armament@primaryThunderbolt</t>
        </is>
      </c>
      <c r="L201" s="6" t="n">
        <v>4000</v>
      </c>
      <c r="M201" s="6" t="n">
        <v>25</v>
      </c>
      <c r="N201" s="6" t="n">
        <v>1</v>
      </c>
      <c r="O201" s="6" t="n"/>
      <c r="P201" s="6" t="n">
        <v>5120</v>
      </c>
      <c r="Q201" s="6" t="n">
        <v>1</v>
      </c>
      <c r="R201">
        <f>M201+IF(MAX(N201-1,0)&gt;0,IF(ISBLANK(O201),5*MAX(N201-1,0),IF(ISNUMBER(O201),O201*MAX(N201-1,0),SUM(IFERROR(VALUE(TEXTSPLIT(O201,",")),0)))),0)</f>
        <v/>
      </c>
      <c r="S201">
        <f>IFERROR(L201*MAX(N201,1)/R201*IF(ISBLANK(K171),1,K171),0)</f>
        <v/>
      </c>
      <c r="AB201" s="7" t="inlineStr">
        <is>
          <t>^Warhead_MissileHE_Heavy, ^Warhead_MissileHE_Light</t>
        </is>
      </c>
    </row>
    <row r="202">
      <c r="B202" s="7" t="inlineStr">
        <is>
          <t xml:space="preserve">  ↳ RA2ThunderboltMissile_elite</t>
        </is>
      </c>
      <c r="C202" s="7" t="inlineStr">
        <is>
          <t>Armament@primaryeliteThunderbolt</t>
        </is>
      </c>
      <c r="L202" s="6" t="n">
        <v>4000</v>
      </c>
      <c r="M202" s="6" t="n">
        <v>25</v>
      </c>
      <c r="N202" s="6" t="n">
        <v>4</v>
      </c>
      <c r="O202" s="6" t="n"/>
      <c r="P202" s="6" t="n">
        <v>6760</v>
      </c>
      <c r="Q202" s="6" t="n">
        <v>1</v>
      </c>
      <c r="R202">
        <f>M202+IF(MAX(N202-1,0)&gt;0,IF(ISBLANK(O202),5*MAX(N202-1,0),IF(ISNUMBER(O202),O202*MAX(N202-1,0),SUM(IFERROR(VALUE(TEXTSPLIT(O202,",")),0)))),0)</f>
        <v/>
      </c>
      <c r="S202">
        <f>IFERROR(L202*MAX(N202,1)/R202*IF(ISBLANK(K171),1,K171),0)</f>
        <v/>
      </c>
      <c r="AB202" s="7" t="inlineStr">
        <is>
          <t>^Warhead_MissileHE_Heavy, ^Warhead_MissileHE_Light</t>
        </is>
      </c>
    </row>
    <row r="203">
      <c r="B203" s="7" t="inlineStr">
        <is>
          <t xml:space="preserve">  ↳ RA2ThunderboltMissile_AA</t>
        </is>
      </c>
      <c r="C203" s="7" t="inlineStr">
        <is>
          <t>Armament@primaryAAThunderbolt</t>
        </is>
      </c>
      <c r="L203" s="6" t="n">
        <v>4000</v>
      </c>
      <c r="M203" s="6" t="n">
        <v>25</v>
      </c>
      <c r="N203" s="6" t="n">
        <v>1</v>
      </c>
      <c r="O203" s="6" t="n"/>
      <c r="P203" s="6" t="n">
        <v>8640</v>
      </c>
      <c r="Q203" s="6" t="n">
        <v>1</v>
      </c>
      <c r="R203">
        <f>M203+IF(MAX(N203-1,0)&gt;0,IF(ISBLANK(O203),5*MAX(N203-1,0),IF(ISNUMBER(O203),O203*MAX(N203-1,0),SUM(IFERROR(VALUE(TEXTSPLIT(O203,",")),0)))),0)</f>
        <v/>
      </c>
      <c r="S203">
        <f>IFERROR(L203*MAX(N203,1)/R203*IF(ISBLANK(K171),1,K171),0)</f>
        <v/>
      </c>
      <c r="AB203" s="7" t="inlineStr">
        <is>
          <t>^Warhead_MissileHE_Heavy, ^Warhead_MissileHE_Light</t>
        </is>
      </c>
    </row>
    <row r="204">
      <c r="B204" s="7" t="inlineStr">
        <is>
          <t xml:space="preserve">  ↳ RA2ThunderboltMissile_AA_elite</t>
        </is>
      </c>
      <c r="C204" s="7" t="inlineStr">
        <is>
          <t>Armament@primaryeliteAAThunderbolt</t>
        </is>
      </c>
      <c r="L204" s="6" t="n">
        <v>4000</v>
      </c>
      <c r="M204" s="6" t="n">
        <v>25</v>
      </c>
      <c r="N204" s="6" t="n">
        <v>4</v>
      </c>
      <c r="O204" s="6" t="n"/>
      <c r="P204" s="6" t="n">
        <v>9640</v>
      </c>
      <c r="Q204" s="6" t="n">
        <v>1</v>
      </c>
      <c r="R204">
        <f>M204+IF(MAX(N204-1,0)&gt;0,IF(ISBLANK(O204),5*MAX(N204-1,0),IF(ISNUMBER(O204),O204*MAX(N204-1,0),SUM(IFERROR(VALUE(TEXTSPLIT(O204,",")),0)))),0)</f>
        <v/>
      </c>
      <c r="S204">
        <f>IFERROR(L204*MAX(N204,1)/R204*IF(ISBLANK(K171),1,K171),0)</f>
        <v/>
      </c>
      <c r="AB204" s="7" t="inlineStr">
        <is>
          <t>^Warhead_MissileHE_Heavy, ^Warhead_MissileHE_Light</t>
        </is>
      </c>
    </row>
    <row r="205">
      <c r="B205" s="7" t="inlineStr">
        <is>
          <t xml:space="preserve">  ↳ RA2MultiHoverMissile_elite</t>
        </is>
      </c>
      <c r="C205" s="7" t="inlineStr">
        <is>
          <t>Armament@missileelite</t>
        </is>
      </c>
      <c r="L205" s="6" t="n">
        <v>4000</v>
      </c>
      <c r="M205" s="6" t="n">
        <v>20</v>
      </c>
      <c r="N205" s="6" t="n">
        <v>4</v>
      </c>
      <c r="O205" s="6" t="n"/>
      <c r="P205" s="6" t="n">
        <v>7170</v>
      </c>
      <c r="Q205" s="6" t="n">
        <v>0.875</v>
      </c>
      <c r="R205">
        <f>M205+IF(MAX(N205-1,0)&gt;0,IF(ISBLANK(O205),5*MAX(N205-1,0),IF(ISNUMBER(O205),O205*MAX(N205-1,0),SUM(IFERROR(VALUE(TEXTSPLIT(O205,",")),0)))),0)</f>
        <v/>
      </c>
      <c r="S205">
        <f>IFERROR(L205*MAX(N205,1)/R205*IF(ISBLANK(K171),1,K171),0)</f>
        <v/>
      </c>
      <c r="AB205" s="7" t="inlineStr">
        <is>
          <t>^Warhead_CannonHE_Medium, ^Warhead_MissileHE_Light</t>
        </is>
      </c>
    </row>
    <row r="206">
      <c r="B206" s="7" t="inlineStr">
        <is>
          <t xml:space="preserve">  ↳ RA2MultiHoverMissile_AA</t>
        </is>
      </c>
      <c r="C206" s="7" t="inlineStr">
        <is>
          <t>Armament@missileAA</t>
        </is>
      </c>
      <c r="L206" s="6" t="n">
        <v>4000</v>
      </c>
      <c r="M206" s="6" t="n">
        <v>20</v>
      </c>
      <c r="N206" s="6" t="n">
        <v>4</v>
      </c>
      <c r="O206" s="6" t="n"/>
      <c r="P206" s="6" t="n">
        <v>9255</v>
      </c>
      <c r="Q206" s="6" t="n">
        <v>0.875</v>
      </c>
      <c r="R206">
        <f>M206+IF(MAX(N206-1,0)&gt;0,IF(ISBLANK(O206),5*MAX(N206-1,0),IF(ISNUMBER(O206),O206*MAX(N206-1,0),SUM(IFERROR(VALUE(TEXTSPLIT(O206,",")),0)))),0)</f>
        <v/>
      </c>
      <c r="S206">
        <f>IFERROR(L206*MAX(N206,1)/R206*IF(ISBLANK(K171),1,K171),0)</f>
        <v/>
      </c>
      <c r="AB206" s="7" t="inlineStr">
        <is>
          <t>^Warhead_CannonHE_Medium, ^Warhead_MissileHE_Light</t>
        </is>
      </c>
    </row>
    <row r="207">
      <c r="B207" s="7" t="inlineStr">
        <is>
          <t xml:space="preserve">  ↳ RA2MultiHoverMissile_AA_elite</t>
        </is>
      </c>
      <c r="C207" s="7" t="inlineStr">
        <is>
          <t>Armament@missileeliteAA</t>
        </is>
      </c>
      <c r="L207" s="6" t="n">
        <v>4000</v>
      </c>
      <c r="M207" s="6" t="n">
        <v>20</v>
      </c>
      <c r="N207" s="6" t="n">
        <v>4</v>
      </c>
      <c r="O207" s="6" t="n"/>
      <c r="P207" s="6" t="n">
        <v>10255</v>
      </c>
      <c r="Q207" s="6" t="n">
        <v>0.875</v>
      </c>
      <c r="R207">
        <f>M207+IF(MAX(N207-1,0)&gt;0,IF(ISBLANK(O207),5*MAX(N207-1,0),IF(ISNUMBER(O207),O207*MAX(N207-1,0),SUM(IFERROR(VALUE(TEXTSPLIT(O207,",")),0)))),0)</f>
        <v/>
      </c>
      <c r="S207">
        <f>IFERROR(L207*MAX(N207,1)/R207*IF(ISBLANK(K171),1,K171),0)</f>
        <v/>
      </c>
      <c r="AB207" s="7" t="inlineStr">
        <is>
          <t>^Warhead_CannonHE_Medium, ^Warhead_MissileHE_Light</t>
        </is>
      </c>
    </row>
    <row r="208">
      <c r="B208" s="7" t="inlineStr">
        <is>
          <t xml:space="preserve">  ↳ RA2MultiThunderboltMissile</t>
        </is>
      </c>
      <c r="C208" s="7" t="inlineStr">
        <is>
          <t>Armament@missileThunderbolt</t>
        </is>
      </c>
      <c r="L208" s="6" t="n">
        <v>4000</v>
      </c>
      <c r="M208" s="6" t="n">
        <v>25</v>
      </c>
      <c r="N208" s="6" t="n">
        <v>1</v>
      </c>
      <c r="O208" s="6" t="n"/>
      <c r="P208" s="6" t="n">
        <v>5120</v>
      </c>
      <c r="Q208" s="6" t="n">
        <v>1</v>
      </c>
      <c r="R208">
        <f>M208+IF(MAX(N208-1,0)&gt;0,IF(ISBLANK(O208),5*MAX(N208-1,0),IF(ISNUMBER(O208),O208*MAX(N208-1,0),SUM(IFERROR(VALUE(TEXTSPLIT(O208,",")),0)))),0)</f>
        <v/>
      </c>
      <c r="S208">
        <f>IFERROR(L208*MAX(N208,1)/R208*IF(ISBLANK(K171),1,K171),0)</f>
        <v/>
      </c>
      <c r="AB208" s="7" t="inlineStr">
        <is>
          <t>^Warhead_MissileHE_Heavy, ^Warhead_MissileHE_Light</t>
        </is>
      </c>
    </row>
    <row r="209">
      <c r="B209" s="7" t="inlineStr">
        <is>
          <t xml:space="preserve">  ↳ RA2MultiThunderboltMissile_elite</t>
        </is>
      </c>
      <c r="C209" s="7" t="inlineStr">
        <is>
          <t>Armament@missileeliteThunderbolt</t>
        </is>
      </c>
      <c r="L209" s="6" t="n">
        <v>4000</v>
      </c>
      <c r="M209" s="6" t="n">
        <v>25</v>
      </c>
      <c r="N209" s="6" t="n">
        <v>4</v>
      </c>
      <c r="O209" s="6" t="n"/>
      <c r="P209" s="6" t="n">
        <v>7170</v>
      </c>
      <c r="Q209" s="6" t="n">
        <v>1</v>
      </c>
      <c r="R209">
        <f>M209+IF(MAX(N209-1,0)&gt;0,IF(ISBLANK(O209),5*MAX(N209-1,0),IF(ISNUMBER(O209),O209*MAX(N209-1,0),SUM(IFERROR(VALUE(TEXTSPLIT(O209,",")),0)))),0)</f>
        <v/>
      </c>
      <c r="S209">
        <f>IFERROR(L209*MAX(N209,1)/R209*IF(ISBLANK(K171),1,K171),0)</f>
        <v/>
      </c>
      <c r="AB209" s="7" t="inlineStr">
        <is>
          <t>^Warhead_MissileHE_Heavy, ^Warhead_MissileHE_Light</t>
        </is>
      </c>
    </row>
    <row r="210">
      <c r="B210" s="7" t="inlineStr">
        <is>
          <t xml:space="preserve">  ↳ RA2MultiThunderboltMissile_AA</t>
        </is>
      </c>
      <c r="C210" s="7" t="inlineStr">
        <is>
          <t>Armament@missileAAThunderbolt</t>
        </is>
      </c>
      <c r="L210" s="6" t="n">
        <v>4000</v>
      </c>
      <c r="M210" s="6" t="n">
        <v>25</v>
      </c>
      <c r="N210" s="6" t="n">
        <v>1</v>
      </c>
      <c r="O210" s="6" t="n"/>
      <c r="P210" s="6" t="n">
        <v>9255</v>
      </c>
      <c r="Q210" s="6" t="n">
        <v>1</v>
      </c>
      <c r="R210">
        <f>M210+IF(MAX(N210-1,0)&gt;0,IF(ISBLANK(O210),5*MAX(N210-1,0),IF(ISNUMBER(O210),O210*MAX(N210-1,0),SUM(IFERROR(VALUE(TEXTSPLIT(O210,",")),0)))),0)</f>
        <v/>
      </c>
      <c r="S210">
        <f>IFERROR(L210*MAX(N210,1)/R210*IF(ISBLANK(K171),1,K171),0)</f>
        <v/>
      </c>
      <c r="AB210" s="7" t="inlineStr">
        <is>
          <t>^Warhead_MissileHE_Heavy, ^Warhead_MissileHE_Light</t>
        </is>
      </c>
    </row>
    <row r="211">
      <c r="B211" s="7" t="inlineStr">
        <is>
          <t xml:space="preserve">  ↳ RA2MultiThunderboltMissile_AA_elite</t>
        </is>
      </c>
      <c r="C211" s="7" t="inlineStr">
        <is>
          <t>Armament@missileeliteAAThunderbolt</t>
        </is>
      </c>
      <c r="L211" s="6" t="n">
        <v>4000</v>
      </c>
      <c r="M211" s="6" t="n">
        <v>25</v>
      </c>
      <c r="N211" s="6" t="n">
        <v>4</v>
      </c>
      <c r="O211" s="6" t="n"/>
      <c r="P211" s="6" t="n">
        <v>10255</v>
      </c>
      <c r="Q211" s="6" t="n">
        <v>1</v>
      </c>
      <c r="R211">
        <f>M211+IF(MAX(N211-1,0)&gt;0,IF(ISBLANK(O211),5*MAX(N211-1,0),IF(ISNUMBER(O211),O211*MAX(N211-1,0),SUM(IFERROR(VALUE(TEXTSPLIT(O211,",")),0)))),0)</f>
        <v/>
      </c>
      <c r="S211">
        <f>IFERROR(L211*MAX(N211,1)/R211*IF(ISBLANK(K171),1,K171),0)</f>
        <v/>
      </c>
      <c r="AB211" s="7" t="inlineStr">
        <is>
          <t>^Warhead_MissileHE_Heavy, ^Warhead_MissileHE_Light</t>
        </is>
      </c>
    </row>
    <row r="212">
      <c r="B212" s="7" t="inlineStr">
        <is>
          <t xml:space="preserve">  ↳ MedicHeal</t>
        </is>
      </c>
      <c r="C212" s="7" t="inlineStr">
        <is>
          <t>Armament@healer</t>
        </is>
      </c>
      <c r="L212" s="6" t="n">
        <v>-3000</v>
      </c>
      <c r="M212" s="6" t="n">
        <v>10</v>
      </c>
      <c r="N212" s="6" t="n">
        <v>1</v>
      </c>
      <c r="O212" s="6" t="n"/>
      <c r="P212" s="6" t="n">
        <v>6000</v>
      </c>
      <c r="Q212" s="6" t="n">
        <v>1</v>
      </c>
      <c r="R212">
        <f>M212+IF(MAX(N212-1,0)&gt;0,IF(ISBLANK(O212),5*MAX(N212-1,0),IF(ISNUMBER(O212),O212*MAX(N212-1,0),SUM(IFERROR(VALUE(TEXTSPLIT(O212,",")),0)))),0)</f>
        <v/>
      </c>
      <c r="S212">
        <f>IFERROR(L212*MAX(N212,1)/R212*IF(ISBLANK(K171),1,K171),0)</f>
        <v/>
      </c>
      <c r="AB212" s="7" t="inlineStr">
        <is>
          <t>^HealingWeapon</t>
        </is>
      </c>
    </row>
    <row r="213">
      <c r="B213" s="7" t="inlineStr">
        <is>
          <t xml:space="preserve">  ↳ RA2AWP</t>
        </is>
      </c>
      <c r="C213" s="7" t="inlineStr">
        <is>
          <t>Armament@ra1_allies_alliedsniper</t>
        </is>
      </c>
      <c r="L213" s="6" t="n">
        <v>44000</v>
      </c>
      <c r="M213" s="6" t="n">
        <v>54</v>
      </c>
      <c r="N213" s="6" t="n">
        <v>1</v>
      </c>
      <c r="O213" s="6" t="n"/>
      <c r="P213" s="6" t="n">
        <v>10000</v>
      </c>
      <c r="Q213" s="6" t="n">
        <v>0.75</v>
      </c>
      <c r="R213">
        <f>M213+IF(MAX(N213-1,0)&gt;0,IF(ISBLANK(O213),5*MAX(N213-1,0),IF(ISNUMBER(O213),O213*MAX(N213-1,0),SUM(IFERROR(VALUE(TEXTSPLIT(O213,",")),0)))),0)</f>
        <v/>
      </c>
      <c r="S213">
        <f>IFERROR(L213*MAX(N213,1)/R213*IF(ISBLANK(K171),1,K171),0)</f>
        <v/>
      </c>
      <c r="AB213" s="7" t="inlineStr">
        <is>
          <t>^Warhead_Sniper_Light</t>
        </is>
      </c>
    </row>
    <row r="214">
      <c r="A214" t="inlineStr">
        <is>
          <t>redalert2</t>
        </is>
      </c>
      <c r="B214" t="inlineStr">
        <is>
          <t>ra2_allies_ifv_hmg</t>
        </is>
      </c>
      <c r="C214" t="inlineStr">
        <is>
          <t>actor_fv.name</t>
        </is>
      </c>
      <c r="D214" s="6" t="inlineStr">
        <is>
          <t>ScoutVehicle</t>
        </is>
      </c>
      <c r="E214" s="6" t="n">
        <v>25000</v>
      </c>
      <c r="F214" s="6" t="n">
        <v>150</v>
      </c>
      <c r="G214" t="inlineStr">
        <is>
          <t>Scout</t>
        </is>
      </c>
      <c r="H214" s="6" t="n">
        <v>0.782</v>
      </c>
      <c r="I214" s="6" t="n">
        <v>1</v>
      </c>
      <c r="J214" s="6" t="n">
        <v>1</v>
      </c>
      <c r="P214">
        <f>MAX(P215,P216,P217,P218,P219,P220,P221,P222,P223,P224,P225,P226,P227,P228,P229,P230,P231,P232,P233,P237,P238,P239,P240,P241,P242,P243,P244,P245,P246,P247,P248,P249,P250,P251,P252,P253,P254,P255,P256)</f>
        <v/>
      </c>
      <c r="S214">
        <f>S215+S216+S217+S218+S219+S220+S221+S222+S223+S224+S225+S226+S227+S228+S229+S230+S231+S232+S233+S237+S238+S239+S240+S241+S242+S243+S244+S245+S246+S247+S248+S249+S250+S251+S252+S253+S254+S255+S256</f>
        <v/>
      </c>
      <c r="T214">
        <f>(E214/100000+F214/100+(P214/1000)*J214/5+S214/200)*200*I214*H214</f>
        <v/>
      </c>
      <c r="U214">
        <f>((E214*F214/25000)+((P214/1000)*J214*S214/2.5))*I214*H214</f>
        <v/>
      </c>
      <c r="V214">
        <f>(E214*F214*(P214/1000)*J214*S214*I214*H214)/12500000</f>
        <v/>
      </c>
      <c r="W214">
        <f>IFERROR((((E214/30000)+(F214/200)+(S214/450)+((P214/4500)*J214))*300/4+(((E214/30000)*(F214/200))+(((P214/4500)*J214)*(S214/450)))*300/2+((E214/30000)*(F214/200)*((P214/4500)*J214)*(S214/450))*300)*(H214/1.0)/3,"")</f>
        <v/>
      </c>
      <c r="X214" s="6" t="n">
        <v>500</v>
      </c>
      <c r="Y214">
        <f>IFERROR(W214-X214,"")</f>
        <v/>
      </c>
      <c r="Z214">
        <f>IFERROR(ABS(Y214)/MAX(X214,1),"")</f>
        <v/>
      </c>
      <c r="AA214">
        <f>IFERROR(ROUND(((3*X214-(((E214/30000)+(F214/200)+(S214/450))*300/4+((E214/30000)*(F214/200))*300/2)*(H214/1.0))/(300/4+((S214/450))*300/2+((E214/30000)*(F214/200)*(S214/450))*300)*(H214/1.0)*4500)/J214,-1),"")</f>
        <v/>
      </c>
    </row>
    <row r="215">
      <c r="B215" s="7" t="inlineStr">
        <is>
          <t xml:space="preserve">  ↳ RA2CRM60</t>
        </is>
      </c>
      <c r="C215" s="7" t="inlineStr">
        <is>
          <t>Armament@mg</t>
        </is>
      </c>
      <c r="L215" s="6" t="n">
        <v>4000</v>
      </c>
      <c r="M215" s="6" t="n">
        <v>14</v>
      </c>
      <c r="N215" s="6" t="n">
        <v>4</v>
      </c>
      <c r="O215" s="6" t="n">
        <v>2</v>
      </c>
      <c r="P215" s="6" t="n">
        <v>5660</v>
      </c>
      <c r="Q215" s="6" t="n">
        <v>0.875</v>
      </c>
      <c r="R215">
        <f>M215+IF(MAX(N215-1,0)&gt;0,IF(ISBLANK(O215),5*MAX(N215-1,0),IF(ISNUMBER(O215),O215*MAX(N215-1,0),SUM(IFERROR(VALUE(TEXTSPLIT(O215,",")),0)))),0)</f>
        <v/>
      </c>
      <c r="S215">
        <f>IFERROR(L215*MAX(N215,1)/R215*IF(ISBLANK(K214),1,K214),0)</f>
        <v/>
      </c>
      <c r="AB215" s="7" t="inlineStr">
        <is>
          <t>^Warhead_Bullet_Light, ^Warhead_Bullet_Medium</t>
        </is>
      </c>
    </row>
    <row r="216">
      <c r="B216" s="7" t="inlineStr">
        <is>
          <t xml:space="preserve">  ↳ RA2CRM60H</t>
        </is>
      </c>
      <c r="C216" s="7" t="inlineStr">
        <is>
          <t>Armament@hmg</t>
        </is>
      </c>
      <c r="L216" s="6" t="n">
        <v>6000</v>
      </c>
      <c r="M216" s="6" t="n">
        <v>10</v>
      </c>
      <c r="N216" s="6" t="n">
        <v>6</v>
      </c>
      <c r="O216" s="6" t="n">
        <v>2</v>
      </c>
      <c r="P216" s="6" t="n">
        <v>4692</v>
      </c>
      <c r="Q216" s="6" t="n">
        <v>1.125</v>
      </c>
      <c r="R216">
        <f>M216+IF(MAX(N216-1,0)&gt;0,IF(ISBLANK(O216),5*MAX(N216-1,0),IF(ISNUMBER(O216),O216*MAX(N216-1,0),SUM(IFERROR(VALUE(TEXTSPLIT(O216,",")),0)))),0)</f>
        <v/>
      </c>
      <c r="S216">
        <f>IFERROR(L216*MAX(N216,1)/R216*IF(ISBLANK(K214),1,K214),0)</f>
        <v/>
      </c>
      <c r="AB216" s="7" t="inlineStr">
        <is>
          <t>^Warhead_CannonHE_Heavy, ^Warhead_Bullet_Medium</t>
        </is>
      </c>
    </row>
    <row r="217">
      <c r="B217" s="7" t="inlineStr">
        <is>
          <t xml:space="preserve">  ↳ wc_tower_fire</t>
        </is>
      </c>
      <c r="C217" s="7" t="inlineStr">
        <is>
          <t>Armament@archer</t>
        </is>
      </c>
      <c r="L217" s="6" t="n">
        <v>2500</v>
      </c>
      <c r="M217" s="6" t="n">
        <v>40</v>
      </c>
      <c r="N217" s="6" t="n">
        <v>1</v>
      </c>
      <c r="O217" s="6" t="n"/>
      <c r="P217" s="6" t="n">
        <v>8704</v>
      </c>
      <c r="Q217" s="6" t="n">
        <v>1</v>
      </c>
      <c r="R217">
        <f>M217+IF(MAX(N217-1,0)&gt;0,IF(ISBLANK(O217),5*MAX(N217-1,0),IF(ISNUMBER(O217),O217*MAX(N217-1,0),SUM(IFERROR(VALUE(TEXTSPLIT(O217,",")),0)))),0)</f>
        <v/>
      </c>
      <c r="S217">
        <f>IFERROR(L217*MAX(N217,1)/R217*IF(ISBLANK(K214),1,K214),0)</f>
        <v/>
      </c>
      <c r="AB217" s="7" t="inlineStr">
        <is>
          <t>bowFire</t>
        </is>
      </c>
    </row>
    <row r="218">
      <c r="B218" s="7" t="inlineStr">
        <is>
          <t xml:space="preserve">  ↳ RA2IFVRepair</t>
        </is>
      </c>
      <c r="C218" s="7" t="inlineStr">
        <is>
          <t>Armament@repair</t>
        </is>
      </c>
      <c r="L218" s="6" t="n">
        <v>-3000</v>
      </c>
      <c r="M218" s="6" t="n">
        <v>50</v>
      </c>
      <c r="N218" s="6" t="n">
        <v>10</v>
      </c>
      <c r="O218" s="6" t="n">
        <v>1</v>
      </c>
      <c r="P218" s="6" t="n">
        <v>5000</v>
      </c>
      <c r="Q218" s="6" t="n">
        <v>1</v>
      </c>
      <c r="R218">
        <f>M218+IF(MAX(N218-1,0)&gt;0,IF(ISBLANK(O218),5*MAX(N218-1,0),IF(ISNUMBER(O218),O218*MAX(N218-1,0),SUM(IFERROR(VALUE(TEXTSPLIT(O218,",")),0)))),0)</f>
        <v/>
      </c>
      <c r="S218">
        <f>IFERROR(L218*MAX(N218,1)/R218*IF(ISBLANK(K214),1,K214),0)</f>
        <v/>
      </c>
      <c r="AB218" s="7" t="inlineStr">
        <is>
          <t>^RepairWeapon</t>
        </is>
      </c>
    </row>
    <row r="219">
      <c r="B219" s="7" t="inlineStr">
        <is>
          <t xml:space="preserve">  ↳ LightSniper</t>
        </is>
      </c>
      <c r="C219" s="7" t="inlineStr">
        <is>
          <t>Armament@lightsniper</t>
        </is>
      </c>
      <c r="L219" s="6" t="n">
        <v>30000</v>
      </c>
      <c r="M219" s="6" t="n">
        <v>100</v>
      </c>
      <c r="N219" s="6" t="n">
        <v>1</v>
      </c>
      <c r="O219" s="6" t="n"/>
      <c r="P219" s="6" t="n">
        <v>9153</v>
      </c>
      <c r="Q219" s="6" t="n">
        <v>0.75</v>
      </c>
      <c r="R219">
        <f>M219+IF(MAX(N219-1,0)&gt;0,IF(ISBLANK(O219),5*MAX(N219-1,0),IF(ISNUMBER(O219),O219*MAX(N219-1,0),SUM(IFERROR(VALUE(TEXTSPLIT(O219,",")),0)))),0)</f>
        <v/>
      </c>
      <c r="S219">
        <f>IFERROR(L219*MAX(N219,1)/R219*IF(ISBLANK(K214),1,K214),0)</f>
        <v/>
      </c>
      <c r="AB219" s="7" t="inlineStr">
        <is>
          <t>^Warhead_Sniper_Light</t>
        </is>
      </c>
    </row>
    <row r="220">
      <c r="B220" s="7" t="inlineStr">
        <is>
          <t xml:space="preserve">  ↳ RA2DoublePistolsIFV</t>
        </is>
      </c>
      <c r="C220" s="7" t="inlineStr">
        <is>
          <t>Armament@hero</t>
        </is>
      </c>
      <c r="L220" s="6" t="n">
        <v>14000</v>
      </c>
      <c r="M220" s="6" t="n">
        <v>12</v>
      </c>
      <c r="N220" s="6" t="n">
        <v>2</v>
      </c>
      <c r="O220" s="6" t="n">
        <v>3</v>
      </c>
      <c r="P220" s="6" t="n">
        <v>8000</v>
      </c>
      <c r="Q220" s="6" t="n">
        <v>0.75</v>
      </c>
      <c r="R220">
        <f>M220+IF(MAX(N220-1,0)&gt;0,IF(ISBLANK(O220),5*MAX(N220-1,0),IF(ISNUMBER(O220),O220*MAX(N220-1,0),SUM(IFERROR(VALUE(TEXTSPLIT(O220,",")),0)))),0)</f>
        <v/>
      </c>
      <c r="S220">
        <f>IFERROR(L220*MAX(N220,1)/R220*IF(ISBLANK(K214),1,K214),0)</f>
        <v/>
      </c>
      <c r="AB220" s="7" t="inlineStr">
        <is>
          <t>^Warhead_Sniper_Light</t>
        </is>
      </c>
    </row>
    <row r="221">
      <c r="B221" s="7" t="inlineStr">
        <is>
          <t xml:space="preserve">  ↳ TTankZap</t>
        </is>
      </c>
      <c r="C221" s="7" t="inlineStr">
        <is>
          <t>Armament@tesla</t>
        </is>
      </c>
      <c r="L221" s="6" t="n">
        <v>40000</v>
      </c>
      <c r="M221" s="6" t="n">
        <v>80</v>
      </c>
      <c r="N221" s="6" t="n">
        <v>1</v>
      </c>
      <c r="O221" s="6" t="n"/>
      <c r="P221" s="6" t="n">
        <v>7300</v>
      </c>
      <c r="Q221" s="6" t="n">
        <v>1.25</v>
      </c>
      <c r="R221">
        <f>M221+IF(MAX(N221-1,0)&gt;0,IF(ISBLANK(O221),5*MAX(N221-1,0),IF(ISNUMBER(O221),O221*MAX(N221-1,0),SUM(IFERROR(VALUE(TEXTSPLIT(O221,",")),0)))),0)</f>
        <v/>
      </c>
      <c r="S221">
        <f>IFERROR(L221*MAX(N221,1)/R221*IF(ISBLANK(K214),1,K214),0)</f>
        <v/>
      </c>
      <c r="AB221" s="7" t="inlineStr">
        <is>
          <t>^Warhead_Tesla_Heavy</t>
        </is>
      </c>
    </row>
    <row r="222">
      <c r="B222" s="7" t="inlineStr">
        <is>
          <t xml:space="preserve">  ↳ DragunovSniper</t>
        </is>
      </c>
      <c r="C222" s="7" t="inlineStr">
        <is>
          <t>Armament@flak</t>
        </is>
      </c>
      <c r="L222" s="6" t="n">
        <v>400000</v>
      </c>
      <c r="M222" s="6" t="n">
        <v>85</v>
      </c>
      <c r="N222" s="6" t="n">
        <v>1</v>
      </c>
      <c r="O222" s="6" t="n"/>
      <c r="P222" s="6" t="n">
        <v>5804</v>
      </c>
      <c r="Q222" s="6" t="n">
        <v>1</v>
      </c>
      <c r="R222">
        <f>M222+IF(MAX(N222-1,0)&gt;0,IF(ISBLANK(O222),5*MAX(N222-1,0),IF(ISNUMBER(O222),O222*MAX(N222-1,0),SUM(IFERROR(VALUE(TEXTSPLIT(O222,",")),0)))),0)</f>
        <v/>
      </c>
      <c r="S222">
        <f>IFERROR(L222*MAX(N222,1)/R222*IF(ISBLANK(K214),1,K214),0)</f>
        <v/>
      </c>
      <c r="AB222" s="7" t="inlineStr">
        <is>
          <t>^TankDestroyerCannon, ^RailgunWeapon, ^LightMissile, ^HeavyCannon, ^FlakWeapon</t>
        </is>
      </c>
    </row>
    <row r="223">
      <c r="B223" s="7" t="inlineStr">
        <is>
          <t xml:space="preserve">  ↳ RA2MirageGun</t>
        </is>
      </c>
      <c r="C223" s="7" t="inlineStr">
        <is>
          <t>Armament@cannon</t>
        </is>
      </c>
      <c r="L223" s="6" t="n">
        <v>24000</v>
      </c>
      <c r="M223" s="6" t="n">
        <v>39</v>
      </c>
      <c r="N223" s="6" t="n">
        <v>1</v>
      </c>
      <c r="O223" s="6" t="n"/>
      <c r="P223" s="6" t="n">
        <v>6031</v>
      </c>
      <c r="Q223" s="6" t="n">
        <v>0.75</v>
      </c>
      <c r="R223">
        <f>M223+IF(MAX(N223-1,0)&gt;0,IF(ISBLANK(O223),5*MAX(N223-1,0),IF(ISNUMBER(O223),O223*MAX(N223-1,0),SUM(IFERROR(VALUE(TEXTSPLIT(O223,",")),0)))),0)</f>
        <v/>
      </c>
      <c r="S223">
        <f>IFERROR(L223*MAX(N223,1)/R223*IF(ISBLANK(K214),1,K214),0)</f>
        <v/>
      </c>
      <c r="AB223" s="7" t="inlineStr">
        <is>
          <t>^Warhead_CannonAP_Light</t>
        </is>
      </c>
    </row>
    <row r="224">
      <c r="B224" s="7" t="inlineStr">
        <is>
          <t xml:space="preserve">  ↳ Grenade</t>
        </is>
      </c>
      <c r="C224" s="7" t="inlineStr">
        <is>
          <t>Armament@grenade</t>
        </is>
      </c>
      <c r="L224" s="6" t="n">
        <v>16000</v>
      </c>
      <c r="M224" s="6" t="n">
        <v>42</v>
      </c>
      <c r="N224" s="6" t="n">
        <v>1</v>
      </c>
      <c r="O224" s="6" t="n"/>
      <c r="P224" s="6" t="n">
        <v>6097</v>
      </c>
      <c r="Q224" s="6" t="n">
        <v>0.75</v>
      </c>
      <c r="R224">
        <f>M224+IF(MAX(N224-1,0)&gt;0,IF(ISBLANK(O224),5*MAX(N224-1,0),IF(ISNUMBER(O224),O224*MAX(N224-1,0),SUM(IFERROR(VALUE(TEXTSPLIT(O224,",")),0)))),0)</f>
        <v/>
      </c>
      <c r="S224">
        <f>IFERROR(L224*MAX(N224,1)/R224*IF(ISBLANK(K214),1,K214),0)</f>
        <v/>
      </c>
      <c r="AB224" s="7" t="inlineStr">
        <is>
          <t>^Warhead_Demolition_Light</t>
        </is>
      </c>
    </row>
    <row r="225">
      <c r="B225" s="7" t="inlineStr">
        <is>
          <t xml:space="preserve">  ↳ DRPlasmaTankWeapon</t>
        </is>
      </c>
      <c r="C225" s="7" t="inlineStr">
        <is>
          <t>Armament@plasma</t>
        </is>
      </c>
      <c r="L225" s="6" t="n">
        <v>6250</v>
      </c>
      <c r="M225" s="6" t="n">
        <v>21</v>
      </c>
      <c r="N225" s="6" t="n">
        <v>1</v>
      </c>
      <c r="O225" s="6" t="n"/>
      <c r="P225" s="6" t="n">
        <v>5120</v>
      </c>
      <c r="Q225" s="6" t="n">
        <v>1</v>
      </c>
      <c r="R225">
        <f>M225+IF(MAX(N225-1,0)&gt;0,IF(ISBLANK(O225),5*MAX(N225-1,0),IF(ISNUMBER(O225),O225*MAX(N225-1,0),SUM(IFERROR(VALUE(TEXTSPLIT(O225,",")),0)))),0)</f>
        <v/>
      </c>
      <c r="S225">
        <f>IFERROR(L225*MAX(N225,1)/R225*IF(ISBLANK(K214),1,K214),0)</f>
        <v/>
      </c>
      <c r="AB225" s="7" t="inlineStr">
        <is>
          <t>^DRPlasmaWeapon</t>
        </is>
      </c>
    </row>
    <row r="226">
      <c r="B226" s="7" t="inlineStr">
        <is>
          <t xml:space="preserve">  ↳ SWLaserG</t>
        </is>
      </c>
      <c r="C226" s="7" t="inlineStr">
        <is>
          <t>Armament@litlaser</t>
        </is>
      </c>
      <c r="L226" s="6" t="n">
        <v>2000</v>
      </c>
      <c r="M226" s="6" t="n">
        <v>30</v>
      </c>
      <c r="N226" s="6" t="n">
        <v>6</v>
      </c>
      <c r="O226" s="6" t="n"/>
      <c r="P226" s="6" t="n">
        <v>6144</v>
      </c>
      <c r="Q226" s="6" t="n">
        <v>1</v>
      </c>
      <c r="R226">
        <f>M226+IF(MAX(N226-1,0)&gt;0,IF(ISBLANK(O226),5*MAX(N226-1,0),IF(ISNUMBER(O226),O226*MAX(N226-1,0),SUM(IFERROR(VALUE(TEXTSPLIT(O226,",")),0)))),0)</f>
        <v/>
      </c>
      <c r="S226">
        <f>IFERROR(L226*MAX(N226,1)/R226*IF(ISBLANK(K214),1,K214),0)</f>
        <v/>
      </c>
      <c r="AB226" s="7" t="inlineStr">
        <is>
          <t>SWLaser</t>
        </is>
      </c>
    </row>
    <row r="227">
      <c r="B227" s="7" t="inlineStr">
        <is>
          <t xml:space="preserve">  ↳ USALaserCannonAG</t>
        </is>
      </c>
      <c r="C227" s="7" t="inlineStr">
        <is>
          <t>Armament@medlaser</t>
        </is>
      </c>
      <c r="L227" s="6" t="n">
        <v>4000</v>
      </c>
      <c r="M227" s="6" t="n">
        <v>50</v>
      </c>
      <c r="N227" s="6" t="n">
        <v>3</v>
      </c>
      <c r="O227" s="6" t="n">
        <v>6</v>
      </c>
      <c r="P227" s="6" t="n">
        <v>7168</v>
      </c>
      <c r="Q227" s="6" t="n">
        <v>1</v>
      </c>
      <c r="R227">
        <f>M227+IF(MAX(N227-1,0)&gt;0,IF(ISBLANK(O227),5*MAX(N227-1,0),IF(ISNUMBER(O227),O227*MAX(N227-1,0),SUM(IFERROR(VALUE(TEXTSPLIT(O227,",")),0)))),0)</f>
        <v/>
      </c>
      <c r="S227">
        <f>IFERROR(L227*MAX(N227,1)/R227*IF(ISBLANK(K214),1,K214),0)</f>
        <v/>
      </c>
      <c r="AB227" s="7" t="inlineStr">
        <is>
          <t>^AntiGroundMissile</t>
        </is>
      </c>
    </row>
    <row r="228">
      <c r="B228" s="7" t="inlineStr">
        <is>
          <t xml:space="preserve">  ↳ SWGreenLaserG</t>
        </is>
      </c>
      <c r="C228" s="7" t="inlineStr">
        <is>
          <t>Armament@greenlaser</t>
        </is>
      </c>
      <c r="L228" s="6" t="n">
        <v>5000</v>
      </c>
      <c r="M228" s="6" t="n">
        <v>75</v>
      </c>
      <c r="N228" s="6" t="n">
        <v>1</v>
      </c>
      <c r="O228" s="6" t="n"/>
      <c r="P228" s="6" t="n">
        <v>7168</v>
      </c>
      <c r="Q228" s="6" t="n">
        <v>1</v>
      </c>
      <c r="R228">
        <f>M228+IF(MAX(N228-1,0)&gt;0,IF(ISBLANK(O228),5*MAX(N228-1,0),IF(ISNUMBER(O228),O228*MAX(N228-1,0),SUM(IFERROR(VALUE(TEXTSPLIT(O228,",")),0)))),0)</f>
        <v/>
      </c>
      <c r="S228">
        <f>IFERROR(L228*MAX(N228,1)/R228*IF(ISBLANK(K214),1,K214),0)</f>
        <v/>
      </c>
      <c r="AB228" s="7" t="inlineStr">
        <is>
          <t>SWGreenLaser</t>
        </is>
      </c>
    </row>
    <row r="229">
      <c r="B229" s="7" t="inlineStr">
        <is>
          <t xml:space="preserve">  ↳ SWGBigRedLaserG</t>
        </is>
      </c>
      <c r="C229" s="7" t="inlineStr">
        <is>
          <t>Armament@misslaser</t>
        </is>
      </c>
      <c r="L229" s="6" t="n">
        <v>4000</v>
      </c>
      <c r="M229" s="6" t="n">
        <v>75</v>
      </c>
      <c r="N229" s="6" t="n">
        <v>1</v>
      </c>
      <c r="O229" s="6" t="n"/>
      <c r="P229" s="6" t="n">
        <v>8192</v>
      </c>
      <c r="Q229" s="6" t="n">
        <v>1</v>
      </c>
      <c r="R229">
        <f>M229+IF(MAX(N229-1,0)&gt;0,IF(ISBLANK(O229),5*MAX(N229-1,0),IF(ISNUMBER(O229),O229*MAX(N229-1,0),SUM(IFERROR(VALUE(TEXTSPLIT(O229,",")),0)))),0)</f>
        <v/>
      </c>
      <c r="S229">
        <f>IFERROR(L229*MAX(N229,1)/R229*IF(ISBLANK(K214),1,K214),0)</f>
        <v/>
      </c>
      <c r="AB229" s="7" t="inlineStr">
        <is>
          <t>SWrBigRedLaser</t>
        </is>
      </c>
    </row>
    <row r="230">
      <c r="B230" s="7" t="inlineStr">
        <is>
          <t xml:space="preserve">  ↳ BigFlamer</t>
        </is>
      </c>
      <c r="C230" s="7" t="inlineStr">
        <is>
          <t>Armament@fire</t>
        </is>
      </c>
      <c r="L230" s="6" t="n">
        <v>14000</v>
      </c>
      <c r="M230" s="6" t="n">
        <v>50</v>
      </c>
      <c r="N230" s="6" t="n">
        <v>2</v>
      </c>
      <c r="O230" s="6" t="n">
        <v>10</v>
      </c>
      <c r="P230" s="6" t="n">
        <v>2390</v>
      </c>
      <c r="Q230" s="6" t="n">
        <v>1</v>
      </c>
      <c r="R230">
        <f>M230+IF(MAX(N230-1,0)&gt;0,IF(ISBLANK(O230),5*MAX(N230-1,0),IF(ISNUMBER(O230),O230*MAX(N230-1,0),SUM(IFERROR(VALUE(TEXTSPLIT(O230,",")),0)))),0)</f>
        <v/>
      </c>
      <c r="S230">
        <f>IFERROR(L230*MAX(N230,1)/R230*IF(ISBLANK(K214),1,K214),0)</f>
        <v/>
      </c>
      <c r="AB230" s="7" t="inlineStr">
        <is>
          <t>^Warhead_Flame_Medium</t>
        </is>
      </c>
    </row>
    <row r="231">
      <c r="B231" s="7" t="inlineStr">
        <is>
          <t xml:space="preserve">  ↳ RA2RadBeamWeapon</t>
        </is>
      </c>
      <c r="C231" s="7" t="inlineStr">
        <is>
          <t>Armament@chem</t>
        </is>
      </c>
      <c r="L231" s="6" t="n">
        <v>30000</v>
      </c>
      <c r="M231" s="6" t="n">
        <v>45</v>
      </c>
      <c r="N231" s="6" t="n">
        <v>1</v>
      </c>
      <c r="O231" s="6" t="n"/>
      <c r="P231" s="6" t="n">
        <v>6444</v>
      </c>
      <c r="Q231" s="6" t="n">
        <v>1</v>
      </c>
      <c r="R231">
        <f>M231+IF(MAX(N231-1,0)&gt;0,IF(ISBLANK(O231),5*MAX(N231-1,0),IF(ISNUMBER(O231),O231*MAX(N231-1,0),SUM(IFERROR(VALUE(TEXTSPLIT(O231,",")),0)))),0)</f>
        <v/>
      </c>
      <c r="S231">
        <f>IFERROR(L231*MAX(N231,1)/R231*IF(ISBLANK(K214),1,K214),0)</f>
        <v/>
      </c>
      <c r="AB231" s="7" t="inlineStr">
        <is>
          <t>^Warhead_Chemical_Medium</t>
        </is>
      </c>
    </row>
    <row r="232">
      <c r="B232" s="7" t="inlineStr">
        <is>
          <t xml:space="preserve">  ↳ RA2RadBeamWeapon</t>
        </is>
      </c>
      <c r="C232" s="7" t="inlineStr">
        <is>
          <t>Armament@thrax</t>
        </is>
      </c>
      <c r="L232" s="6" t="n">
        <v>30000</v>
      </c>
      <c r="M232" s="6" t="n">
        <v>45</v>
      </c>
      <c r="N232" s="6" t="n">
        <v>1</v>
      </c>
      <c r="O232" s="6" t="n"/>
      <c r="P232" s="6" t="n">
        <v>6444</v>
      </c>
      <c r="Q232" s="6" t="n">
        <v>1</v>
      </c>
      <c r="R232">
        <f>M232+IF(MAX(N232-1,0)&gt;0,IF(ISBLANK(O232),5*MAX(N232-1,0),IF(ISNUMBER(O232),O232*MAX(N232-1,0),SUM(IFERROR(VALUE(TEXTSPLIT(O232,",")),0)))),0)</f>
        <v/>
      </c>
      <c r="S232">
        <f>IFERROR(L232*MAX(N232,1)/R232*IF(ISBLANK(K214),1,K214),0)</f>
        <v/>
      </c>
      <c r="AB232" s="7" t="inlineStr">
        <is>
          <t>^Warhead_Chemical_Medium</t>
        </is>
      </c>
    </row>
    <row r="233">
      <c r="B233" s="7" t="inlineStr">
        <is>
          <t xml:space="preserve">  ↳ RA2MultiHoverMissile</t>
        </is>
      </c>
      <c r="C233" s="7" t="inlineStr">
        <is>
          <t>Armament@missile</t>
        </is>
      </c>
      <c r="L233" s="6" t="n">
        <v>4000</v>
      </c>
      <c r="M233" s="6" t="n">
        <v>20</v>
      </c>
      <c r="N233" s="6" t="n">
        <v>4</v>
      </c>
      <c r="O233" s="6" t="n"/>
      <c r="P233" s="6" t="n">
        <v>6170</v>
      </c>
      <c r="Q233" s="6" t="n">
        <v>0.875</v>
      </c>
      <c r="R233">
        <f>M233+IF(MAX(N233-1,0)&gt;0,IF(ISBLANK(O233),5*MAX(N233-1,0),IF(ISNUMBER(O233),O233*MAX(N233-1,0),SUM(IFERROR(VALUE(TEXTSPLIT(O233,",")),0)))),0)</f>
        <v/>
      </c>
      <c r="S233">
        <f>IFERROR(L233*MAX(N233,1)/R233*IF(ISBLANK(K214),1,K214),0)</f>
        <v/>
      </c>
      <c r="AB233" s="7" t="inlineStr">
        <is>
          <t>^Warhead_CannonHE_Medium, ^Warhead_MissileHE_Light</t>
        </is>
      </c>
    </row>
    <row r="234">
      <c r="B234" s="7" t="inlineStr">
        <is>
          <t xml:space="preserve">  ↳ IFVChronoBeam</t>
        </is>
      </c>
      <c r="C234" s="7" t="inlineStr">
        <is>
          <t>Armament@chrono</t>
        </is>
      </c>
      <c r="M234" s="6" t="n">
        <v>1</v>
      </c>
      <c r="N234" s="6" t="n">
        <v>1</v>
      </c>
      <c r="O234" s="6" t="n"/>
      <c r="P234" s="6" t="n">
        <v>7500</v>
      </c>
      <c r="Q234" s="6" t="n">
        <v>1</v>
      </c>
      <c r="R234">
        <f>M234+IF(MAX(N234-1,0)&gt;0,IF(ISBLANK(O234),5*MAX(N234-1,0),IF(ISNUMBER(O234),O234*MAX(N234-1,0),SUM(IFERROR(VALUE(TEXTSPLIT(O234,",")),0)))),0)</f>
        <v/>
      </c>
      <c r="S234">
        <f>IFERROR(L234*MAX(N234,1)/R234*IF(ISBLANK(K214),1,K214),0)</f>
        <v/>
      </c>
      <c r="AB234" s="7" t="inlineStr">
        <is>
          <t>ChronoBeam</t>
        </is>
      </c>
    </row>
    <row r="235">
      <c r="B235" s="7" t="inlineStr">
        <is>
          <t xml:space="preserve">  ↳ IFVChronoSound</t>
        </is>
      </c>
      <c r="C235" s="7" t="inlineStr">
        <is>
          <t>Armament@chronosound</t>
        </is>
      </c>
      <c r="M235" s="6" t="n">
        <v>180</v>
      </c>
      <c r="N235" s="6" t="n">
        <v>1</v>
      </c>
      <c r="O235" s="6" t="n"/>
      <c r="P235" s="6" t="n">
        <v>8000</v>
      </c>
      <c r="Q235" s="6" t="n">
        <v>1</v>
      </c>
      <c r="R235">
        <f>M235+IF(MAX(N235-1,0)&gt;0,IF(ISBLANK(O235),5*MAX(N235-1,0),IF(ISNUMBER(O235),O235*MAX(N235-1,0),SUM(IFERROR(VALUE(TEXTSPLIT(O235,",")),0)))),0)</f>
        <v/>
      </c>
      <c r="S235">
        <f>IFERROR(L235*MAX(N235,1)/R235*IF(ISBLANK(K214),1,K214),0)</f>
        <v/>
      </c>
      <c r="AB235" s="7" t="inlineStr">
        <is>
          <t>RA2ChronoTele</t>
        </is>
      </c>
    </row>
    <row r="236">
      <c r="B236" s="7" t="inlineStr">
        <is>
          <t xml:space="preserve">  ↳ DemoTruckTargeting</t>
        </is>
      </c>
      <c r="C236" s="7" t="inlineStr">
        <is>
          <t>Armament@ivan</t>
        </is>
      </c>
      <c r="M236" s="6" t="n">
        <v>1</v>
      </c>
      <c r="N236" s="6" t="n">
        <v>1</v>
      </c>
      <c r="O236" s="6" t="n"/>
      <c r="P236" s="6" t="n">
        <v>2000</v>
      </c>
      <c r="Q236" s="6" t="n">
        <v>1</v>
      </c>
      <c r="R236">
        <f>M236+IF(MAX(N236-1,0)&gt;0,IF(ISBLANK(O236),5*MAX(N236-1,0),IF(ISNUMBER(O236),O236*MAX(N236-1,0),SUM(IFERROR(VALUE(TEXTSPLIT(O236,",")),0)))),0)</f>
        <v/>
      </c>
      <c r="S236">
        <f>IFERROR(L236*MAX(N236,1)/R236*IF(ISBLANK(K214),1,K214),0)</f>
        <v/>
      </c>
      <c r="AB236" s="7" t="inlineStr"/>
    </row>
    <row r="237">
      <c r="B237" s="7" t="inlineStr">
        <is>
          <t xml:space="preserve">  ↳ Fremen_L</t>
        </is>
      </c>
      <c r="C237" s="7" t="inlineStr">
        <is>
          <t>Armament@fremen</t>
        </is>
      </c>
      <c r="L237" s="6" t="n">
        <v>3000</v>
      </c>
      <c r="M237" s="6" t="n">
        <v>25</v>
      </c>
      <c r="N237" s="6" t="n">
        <v>1</v>
      </c>
      <c r="O237" s="6" t="n"/>
      <c r="P237" s="6" t="n">
        <v>2560</v>
      </c>
      <c r="Q237" s="6" t="n">
        <v>1</v>
      </c>
      <c r="R237">
        <f>M237+IF(MAX(N237-1,0)&gt;0,IF(ISBLANK(O237),5*MAX(N237-1,0),IF(ISNUMBER(O237),O237*MAX(N237-1,0),SUM(IFERROR(VALUE(TEXTSPLIT(O237,",")),0)))),0)</f>
        <v/>
      </c>
      <c r="S237">
        <f>IFERROR(L237*MAX(N237,1)/R237*IF(ISBLANK(K214),1,K214),0)</f>
        <v/>
      </c>
      <c r="AB237" s="7" t="inlineStr">
        <is>
          <t>M_HMG</t>
        </is>
      </c>
    </row>
    <row r="238">
      <c r="B238" s="7" t="inlineStr">
        <is>
          <t xml:space="preserve">  ↳ TSSonicZap</t>
        </is>
      </c>
      <c r="C238" s="7" t="inlineStr">
        <is>
          <t>Armament@sonic</t>
        </is>
      </c>
      <c r="L238" s="6" t="n">
        <v>5000</v>
      </c>
      <c r="M238" s="6" t="n">
        <v>60</v>
      </c>
      <c r="N238" s="6" t="n">
        <v>1</v>
      </c>
      <c r="O238" s="6" t="n"/>
      <c r="P238" s="6" t="n">
        <v>6144</v>
      </c>
      <c r="Q238" s="6" t="n">
        <v>1</v>
      </c>
      <c r="R238">
        <f>M238+IF(MAX(N238-1,0)&gt;0,IF(ISBLANK(O238),5*MAX(N238-1,0),IF(ISNUMBER(O238),O238*MAX(N238-1,0),SUM(IFERROR(VALUE(TEXTSPLIT(O238,",")),0)))),0)</f>
        <v/>
      </c>
      <c r="S238">
        <f>IFERROR(L238*MAX(N238,1)/R238*IF(ISBLANK(K214),1,K214),0)</f>
        <v/>
      </c>
      <c r="AB238" s="7" t="inlineStr"/>
    </row>
    <row r="239">
      <c r="B239" s="7" t="inlineStr">
        <is>
          <t xml:space="preserve">  ↳ MedicHeal</t>
        </is>
      </c>
      <c r="C239" s="7" t="inlineStr">
        <is>
          <t>Armament@heal</t>
        </is>
      </c>
      <c r="L239" s="6" t="n">
        <v>-3000</v>
      </c>
      <c r="M239" s="6" t="n">
        <v>10</v>
      </c>
      <c r="N239" s="6" t="n">
        <v>1</v>
      </c>
      <c r="O239" s="6" t="n"/>
      <c r="P239" s="6" t="n">
        <v>6000</v>
      </c>
      <c r="Q239" s="6" t="n">
        <v>1</v>
      </c>
      <c r="R239">
        <f>M239+IF(MAX(N239-1,0)&gt;0,IF(ISBLANK(O239),5*MAX(N239-1,0),IF(ISNUMBER(O239),O239*MAX(N239-1,0),SUM(IFERROR(VALUE(TEXTSPLIT(O239,",")),0)))),0)</f>
        <v/>
      </c>
      <c r="S239">
        <f>IFERROR(L239*MAX(N239,1)/R239*IF(ISBLANK(K214),1,K214),0)</f>
        <v/>
      </c>
      <c r="AB239" s="7" t="inlineStr">
        <is>
          <t>^HealingWeapon</t>
        </is>
      </c>
    </row>
    <row r="240">
      <c r="B240" s="7" t="inlineStr">
        <is>
          <t xml:space="preserve">  ↳ RA2HoverMissile</t>
        </is>
      </c>
      <c r="C240" s="7" t="inlineStr">
        <is>
          <t>Armament@primary</t>
        </is>
      </c>
      <c r="L240" s="6" t="n">
        <v>12000</v>
      </c>
      <c r="M240" s="6" t="n">
        <v>28</v>
      </c>
      <c r="N240" s="6" t="n">
        <v>2</v>
      </c>
      <c r="O240" s="6" t="n">
        <v>4</v>
      </c>
      <c r="P240" s="6" t="n">
        <v>5760</v>
      </c>
      <c r="Q240" s="6" t="n">
        <v>0.75</v>
      </c>
      <c r="R240">
        <f>M240+IF(MAX(N240-1,0)&gt;0,IF(ISBLANK(O240),5*MAX(N240-1,0),IF(ISNUMBER(O240),O240*MAX(N240-1,0),SUM(IFERROR(VALUE(TEXTSPLIT(O240,",")),0)))),0)</f>
        <v/>
      </c>
      <c r="S240">
        <f>IFERROR(L240*MAX(N240,1)/R240*IF(ISBLANK(K214),1,K214),0)</f>
        <v/>
      </c>
      <c r="AB240" s="7" t="inlineStr">
        <is>
          <t>^Warhead_Arrow_Light, ^Warhead_MissileAP_Light</t>
        </is>
      </c>
    </row>
    <row r="241">
      <c r="B241" s="7" t="inlineStr">
        <is>
          <t xml:space="preserve">  ↳ RA2HoverMissile_elite</t>
        </is>
      </c>
      <c r="C241" s="7" t="inlineStr">
        <is>
          <t>Armament@primaryelite</t>
        </is>
      </c>
      <c r="L241" s="6" t="n">
        <v>12000</v>
      </c>
      <c r="M241" s="6" t="n">
        <v>28</v>
      </c>
      <c r="N241" s="6" t="n">
        <v>4</v>
      </c>
      <c r="O241" s="6" t="n">
        <v>4</v>
      </c>
      <c r="P241" s="6" t="n">
        <v>6760</v>
      </c>
      <c r="Q241" s="6" t="n">
        <v>0.75</v>
      </c>
      <c r="R241">
        <f>M241+IF(MAX(N241-1,0)&gt;0,IF(ISBLANK(O241),5*MAX(N241-1,0),IF(ISNUMBER(O241),O241*MAX(N241-1,0),SUM(IFERROR(VALUE(TEXTSPLIT(O241,",")),0)))),0)</f>
        <v/>
      </c>
      <c r="S241">
        <f>IFERROR(L241*MAX(N241,1)/R241*IF(ISBLANK(K214),1,K214),0)</f>
        <v/>
      </c>
      <c r="AB241" s="7" t="inlineStr">
        <is>
          <t>^Warhead_Arrow_Light, ^Warhead_MissileAP_Light</t>
        </is>
      </c>
    </row>
    <row r="242">
      <c r="B242" s="7" t="inlineStr">
        <is>
          <t xml:space="preserve">  ↳ RA2HoverMissile_AA</t>
        </is>
      </c>
      <c r="C242" s="7" t="inlineStr">
        <is>
          <t>Armament@primaryAA</t>
        </is>
      </c>
      <c r="L242" s="6" t="n">
        <v>12000</v>
      </c>
      <c r="M242" s="6" t="n">
        <v>28</v>
      </c>
      <c r="N242" s="6" t="n">
        <v>2</v>
      </c>
      <c r="O242" s="6" t="n">
        <v>4</v>
      </c>
      <c r="P242" s="6" t="n">
        <v>8640</v>
      </c>
      <c r="Q242" s="6" t="n">
        <v>0.75</v>
      </c>
      <c r="R242">
        <f>M242+IF(MAX(N242-1,0)&gt;0,IF(ISBLANK(O242),5*MAX(N242-1,0),IF(ISNUMBER(O242),O242*MAX(N242-1,0),SUM(IFERROR(VALUE(TEXTSPLIT(O242,",")),0)))),0)</f>
        <v/>
      </c>
      <c r="S242">
        <f>IFERROR(L242*MAX(N242,1)/R242*IF(ISBLANK(K214),1,K214),0)</f>
        <v/>
      </c>
      <c r="AB242" s="7" t="inlineStr">
        <is>
          <t>^Warhead_Arrow_Light, ^Warhead_MissileAP_Light</t>
        </is>
      </c>
    </row>
    <row r="243">
      <c r="B243" s="7" t="inlineStr">
        <is>
          <t xml:space="preserve">  ↳ RA2HoverMissile_AA_elite</t>
        </is>
      </c>
      <c r="C243" s="7" t="inlineStr">
        <is>
          <t>Armament@primaryeliteAA</t>
        </is>
      </c>
      <c r="L243" s="6" t="n">
        <v>12000</v>
      </c>
      <c r="M243" s="6" t="n">
        <v>28</v>
      </c>
      <c r="N243" s="6" t="n">
        <v>4</v>
      </c>
      <c r="O243" s="6" t="n">
        <v>4</v>
      </c>
      <c r="P243" s="6" t="n">
        <v>9640</v>
      </c>
      <c r="Q243" s="6" t="n">
        <v>0.75</v>
      </c>
      <c r="R243">
        <f>M243+IF(MAX(N243-1,0)&gt;0,IF(ISBLANK(O243),5*MAX(N243-1,0),IF(ISNUMBER(O243),O243*MAX(N243-1,0),SUM(IFERROR(VALUE(TEXTSPLIT(O243,",")),0)))),0)</f>
        <v/>
      </c>
      <c r="S243">
        <f>IFERROR(L243*MAX(N243,1)/R243*IF(ISBLANK(K214),1,K214),0)</f>
        <v/>
      </c>
      <c r="AB243" s="7" t="inlineStr">
        <is>
          <t>^Warhead_Arrow_Light, ^Warhead_MissileAP_Light</t>
        </is>
      </c>
    </row>
    <row r="244">
      <c r="B244" s="7" t="inlineStr">
        <is>
          <t xml:space="preserve">  ↳ RA2ThunderboltMissile</t>
        </is>
      </c>
      <c r="C244" s="7" t="inlineStr">
        <is>
          <t>Armament@primaryThunderbolt</t>
        </is>
      </c>
      <c r="L244" s="6" t="n">
        <v>4000</v>
      </c>
      <c r="M244" s="6" t="n">
        <v>25</v>
      </c>
      <c r="N244" s="6" t="n">
        <v>1</v>
      </c>
      <c r="O244" s="6" t="n"/>
      <c r="P244" s="6" t="n">
        <v>5120</v>
      </c>
      <c r="Q244" s="6" t="n">
        <v>1</v>
      </c>
      <c r="R244">
        <f>M244+IF(MAX(N244-1,0)&gt;0,IF(ISBLANK(O244),5*MAX(N244-1,0),IF(ISNUMBER(O244),O244*MAX(N244-1,0),SUM(IFERROR(VALUE(TEXTSPLIT(O244,",")),0)))),0)</f>
        <v/>
      </c>
      <c r="S244">
        <f>IFERROR(L244*MAX(N244,1)/R244*IF(ISBLANK(K214),1,K214),0)</f>
        <v/>
      </c>
      <c r="AB244" s="7" t="inlineStr">
        <is>
          <t>^Warhead_MissileHE_Heavy, ^Warhead_MissileHE_Light</t>
        </is>
      </c>
    </row>
    <row r="245">
      <c r="B245" s="7" t="inlineStr">
        <is>
          <t xml:space="preserve">  ↳ RA2ThunderboltMissile_elite</t>
        </is>
      </c>
      <c r="C245" s="7" t="inlineStr">
        <is>
          <t>Armament@primaryeliteThunderbolt</t>
        </is>
      </c>
      <c r="L245" s="6" t="n">
        <v>4000</v>
      </c>
      <c r="M245" s="6" t="n">
        <v>25</v>
      </c>
      <c r="N245" s="6" t="n">
        <v>4</v>
      </c>
      <c r="O245" s="6" t="n"/>
      <c r="P245" s="6" t="n">
        <v>6760</v>
      </c>
      <c r="Q245" s="6" t="n">
        <v>1</v>
      </c>
      <c r="R245">
        <f>M245+IF(MAX(N245-1,0)&gt;0,IF(ISBLANK(O245),5*MAX(N245-1,0),IF(ISNUMBER(O245),O245*MAX(N245-1,0),SUM(IFERROR(VALUE(TEXTSPLIT(O245,",")),0)))),0)</f>
        <v/>
      </c>
      <c r="S245">
        <f>IFERROR(L245*MAX(N245,1)/R245*IF(ISBLANK(K214),1,K214),0)</f>
        <v/>
      </c>
      <c r="AB245" s="7" t="inlineStr">
        <is>
          <t>^Warhead_MissileHE_Heavy, ^Warhead_MissileHE_Light</t>
        </is>
      </c>
    </row>
    <row r="246">
      <c r="B246" s="7" t="inlineStr">
        <is>
          <t xml:space="preserve">  ↳ RA2ThunderboltMissile_AA</t>
        </is>
      </c>
      <c r="C246" s="7" t="inlineStr">
        <is>
          <t>Armament@primaryAAThunderbolt</t>
        </is>
      </c>
      <c r="L246" s="6" t="n">
        <v>4000</v>
      </c>
      <c r="M246" s="6" t="n">
        <v>25</v>
      </c>
      <c r="N246" s="6" t="n">
        <v>1</v>
      </c>
      <c r="O246" s="6" t="n"/>
      <c r="P246" s="6" t="n">
        <v>8640</v>
      </c>
      <c r="Q246" s="6" t="n">
        <v>1</v>
      </c>
      <c r="R246">
        <f>M246+IF(MAX(N246-1,0)&gt;0,IF(ISBLANK(O246),5*MAX(N246-1,0),IF(ISNUMBER(O246),O246*MAX(N246-1,0),SUM(IFERROR(VALUE(TEXTSPLIT(O246,",")),0)))),0)</f>
        <v/>
      </c>
      <c r="S246">
        <f>IFERROR(L246*MAX(N246,1)/R246*IF(ISBLANK(K214),1,K214),0)</f>
        <v/>
      </c>
      <c r="AB246" s="7" t="inlineStr">
        <is>
          <t>^Warhead_MissileHE_Heavy, ^Warhead_MissileHE_Light</t>
        </is>
      </c>
    </row>
    <row r="247">
      <c r="B247" s="7" t="inlineStr">
        <is>
          <t xml:space="preserve">  ↳ RA2ThunderboltMissile_AA_elite</t>
        </is>
      </c>
      <c r="C247" s="7" t="inlineStr">
        <is>
          <t>Armament@primaryeliteAAThunderbolt</t>
        </is>
      </c>
      <c r="L247" s="6" t="n">
        <v>4000</v>
      </c>
      <c r="M247" s="6" t="n">
        <v>25</v>
      </c>
      <c r="N247" s="6" t="n">
        <v>4</v>
      </c>
      <c r="O247" s="6" t="n"/>
      <c r="P247" s="6" t="n">
        <v>9640</v>
      </c>
      <c r="Q247" s="6" t="n">
        <v>1</v>
      </c>
      <c r="R247">
        <f>M247+IF(MAX(N247-1,0)&gt;0,IF(ISBLANK(O247),5*MAX(N247-1,0),IF(ISNUMBER(O247),O247*MAX(N247-1,0),SUM(IFERROR(VALUE(TEXTSPLIT(O247,",")),0)))),0)</f>
        <v/>
      </c>
      <c r="S247">
        <f>IFERROR(L247*MAX(N247,1)/R247*IF(ISBLANK(K214),1,K214),0)</f>
        <v/>
      </c>
      <c r="AB247" s="7" t="inlineStr">
        <is>
          <t>^Warhead_MissileHE_Heavy, ^Warhead_MissileHE_Light</t>
        </is>
      </c>
    </row>
    <row r="248">
      <c r="B248" s="7" t="inlineStr">
        <is>
          <t xml:space="preserve">  ↳ RA2MultiHoverMissile_elite</t>
        </is>
      </c>
      <c r="C248" s="7" t="inlineStr">
        <is>
          <t>Armament@missileelite</t>
        </is>
      </c>
      <c r="L248" s="6" t="n">
        <v>4000</v>
      </c>
      <c r="M248" s="6" t="n">
        <v>20</v>
      </c>
      <c r="N248" s="6" t="n">
        <v>4</v>
      </c>
      <c r="O248" s="6" t="n"/>
      <c r="P248" s="6" t="n">
        <v>7170</v>
      </c>
      <c r="Q248" s="6" t="n">
        <v>0.875</v>
      </c>
      <c r="R248">
        <f>M248+IF(MAX(N248-1,0)&gt;0,IF(ISBLANK(O248),5*MAX(N248-1,0),IF(ISNUMBER(O248),O248*MAX(N248-1,0),SUM(IFERROR(VALUE(TEXTSPLIT(O248,",")),0)))),0)</f>
        <v/>
      </c>
      <c r="S248">
        <f>IFERROR(L248*MAX(N248,1)/R248*IF(ISBLANK(K214),1,K214),0)</f>
        <v/>
      </c>
      <c r="AB248" s="7" t="inlineStr">
        <is>
          <t>^Warhead_CannonHE_Medium, ^Warhead_MissileHE_Light</t>
        </is>
      </c>
    </row>
    <row r="249">
      <c r="B249" s="7" t="inlineStr">
        <is>
          <t xml:space="preserve">  ↳ RA2MultiHoverMissile_AA</t>
        </is>
      </c>
      <c r="C249" s="7" t="inlineStr">
        <is>
          <t>Armament@missileAA</t>
        </is>
      </c>
      <c r="L249" s="6" t="n">
        <v>4000</v>
      </c>
      <c r="M249" s="6" t="n">
        <v>20</v>
      </c>
      <c r="N249" s="6" t="n">
        <v>4</v>
      </c>
      <c r="O249" s="6" t="n"/>
      <c r="P249" s="6" t="n">
        <v>9255</v>
      </c>
      <c r="Q249" s="6" t="n">
        <v>0.875</v>
      </c>
      <c r="R249">
        <f>M249+IF(MAX(N249-1,0)&gt;0,IF(ISBLANK(O249),5*MAX(N249-1,0),IF(ISNUMBER(O249),O249*MAX(N249-1,0),SUM(IFERROR(VALUE(TEXTSPLIT(O249,",")),0)))),0)</f>
        <v/>
      </c>
      <c r="S249">
        <f>IFERROR(L249*MAX(N249,1)/R249*IF(ISBLANK(K214),1,K214),0)</f>
        <v/>
      </c>
      <c r="AB249" s="7" t="inlineStr">
        <is>
          <t>^Warhead_CannonHE_Medium, ^Warhead_MissileHE_Light</t>
        </is>
      </c>
    </row>
    <row r="250">
      <c r="B250" s="7" t="inlineStr">
        <is>
          <t xml:space="preserve">  ↳ RA2MultiHoverMissile_AA_elite</t>
        </is>
      </c>
      <c r="C250" s="7" t="inlineStr">
        <is>
          <t>Armament@missileeliteAA</t>
        </is>
      </c>
      <c r="L250" s="6" t="n">
        <v>4000</v>
      </c>
      <c r="M250" s="6" t="n">
        <v>20</v>
      </c>
      <c r="N250" s="6" t="n">
        <v>4</v>
      </c>
      <c r="O250" s="6" t="n"/>
      <c r="P250" s="6" t="n">
        <v>10255</v>
      </c>
      <c r="Q250" s="6" t="n">
        <v>0.875</v>
      </c>
      <c r="R250">
        <f>M250+IF(MAX(N250-1,0)&gt;0,IF(ISBLANK(O250),5*MAX(N250-1,0),IF(ISNUMBER(O250),O250*MAX(N250-1,0),SUM(IFERROR(VALUE(TEXTSPLIT(O250,",")),0)))),0)</f>
        <v/>
      </c>
      <c r="S250">
        <f>IFERROR(L250*MAX(N250,1)/R250*IF(ISBLANK(K214),1,K214),0)</f>
        <v/>
      </c>
      <c r="AB250" s="7" t="inlineStr">
        <is>
          <t>^Warhead_CannonHE_Medium, ^Warhead_MissileHE_Light</t>
        </is>
      </c>
    </row>
    <row r="251">
      <c r="B251" s="7" t="inlineStr">
        <is>
          <t xml:space="preserve">  ↳ RA2MultiThunderboltMissile</t>
        </is>
      </c>
      <c r="C251" s="7" t="inlineStr">
        <is>
          <t>Armament@missileThunderbolt</t>
        </is>
      </c>
      <c r="L251" s="6" t="n">
        <v>4000</v>
      </c>
      <c r="M251" s="6" t="n">
        <v>25</v>
      </c>
      <c r="N251" s="6" t="n">
        <v>1</v>
      </c>
      <c r="O251" s="6" t="n"/>
      <c r="P251" s="6" t="n">
        <v>5120</v>
      </c>
      <c r="Q251" s="6" t="n">
        <v>1</v>
      </c>
      <c r="R251">
        <f>M251+IF(MAX(N251-1,0)&gt;0,IF(ISBLANK(O251),5*MAX(N251-1,0),IF(ISNUMBER(O251),O251*MAX(N251-1,0),SUM(IFERROR(VALUE(TEXTSPLIT(O251,",")),0)))),0)</f>
        <v/>
      </c>
      <c r="S251">
        <f>IFERROR(L251*MAX(N251,1)/R251*IF(ISBLANK(K214),1,K214),0)</f>
        <v/>
      </c>
      <c r="AB251" s="7" t="inlineStr">
        <is>
          <t>^Warhead_MissileHE_Heavy, ^Warhead_MissileHE_Light</t>
        </is>
      </c>
    </row>
    <row r="252">
      <c r="B252" s="7" t="inlineStr">
        <is>
          <t xml:space="preserve">  ↳ RA2MultiThunderboltMissile_elite</t>
        </is>
      </c>
      <c r="C252" s="7" t="inlineStr">
        <is>
          <t>Armament@missileeliteThunderbolt</t>
        </is>
      </c>
      <c r="L252" s="6" t="n">
        <v>4000</v>
      </c>
      <c r="M252" s="6" t="n">
        <v>25</v>
      </c>
      <c r="N252" s="6" t="n">
        <v>4</v>
      </c>
      <c r="O252" s="6" t="n"/>
      <c r="P252" s="6" t="n">
        <v>7170</v>
      </c>
      <c r="Q252" s="6" t="n">
        <v>1</v>
      </c>
      <c r="R252">
        <f>M252+IF(MAX(N252-1,0)&gt;0,IF(ISBLANK(O252),5*MAX(N252-1,0),IF(ISNUMBER(O252),O252*MAX(N252-1,0),SUM(IFERROR(VALUE(TEXTSPLIT(O252,",")),0)))),0)</f>
        <v/>
      </c>
      <c r="S252">
        <f>IFERROR(L252*MAX(N252,1)/R252*IF(ISBLANK(K214),1,K214),0)</f>
        <v/>
      </c>
      <c r="AB252" s="7" t="inlineStr">
        <is>
          <t>^Warhead_MissileHE_Heavy, ^Warhead_MissileHE_Light</t>
        </is>
      </c>
    </row>
    <row r="253">
      <c r="B253" s="7" t="inlineStr">
        <is>
          <t xml:space="preserve">  ↳ RA2MultiThunderboltMissile_AA</t>
        </is>
      </c>
      <c r="C253" s="7" t="inlineStr">
        <is>
          <t>Armament@missileAAThunderbolt</t>
        </is>
      </c>
      <c r="L253" s="6" t="n">
        <v>4000</v>
      </c>
      <c r="M253" s="6" t="n">
        <v>25</v>
      </c>
      <c r="N253" s="6" t="n">
        <v>1</v>
      </c>
      <c r="O253" s="6" t="n"/>
      <c r="P253" s="6" t="n">
        <v>9255</v>
      </c>
      <c r="Q253" s="6" t="n">
        <v>1</v>
      </c>
      <c r="R253">
        <f>M253+IF(MAX(N253-1,0)&gt;0,IF(ISBLANK(O253),5*MAX(N253-1,0),IF(ISNUMBER(O253),O253*MAX(N253-1,0),SUM(IFERROR(VALUE(TEXTSPLIT(O253,",")),0)))),0)</f>
        <v/>
      </c>
      <c r="S253">
        <f>IFERROR(L253*MAX(N253,1)/R253*IF(ISBLANK(K214),1,K214),0)</f>
        <v/>
      </c>
      <c r="AB253" s="7" t="inlineStr">
        <is>
          <t>^Warhead_MissileHE_Heavy, ^Warhead_MissileHE_Light</t>
        </is>
      </c>
    </row>
    <row r="254">
      <c r="B254" s="7" t="inlineStr">
        <is>
          <t xml:space="preserve">  ↳ RA2MultiThunderboltMissile_AA_elite</t>
        </is>
      </c>
      <c r="C254" s="7" t="inlineStr">
        <is>
          <t>Armament@missileeliteAAThunderbolt</t>
        </is>
      </c>
      <c r="L254" s="6" t="n">
        <v>4000</v>
      </c>
      <c r="M254" s="6" t="n">
        <v>25</v>
      </c>
      <c r="N254" s="6" t="n">
        <v>4</v>
      </c>
      <c r="O254" s="6" t="n"/>
      <c r="P254" s="6" t="n">
        <v>10255</v>
      </c>
      <c r="Q254" s="6" t="n">
        <v>1</v>
      </c>
      <c r="R254">
        <f>M254+IF(MAX(N254-1,0)&gt;0,IF(ISBLANK(O254),5*MAX(N254-1,0),IF(ISNUMBER(O254),O254*MAX(N254-1,0),SUM(IFERROR(VALUE(TEXTSPLIT(O254,",")),0)))),0)</f>
        <v/>
      </c>
      <c r="S254">
        <f>IFERROR(L254*MAX(N254,1)/R254*IF(ISBLANK(K214),1,K214),0)</f>
        <v/>
      </c>
      <c r="AB254" s="7" t="inlineStr">
        <is>
          <t>^Warhead_MissileHE_Heavy, ^Warhead_MissileHE_Light</t>
        </is>
      </c>
    </row>
    <row r="255">
      <c r="B255" s="7" t="inlineStr">
        <is>
          <t xml:space="preserve">  ↳ MedicHeal</t>
        </is>
      </c>
      <c r="C255" s="7" t="inlineStr">
        <is>
          <t>Armament@healer</t>
        </is>
      </c>
      <c r="L255" s="6" t="n">
        <v>-3000</v>
      </c>
      <c r="M255" s="6" t="n">
        <v>10</v>
      </c>
      <c r="N255" s="6" t="n">
        <v>1</v>
      </c>
      <c r="O255" s="6" t="n"/>
      <c r="P255" s="6" t="n">
        <v>6000</v>
      </c>
      <c r="Q255" s="6" t="n">
        <v>1</v>
      </c>
      <c r="R255">
        <f>M255+IF(MAX(N255-1,0)&gt;0,IF(ISBLANK(O255),5*MAX(N255-1,0),IF(ISNUMBER(O255),O255*MAX(N255-1,0),SUM(IFERROR(VALUE(TEXTSPLIT(O255,",")),0)))),0)</f>
        <v/>
      </c>
      <c r="S255">
        <f>IFERROR(L255*MAX(N255,1)/R255*IF(ISBLANK(K214),1,K214),0)</f>
        <v/>
      </c>
      <c r="AB255" s="7" t="inlineStr">
        <is>
          <t>^HealingWeapon</t>
        </is>
      </c>
    </row>
    <row r="256">
      <c r="B256" s="7" t="inlineStr">
        <is>
          <t xml:space="preserve">  ↳ RA2AWP</t>
        </is>
      </c>
      <c r="C256" s="7" t="inlineStr">
        <is>
          <t>Armament@ra1_allies_alliedsniper</t>
        </is>
      </c>
      <c r="L256" s="6" t="n">
        <v>44000</v>
      </c>
      <c r="M256" s="6" t="n">
        <v>54</v>
      </c>
      <c r="N256" s="6" t="n">
        <v>1</v>
      </c>
      <c r="O256" s="6" t="n"/>
      <c r="P256" s="6" t="n">
        <v>10000</v>
      </c>
      <c r="Q256" s="6" t="n">
        <v>0.75</v>
      </c>
      <c r="R256">
        <f>M256+IF(MAX(N256-1,0)&gt;0,IF(ISBLANK(O256),5*MAX(N256-1,0),IF(ISNUMBER(O256),O256*MAX(N256-1,0),SUM(IFERROR(VALUE(TEXTSPLIT(O256,",")),0)))),0)</f>
        <v/>
      </c>
      <c r="S256">
        <f>IFERROR(L256*MAX(N256,1)/R256*IF(ISBLANK(K214),1,K214),0)</f>
        <v/>
      </c>
      <c r="AB256" s="7" t="inlineStr">
        <is>
          <t>^Warhead_Sniper_Light</t>
        </is>
      </c>
    </row>
    <row r="257">
      <c r="A257" t="inlineStr">
        <is>
          <t>redalert2</t>
        </is>
      </c>
      <c r="B257" t="inlineStr">
        <is>
          <t>ra2_allies_ifv_mg</t>
        </is>
      </c>
      <c r="C257" t="inlineStr">
        <is>
          <t>actor_fv.name</t>
        </is>
      </c>
      <c r="D257" s="6" t="inlineStr">
        <is>
          <t>ScoutVehicle</t>
        </is>
      </c>
      <c r="E257" s="6" t="n">
        <v>25000</v>
      </c>
      <c r="F257" s="6" t="n">
        <v>150</v>
      </c>
      <c r="G257" t="inlineStr">
        <is>
          <t>Scout</t>
        </is>
      </c>
      <c r="H257" s="6" t="n">
        <v>1</v>
      </c>
      <c r="I257" s="6" t="n">
        <v>1</v>
      </c>
      <c r="J257" s="6" t="n">
        <v>1</v>
      </c>
      <c r="P257">
        <f>MAX(P258,P259,P260,P261,P262,P263,P264,P265,P266,P267,P268,P269,P270,P271,P272,P273,P274,P275,P276,P280,P281,P282,P283,P284,P285,P286,P287,P288,P289,P290,P291,P292,P293,P294,P295,P296,P297,P298,P299)</f>
        <v/>
      </c>
      <c r="S257">
        <f>S258+S259+S260+S261+S262+S263+S264+S265+S266+S267+S268+S269+S270+S271+S272+S273+S274+S275+S276+S280+S281+S282+S283+S284+S285+S286+S287+S288+S289+S290+S291+S292+S293+S294+S295+S296+S297+S298+S299</f>
        <v/>
      </c>
      <c r="T257">
        <f>(E257/100000+F257/100+(P257/1000)*J257/5+S257/200)*200*I257*H257</f>
        <v/>
      </c>
      <c r="U257">
        <f>((E257*F257/25000)+((P257/1000)*J257*S257/2.5))*I257*H257</f>
        <v/>
      </c>
      <c r="V257">
        <f>(E257*F257*(P257/1000)*J257*S257*I257*H257)/12500000</f>
        <v/>
      </c>
      <c r="W257">
        <f>IFERROR((((E257/30000)+(F257/200)+(S257/450)+((P257/4500)*J257))*300/4+(((E257/30000)*(F257/200))+(((P257/4500)*J257)*(S257/450)))*300/2+((E257/30000)*(F257/200)*((P257/4500)*J257)*(S257/450))*300)*(H257/1.0)/3,"")</f>
        <v/>
      </c>
      <c r="X257" s="6" t="n">
        <v>500</v>
      </c>
      <c r="Y257">
        <f>IFERROR(W257-X257,"")</f>
        <v/>
      </c>
      <c r="Z257">
        <f>IFERROR(ABS(Y257)/MAX(X257,1),"")</f>
        <v/>
      </c>
      <c r="AA257">
        <f>IFERROR(ROUND(((3*X257-(((E257/30000)+(F257/200)+(S257/450))*300/4+((E257/30000)*(F257/200))*300/2)*(H257/1.0))/(300/4+((S257/450))*300/2+((E257/30000)*(F257/200)*(S257/450))*300)*(H257/1.0)*4500)/J257,-1),"")</f>
        <v/>
      </c>
    </row>
    <row r="258">
      <c r="B258" s="7" t="inlineStr">
        <is>
          <t xml:space="preserve">  ↳ RA2CRM60</t>
        </is>
      </c>
      <c r="C258" s="7" t="inlineStr">
        <is>
          <t>Armament@mg</t>
        </is>
      </c>
      <c r="L258" s="6" t="n">
        <v>4000</v>
      </c>
      <c r="M258" s="6" t="n">
        <v>14</v>
      </c>
      <c r="N258" s="6" t="n">
        <v>4</v>
      </c>
      <c r="O258" s="6" t="n">
        <v>2</v>
      </c>
      <c r="P258" s="6" t="n">
        <v>5660</v>
      </c>
      <c r="Q258" s="6" t="n">
        <v>0.875</v>
      </c>
      <c r="R258">
        <f>M258+IF(MAX(N258-1,0)&gt;0,IF(ISBLANK(O258),5*MAX(N258-1,0),IF(ISNUMBER(O258),O258*MAX(N258-1,0),SUM(IFERROR(VALUE(TEXTSPLIT(O258,",")),0)))),0)</f>
        <v/>
      </c>
      <c r="S258">
        <f>IFERROR(L258*MAX(N258,1)/R258*IF(ISBLANK(K257),1,K257),0)</f>
        <v/>
      </c>
      <c r="AB258" s="7" t="inlineStr">
        <is>
          <t>^Warhead_Bullet_Light, ^Warhead_Bullet_Medium</t>
        </is>
      </c>
    </row>
    <row r="259">
      <c r="B259" s="7" t="inlineStr">
        <is>
          <t xml:space="preserve">  ↳ RA2CRM60H</t>
        </is>
      </c>
      <c r="C259" s="7" t="inlineStr">
        <is>
          <t>Armament@hmg</t>
        </is>
      </c>
      <c r="L259" s="6" t="n">
        <v>6000</v>
      </c>
      <c r="M259" s="6" t="n">
        <v>10</v>
      </c>
      <c r="N259" s="6" t="n">
        <v>6</v>
      </c>
      <c r="O259" s="6" t="n">
        <v>2</v>
      </c>
      <c r="P259" s="6" t="n">
        <v>4692</v>
      </c>
      <c r="Q259" s="6" t="n">
        <v>1.125</v>
      </c>
      <c r="R259">
        <f>M259+IF(MAX(N259-1,0)&gt;0,IF(ISBLANK(O259),5*MAX(N259-1,0),IF(ISNUMBER(O259),O259*MAX(N259-1,0),SUM(IFERROR(VALUE(TEXTSPLIT(O259,",")),0)))),0)</f>
        <v/>
      </c>
      <c r="S259">
        <f>IFERROR(L259*MAX(N259,1)/R259*IF(ISBLANK(K257),1,K257),0)</f>
        <v/>
      </c>
      <c r="AB259" s="7" t="inlineStr">
        <is>
          <t>^Warhead_CannonHE_Heavy, ^Warhead_Bullet_Medium</t>
        </is>
      </c>
    </row>
    <row r="260">
      <c r="B260" s="7" t="inlineStr">
        <is>
          <t xml:space="preserve">  ↳ wc_tower_fire</t>
        </is>
      </c>
      <c r="C260" s="7" t="inlineStr">
        <is>
          <t>Armament@archer</t>
        </is>
      </c>
      <c r="L260" s="6" t="n">
        <v>2500</v>
      </c>
      <c r="M260" s="6" t="n">
        <v>40</v>
      </c>
      <c r="N260" s="6" t="n">
        <v>1</v>
      </c>
      <c r="O260" s="6" t="n"/>
      <c r="P260" s="6" t="n">
        <v>8704</v>
      </c>
      <c r="Q260" s="6" t="n">
        <v>1</v>
      </c>
      <c r="R260">
        <f>M260+IF(MAX(N260-1,0)&gt;0,IF(ISBLANK(O260),5*MAX(N260-1,0),IF(ISNUMBER(O260),O260*MAX(N260-1,0),SUM(IFERROR(VALUE(TEXTSPLIT(O260,",")),0)))),0)</f>
        <v/>
      </c>
      <c r="S260">
        <f>IFERROR(L260*MAX(N260,1)/R260*IF(ISBLANK(K257),1,K257),0)</f>
        <v/>
      </c>
      <c r="AB260" s="7" t="inlineStr">
        <is>
          <t>bowFire</t>
        </is>
      </c>
    </row>
    <row r="261">
      <c r="B261" s="7" t="inlineStr">
        <is>
          <t xml:space="preserve">  ↳ RA2IFVRepair</t>
        </is>
      </c>
      <c r="C261" s="7" t="inlineStr">
        <is>
          <t>Armament@repair</t>
        </is>
      </c>
      <c r="L261" s="6" t="n">
        <v>-3000</v>
      </c>
      <c r="M261" s="6" t="n">
        <v>50</v>
      </c>
      <c r="N261" s="6" t="n">
        <v>10</v>
      </c>
      <c r="O261" s="6" t="n">
        <v>1</v>
      </c>
      <c r="P261" s="6" t="n">
        <v>5000</v>
      </c>
      <c r="Q261" s="6" t="n">
        <v>1</v>
      </c>
      <c r="R261">
        <f>M261+IF(MAX(N261-1,0)&gt;0,IF(ISBLANK(O261),5*MAX(N261-1,0),IF(ISNUMBER(O261),O261*MAX(N261-1,0),SUM(IFERROR(VALUE(TEXTSPLIT(O261,",")),0)))),0)</f>
        <v/>
      </c>
      <c r="S261">
        <f>IFERROR(L261*MAX(N261,1)/R261*IF(ISBLANK(K257),1,K257),0)</f>
        <v/>
      </c>
      <c r="AB261" s="7" t="inlineStr">
        <is>
          <t>^RepairWeapon</t>
        </is>
      </c>
    </row>
    <row r="262">
      <c r="B262" s="7" t="inlineStr">
        <is>
          <t xml:space="preserve">  ↳ LightSniper</t>
        </is>
      </c>
      <c r="C262" s="7" t="inlineStr">
        <is>
          <t>Armament@lightsniper</t>
        </is>
      </c>
      <c r="L262" s="6" t="n">
        <v>30000</v>
      </c>
      <c r="M262" s="6" t="n">
        <v>100</v>
      </c>
      <c r="N262" s="6" t="n">
        <v>1</v>
      </c>
      <c r="O262" s="6" t="n"/>
      <c r="P262" s="6" t="n">
        <v>9153</v>
      </c>
      <c r="Q262" s="6" t="n">
        <v>0.75</v>
      </c>
      <c r="R262">
        <f>M262+IF(MAX(N262-1,0)&gt;0,IF(ISBLANK(O262),5*MAX(N262-1,0),IF(ISNUMBER(O262),O262*MAX(N262-1,0),SUM(IFERROR(VALUE(TEXTSPLIT(O262,",")),0)))),0)</f>
        <v/>
      </c>
      <c r="S262">
        <f>IFERROR(L262*MAX(N262,1)/R262*IF(ISBLANK(K257),1,K257),0)</f>
        <v/>
      </c>
      <c r="AB262" s="7" t="inlineStr">
        <is>
          <t>^Warhead_Sniper_Light</t>
        </is>
      </c>
    </row>
    <row r="263">
      <c r="B263" s="7" t="inlineStr">
        <is>
          <t xml:space="preserve">  ↳ RA2DoublePistolsIFV</t>
        </is>
      </c>
      <c r="C263" s="7" t="inlineStr">
        <is>
          <t>Armament@hero</t>
        </is>
      </c>
      <c r="L263" s="6" t="n">
        <v>14000</v>
      </c>
      <c r="M263" s="6" t="n">
        <v>12</v>
      </c>
      <c r="N263" s="6" t="n">
        <v>2</v>
      </c>
      <c r="O263" s="6" t="n">
        <v>3</v>
      </c>
      <c r="P263" s="6" t="n">
        <v>8000</v>
      </c>
      <c r="Q263" s="6" t="n">
        <v>0.75</v>
      </c>
      <c r="R263">
        <f>M263+IF(MAX(N263-1,0)&gt;0,IF(ISBLANK(O263),5*MAX(N263-1,0),IF(ISNUMBER(O263),O263*MAX(N263-1,0),SUM(IFERROR(VALUE(TEXTSPLIT(O263,",")),0)))),0)</f>
        <v/>
      </c>
      <c r="S263">
        <f>IFERROR(L263*MAX(N263,1)/R263*IF(ISBLANK(K257),1,K257),0)</f>
        <v/>
      </c>
      <c r="AB263" s="7" t="inlineStr">
        <is>
          <t>^Warhead_Sniper_Light</t>
        </is>
      </c>
    </row>
    <row r="264">
      <c r="B264" s="7" t="inlineStr">
        <is>
          <t xml:space="preserve">  ↳ TTankZap</t>
        </is>
      </c>
      <c r="C264" s="7" t="inlineStr">
        <is>
          <t>Armament@tesla</t>
        </is>
      </c>
      <c r="L264" s="6" t="n">
        <v>40000</v>
      </c>
      <c r="M264" s="6" t="n">
        <v>80</v>
      </c>
      <c r="N264" s="6" t="n">
        <v>1</v>
      </c>
      <c r="O264" s="6" t="n"/>
      <c r="P264" s="6" t="n">
        <v>7300</v>
      </c>
      <c r="Q264" s="6" t="n">
        <v>1.25</v>
      </c>
      <c r="R264">
        <f>M264+IF(MAX(N264-1,0)&gt;0,IF(ISBLANK(O264),5*MAX(N264-1,0),IF(ISNUMBER(O264),O264*MAX(N264-1,0),SUM(IFERROR(VALUE(TEXTSPLIT(O264,",")),0)))),0)</f>
        <v/>
      </c>
      <c r="S264">
        <f>IFERROR(L264*MAX(N264,1)/R264*IF(ISBLANK(K257),1,K257),0)</f>
        <v/>
      </c>
      <c r="AB264" s="7" t="inlineStr">
        <is>
          <t>^Warhead_Tesla_Heavy</t>
        </is>
      </c>
    </row>
    <row r="265">
      <c r="B265" s="7" t="inlineStr">
        <is>
          <t xml:space="preserve">  ↳ DragunovSniper</t>
        </is>
      </c>
      <c r="C265" s="7" t="inlineStr">
        <is>
          <t>Armament@flak</t>
        </is>
      </c>
      <c r="L265" s="6" t="n">
        <v>400000</v>
      </c>
      <c r="M265" s="6" t="n">
        <v>85</v>
      </c>
      <c r="N265" s="6" t="n">
        <v>1</v>
      </c>
      <c r="O265" s="6" t="n"/>
      <c r="P265" s="6" t="n">
        <v>5804</v>
      </c>
      <c r="Q265" s="6" t="n">
        <v>1</v>
      </c>
      <c r="R265">
        <f>M265+IF(MAX(N265-1,0)&gt;0,IF(ISBLANK(O265),5*MAX(N265-1,0),IF(ISNUMBER(O265),O265*MAX(N265-1,0),SUM(IFERROR(VALUE(TEXTSPLIT(O265,",")),0)))),0)</f>
        <v/>
      </c>
      <c r="S265">
        <f>IFERROR(L265*MAX(N265,1)/R265*IF(ISBLANK(K257),1,K257),0)</f>
        <v/>
      </c>
      <c r="AB265" s="7" t="inlineStr">
        <is>
          <t>^TankDestroyerCannon, ^RailgunWeapon, ^LightMissile, ^HeavyCannon, ^FlakWeapon</t>
        </is>
      </c>
    </row>
    <row r="266">
      <c r="B266" s="7" t="inlineStr">
        <is>
          <t xml:space="preserve">  ↳ RA2MirageGun</t>
        </is>
      </c>
      <c r="C266" s="7" t="inlineStr">
        <is>
          <t>Armament@cannon</t>
        </is>
      </c>
      <c r="L266" s="6" t="n">
        <v>24000</v>
      </c>
      <c r="M266" s="6" t="n">
        <v>39</v>
      </c>
      <c r="N266" s="6" t="n">
        <v>1</v>
      </c>
      <c r="O266" s="6" t="n"/>
      <c r="P266" s="6" t="n">
        <v>6031</v>
      </c>
      <c r="Q266" s="6" t="n">
        <v>0.75</v>
      </c>
      <c r="R266">
        <f>M266+IF(MAX(N266-1,0)&gt;0,IF(ISBLANK(O266),5*MAX(N266-1,0),IF(ISNUMBER(O266),O266*MAX(N266-1,0),SUM(IFERROR(VALUE(TEXTSPLIT(O266,",")),0)))),0)</f>
        <v/>
      </c>
      <c r="S266">
        <f>IFERROR(L266*MAX(N266,1)/R266*IF(ISBLANK(K257),1,K257),0)</f>
        <v/>
      </c>
      <c r="AB266" s="7" t="inlineStr">
        <is>
          <t>^Warhead_CannonAP_Light</t>
        </is>
      </c>
    </row>
    <row r="267">
      <c r="B267" s="7" t="inlineStr">
        <is>
          <t xml:space="preserve">  ↳ Grenade</t>
        </is>
      </c>
      <c r="C267" s="7" t="inlineStr">
        <is>
          <t>Armament@grenade</t>
        </is>
      </c>
      <c r="L267" s="6" t="n">
        <v>16000</v>
      </c>
      <c r="M267" s="6" t="n">
        <v>42</v>
      </c>
      <c r="N267" s="6" t="n">
        <v>1</v>
      </c>
      <c r="O267" s="6" t="n"/>
      <c r="P267" s="6" t="n">
        <v>6097</v>
      </c>
      <c r="Q267" s="6" t="n">
        <v>0.75</v>
      </c>
      <c r="R267">
        <f>M267+IF(MAX(N267-1,0)&gt;0,IF(ISBLANK(O267),5*MAX(N267-1,0),IF(ISNUMBER(O267),O267*MAX(N267-1,0),SUM(IFERROR(VALUE(TEXTSPLIT(O267,",")),0)))),0)</f>
        <v/>
      </c>
      <c r="S267">
        <f>IFERROR(L267*MAX(N267,1)/R267*IF(ISBLANK(K257),1,K257),0)</f>
        <v/>
      </c>
      <c r="AB267" s="7" t="inlineStr">
        <is>
          <t>^Warhead_Demolition_Light</t>
        </is>
      </c>
    </row>
    <row r="268">
      <c r="B268" s="7" t="inlineStr">
        <is>
          <t xml:space="preserve">  ↳ DRPlasmaTankWeapon</t>
        </is>
      </c>
      <c r="C268" s="7" t="inlineStr">
        <is>
          <t>Armament@plasma</t>
        </is>
      </c>
      <c r="L268" s="6" t="n">
        <v>6250</v>
      </c>
      <c r="M268" s="6" t="n">
        <v>21</v>
      </c>
      <c r="N268" s="6" t="n">
        <v>1</v>
      </c>
      <c r="O268" s="6" t="n"/>
      <c r="P268" s="6" t="n">
        <v>5120</v>
      </c>
      <c r="Q268" s="6" t="n">
        <v>1</v>
      </c>
      <c r="R268">
        <f>M268+IF(MAX(N268-1,0)&gt;0,IF(ISBLANK(O268),5*MAX(N268-1,0),IF(ISNUMBER(O268),O268*MAX(N268-1,0),SUM(IFERROR(VALUE(TEXTSPLIT(O268,",")),0)))),0)</f>
        <v/>
      </c>
      <c r="S268">
        <f>IFERROR(L268*MAX(N268,1)/R268*IF(ISBLANK(K257),1,K257),0)</f>
        <v/>
      </c>
      <c r="AB268" s="7" t="inlineStr">
        <is>
          <t>^DRPlasmaWeapon</t>
        </is>
      </c>
    </row>
    <row r="269">
      <c r="B269" s="7" t="inlineStr">
        <is>
          <t xml:space="preserve">  ↳ SWLaserG</t>
        </is>
      </c>
      <c r="C269" s="7" t="inlineStr">
        <is>
          <t>Armament@litlaser</t>
        </is>
      </c>
      <c r="L269" s="6" t="n">
        <v>2000</v>
      </c>
      <c r="M269" s="6" t="n">
        <v>30</v>
      </c>
      <c r="N269" s="6" t="n">
        <v>6</v>
      </c>
      <c r="O269" s="6" t="n"/>
      <c r="P269" s="6" t="n">
        <v>6144</v>
      </c>
      <c r="Q269" s="6" t="n">
        <v>1</v>
      </c>
      <c r="R269">
        <f>M269+IF(MAX(N269-1,0)&gt;0,IF(ISBLANK(O269),5*MAX(N269-1,0),IF(ISNUMBER(O269),O269*MAX(N269-1,0),SUM(IFERROR(VALUE(TEXTSPLIT(O269,",")),0)))),0)</f>
        <v/>
      </c>
      <c r="S269">
        <f>IFERROR(L269*MAX(N269,1)/R269*IF(ISBLANK(K257),1,K257),0)</f>
        <v/>
      </c>
      <c r="AB269" s="7" t="inlineStr">
        <is>
          <t>SWLaser</t>
        </is>
      </c>
    </row>
    <row r="270">
      <c r="B270" s="7" t="inlineStr">
        <is>
          <t xml:space="preserve">  ↳ USALaserCannonAG</t>
        </is>
      </c>
      <c r="C270" s="7" t="inlineStr">
        <is>
          <t>Armament@medlaser</t>
        </is>
      </c>
      <c r="L270" s="6" t="n">
        <v>4000</v>
      </c>
      <c r="M270" s="6" t="n">
        <v>50</v>
      </c>
      <c r="N270" s="6" t="n">
        <v>3</v>
      </c>
      <c r="O270" s="6" t="n">
        <v>6</v>
      </c>
      <c r="P270" s="6" t="n">
        <v>7168</v>
      </c>
      <c r="Q270" s="6" t="n">
        <v>1</v>
      </c>
      <c r="R270">
        <f>M270+IF(MAX(N270-1,0)&gt;0,IF(ISBLANK(O270),5*MAX(N270-1,0),IF(ISNUMBER(O270),O270*MAX(N270-1,0),SUM(IFERROR(VALUE(TEXTSPLIT(O270,",")),0)))),0)</f>
        <v/>
      </c>
      <c r="S270">
        <f>IFERROR(L270*MAX(N270,1)/R270*IF(ISBLANK(K257),1,K257),0)</f>
        <v/>
      </c>
      <c r="AB270" s="7" t="inlineStr">
        <is>
          <t>^AntiGroundMissile</t>
        </is>
      </c>
    </row>
    <row r="271">
      <c r="B271" s="7" t="inlineStr">
        <is>
          <t xml:space="preserve">  ↳ SWGreenLaserG</t>
        </is>
      </c>
      <c r="C271" s="7" t="inlineStr">
        <is>
          <t>Armament@greenlaser</t>
        </is>
      </c>
      <c r="L271" s="6" t="n">
        <v>5000</v>
      </c>
      <c r="M271" s="6" t="n">
        <v>75</v>
      </c>
      <c r="N271" s="6" t="n">
        <v>1</v>
      </c>
      <c r="O271" s="6" t="n"/>
      <c r="P271" s="6" t="n">
        <v>7168</v>
      </c>
      <c r="Q271" s="6" t="n">
        <v>1</v>
      </c>
      <c r="R271">
        <f>M271+IF(MAX(N271-1,0)&gt;0,IF(ISBLANK(O271),5*MAX(N271-1,0),IF(ISNUMBER(O271),O271*MAX(N271-1,0),SUM(IFERROR(VALUE(TEXTSPLIT(O271,",")),0)))),0)</f>
        <v/>
      </c>
      <c r="S271">
        <f>IFERROR(L271*MAX(N271,1)/R271*IF(ISBLANK(K257),1,K257),0)</f>
        <v/>
      </c>
      <c r="AB271" s="7" t="inlineStr">
        <is>
          <t>SWGreenLaser</t>
        </is>
      </c>
    </row>
    <row r="272">
      <c r="B272" s="7" t="inlineStr">
        <is>
          <t xml:space="preserve">  ↳ SWGBigRedLaserG</t>
        </is>
      </c>
      <c r="C272" s="7" t="inlineStr">
        <is>
          <t>Armament@misslaser</t>
        </is>
      </c>
      <c r="L272" s="6" t="n">
        <v>4000</v>
      </c>
      <c r="M272" s="6" t="n">
        <v>75</v>
      </c>
      <c r="N272" s="6" t="n">
        <v>1</v>
      </c>
      <c r="O272" s="6" t="n"/>
      <c r="P272" s="6" t="n">
        <v>8192</v>
      </c>
      <c r="Q272" s="6" t="n">
        <v>1</v>
      </c>
      <c r="R272">
        <f>M272+IF(MAX(N272-1,0)&gt;0,IF(ISBLANK(O272),5*MAX(N272-1,0),IF(ISNUMBER(O272),O272*MAX(N272-1,0),SUM(IFERROR(VALUE(TEXTSPLIT(O272,",")),0)))),0)</f>
        <v/>
      </c>
      <c r="S272">
        <f>IFERROR(L272*MAX(N272,1)/R272*IF(ISBLANK(K257),1,K257),0)</f>
        <v/>
      </c>
      <c r="AB272" s="7" t="inlineStr">
        <is>
          <t>SWrBigRedLaser</t>
        </is>
      </c>
    </row>
    <row r="273">
      <c r="B273" s="7" t="inlineStr">
        <is>
          <t xml:space="preserve">  ↳ BigFlamer</t>
        </is>
      </c>
      <c r="C273" s="7" t="inlineStr">
        <is>
          <t>Armament@fire</t>
        </is>
      </c>
      <c r="L273" s="6" t="n">
        <v>14000</v>
      </c>
      <c r="M273" s="6" t="n">
        <v>50</v>
      </c>
      <c r="N273" s="6" t="n">
        <v>2</v>
      </c>
      <c r="O273" s="6" t="n">
        <v>10</v>
      </c>
      <c r="P273" s="6" t="n">
        <v>2390</v>
      </c>
      <c r="Q273" s="6" t="n">
        <v>1</v>
      </c>
      <c r="R273">
        <f>M273+IF(MAX(N273-1,0)&gt;0,IF(ISBLANK(O273),5*MAX(N273-1,0),IF(ISNUMBER(O273),O273*MAX(N273-1,0),SUM(IFERROR(VALUE(TEXTSPLIT(O273,",")),0)))),0)</f>
        <v/>
      </c>
      <c r="S273">
        <f>IFERROR(L273*MAX(N273,1)/R273*IF(ISBLANK(K257),1,K257),0)</f>
        <v/>
      </c>
      <c r="AB273" s="7" t="inlineStr">
        <is>
          <t>^Warhead_Flame_Medium</t>
        </is>
      </c>
    </row>
    <row r="274">
      <c r="B274" s="7" t="inlineStr">
        <is>
          <t xml:space="preserve">  ↳ RA2RadBeamWeapon</t>
        </is>
      </c>
      <c r="C274" s="7" t="inlineStr">
        <is>
          <t>Armament@chem</t>
        </is>
      </c>
      <c r="L274" s="6" t="n">
        <v>30000</v>
      </c>
      <c r="M274" s="6" t="n">
        <v>45</v>
      </c>
      <c r="N274" s="6" t="n">
        <v>1</v>
      </c>
      <c r="O274" s="6" t="n"/>
      <c r="P274" s="6" t="n">
        <v>6444</v>
      </c>
      <c r="Q274" s="6" t="n">
        <v>1</v>
      </c>
      <c r="R274">
        <f>M274+IF(MAX(N274-1,0)&gt;0,IF(ISBLANK(O274),5*MAX(N274-1,0),IF(ISNUMBER(O274),O274*MAX(N274-1,0),SUM(IFERROR(VALUE(TEXTSPLIT(O274,",")),0)))),0)</f>
        <v/>
      </c>
      <c r="S274">
        <f>IFERROR(L274*MAX(N274,1)/R274*IF(ISBLANK(K257),1,K257),0)</f>
        <v/>
      </c>
      <c r="AB274" s="7" t="inlineStr">
        <is>
          <t>^Warhead_Chemical_Medium</t>
        </is>
      </c>
    </row>
    <row r="275">
      <c r="B275" s="7" t="inlineStr">
        <is>
          <t xml:space="preserve">  ↳ RA2RadBeamWeapon</t>
        </is>
      </c>
      <c r="C275" s="7" t="inlineStr">
        <is>
          <t>Armament@thrax</t>
        </is>
      </c>
      <c r="L275" s="6" t="n">
        <v>30000</v>
      </c>
      <c r="M275" s="6" t="n">
        <v>45</v>
      </c>
      <c r="N275" s="6" t="n">
        <v>1</v>
      </c>
      <c r="O275" s="6" t="n"/>
      <c r="P275" s="6" t="n">
        <v>6444</v>
      </c>
      <c r="Q275" s="6" t="n">
        <v>1</v>
      </c>
      <c r="R275">
        <f>M275+IF(MAX(N275-1,0)&gt;0,IF(ISBLANK(O275),5*MAX(N275-1,0),IF(ISNUMBER(O275),O275*MAX(N275-1,0),SUM(IFERROR(VALUE(TEXTSPLIT(O275,",")),0)))),0)</f>
        <v/>
      </c>
      <c r="S275">
        <f>IFERROR(L275*MAX(N275,1)/R275*IF(ISBLANK(K257),1,K257),0)</f>
        <v/>
      </c>
      <c r="AB275" s="7" t="inlineStr">
        <is>
          <t>^Warhead_Chemical_Medium</t>
        </is>
      </c>
    </row>
    <row r="276">
      <c r="B276" s="7" t="inlineStr">
        <is>
          <t xml:space="preserve">  ↳ RA2MultiHoverMissile</t>
        </is>
      </c>
      <c r="C276" s="7" t="inlineStr">
        <is>
          <t>Armament@missile</t>
        </is>
      </c>
      <c r="L276" s="6" t="n">
        <v>4000</v>
      </c>
      <c r="M276" s="6" t="n">
        <v>20</v>
      </c>
      <c r="N276" s="6" t="n">
        <v>4</v>
      </c>
      <c r="O276" s="6" t="n"/>
      <c r="P276" s="6" t="n">
        <v>6170</v>
      </c>
      <c r="Q276" s="6" t="n">
        <v>0.875</v>
      </c>
      <c r="R276">
        <f>M276+IF(MAX(N276-1,0)&gt;0,IF(ISBLANK(O276),5*MAX(N276-1,0),IF(ISNUMBER(O276),O276*MAX(N276-1,0),SUM(IFERROR(VALUE(TEXTSPLIT(O276,",")),0)))),0)</f>
        <v/>
      </c>
      <c r="S276">
        <f>IFERROR(L276*MAX(N276,1)/R276*IF(ISBLANK(K257),1,K257),0)</f>
        <v/>
      </c>
      <c r="AB276" s="7" t="inlineStr">
        <is>
          <t>^Warhead_CannonHE_Medium, ^Warhead_MissileHE_Light</t>
        </is>
      </c>
    </row>
    <row r="277">
      <c r="B277" s="7" t="inlineStr">
        <is>
          <t xml:space="preserve">  ↳ IFVChronoBeam</t>
        </is>
      </c>
      <c r="C277" s="7" t="inlineStr">
        <is>
          <t>Armament@chrono</t>
        </is>
      </c>
      <c r="M277" s="6" t="n">
        <v>1</v>
      </c>
      <c r="N277" s="6" t="n">
        <v>1</v>
      </c>
      <c r="O277" s="6" t="n"/>
      <c r="P277" s="6" t="n">
        <v>7500</v>
      </c>
      <c r="Q277" s="6" t="n">
        <v>1</v>
      </c>
      <c r="R277">
        <f>M277+IF(MAX(N277-1,0)&gt;0,IF(ISBLANK(O277),5*MAX(N277-1,0),IF(ISNUMBER(O277),O277*MAX(N277-1,0),SUM(IFERROR(VALUE(TEXTSPLIT(O277,",")),0)))),0)</f>
        <v/>
      </c>
      <c r="S277">
        <f>IFERROR(L277*MAX(N277,1)/R277*IF(ISBLANK(K257),1,K257),0)</f>
        <v/>
      </c>
      <c r="AB277" s="7" t="inlineStr">
        <is>
          <t>ChronoBeam</t>
        </is>
      </c>
    </row>
    <row r="278">
      <c r="B278" s="7" t="inlineStr">
        <is>
          <t xml:space="preserve">  ↳ IFVChronoSound</t>
        </is>
      </c>
      <c r="C278" s="7" t="inlineStr">
        <is>
          <t>Armament@chronosound</t>
        </is>
      </c>
      <c r="M278" s="6" t="n">
        <v>180</v>
      </c>
      <c r="N278" s="6" t="n">
        <v>1</v>
      </c>
      <c r="O278" s="6" t="n"/>
      <c r="P278" s="6" t="n">
        <v>8000</v>
      </c>
      <c r="Q278" s="6" t="n">
        <v>1</v>
      </c>
      <c r="R278">
        <f>M278+IF(MAX(N278-1,0)&gt;0,IF(ISBLANK(O278),5*MAX(N278-1,0),IF(ISNUMBER(O278),O278*MAX(N278-1,0),SUM(IFERROR(VALUE(TEXTSPLIT(O278,",")),0)))),0)</f>
        <v/>
      </c>
      <c r="S278">
        <f>IFERROR(L278*MAX(N278,1)/R278*IF(ISBLANK(K257),1,K257),0)</f>
        <v/>
      </c>
      <c r="AB278" s="7" t="inlineStr">
        <is>
          <t>RA2ChronoTele</t>
        </is>
      </c>
    </row>
    <row r="279">
      <c r="B279" s="7" t="inlineStr">
        <is>
          <t xml:space="preserve">  ↳ DemoTruckTargeting</t>
        </is>
      </c>
      <c r="C279" s="7" t="inlineStr">
        <is>
          <t>Armament@ivan</t>
        </is>
      </c>
      <c r="M279" s="6" t="n">
        <v>1</v>
      </c>
      <c r="N279" s="6" t="n">
        <v>1</v>
      </c>
      <c r="O279" s="6" t="n"/>
      <c r="P279" s="6" t="n">
        <v>2000</v>
      </c>
      <c r="Q279" s="6" t="n">
        <v>1</v>
      </c>
      <c r="R279">
        <f>M279+IF(MAX(N279-1,0)&gt;0,IF(ISBLANK(O279),5*MAX(N279-1,0),IF(ISNUMBER(O279),O279*MAX(N279-1,0),SUM(IFERROR(VALUE(TEXTSPLIT(O279,",")),0)))),0)</f>
        <v/>
      </c>
      <c r="S279">
        <f>IFERROR(L279*MAX(N279,1)/R279*IF(ISBLANK(K257),1,K257),0)</f>
        <v/>
      </c>
      <c r="AB279" s="7" t="inlineStr"/>
    </row>
    <row r="280">
      <c r="B280" s="7" t="inlineStr">
        <is>
          <t xml:space="preserve">  ↳ Fremen_L</t>
        </is>
      </c>
      <c r="C280" s="7" t="inlineStr">
        <is>
          <t>Armament@fremen</t>
        </is>
      </c>
      <c r="L280" s="6" t="n">
        <v>3000</v>
      </c>
      <c r="M280" s="6" t="n">
        <v>25</v>
      </c>
      <c r="N280" s="6" t="n">
        <v>1</v>
      </c>
      <c r="O280" s="6" t="n"/>
      <c r="P280" s="6" t="n">
        <v>2560</v>
      </c>
      <c r="Q280" s="6" t="n">
        <v>1</v>
      </c>
      <c r="R280">
        <f>M280+IF(MAX(N280-1,0)&gt;0,IF(ISBLANK(O280),5*MAX(N280-1,0),IF(ISNUMBER(O280),O280*MAX(N280-1,0),SUM(IFERROR(VALUE(TEXTSPLIT(O280,",")),0)))),0)</f>
        <v/>
      </c>
      <c r="S280">
        <f>IFERROR(L280*MAX(N280,1)/R280*IF(ISBLANK(K257),1,K257),0)</f>
        <v/>
      </c>
      <c r="AB280" s="7" t="inlineStr">
        <is>
          <t>M_HMG</t>
        </is>
      </c>
    </row>
    <row r="281">
      <c r="B281" s="7" t="inlineStr">
        <is>
          <t xml:space="preserve">  ↳ TSSonicZap</t>
        </is>
      </c>
      <c r="C281" s="7" t="inlineStr">
        <is>
          <t>Armament@sonic</t>
        </is>
      </c>
      <c r="L281" s="6" t="n">
        <v>5000</v>
      </c>
      <c r="M281" s="6" t="n">
        <v>60</v>
      </c>
      <c r="N281" s="6" t="n">
        <v>1</v>
      </c>
      <c r="O281" s="6" t="n"/>
      <c r="P281" s="6" t="n">
        <v>6144</v>
      </c>
      <c r="Q281" s="6" t="n">
        <v>1</v>
      </c>
      <c r="R281">
        <f>M281+IF(MAX(N281-1,0)&gt;0,IF(ISBLANK(O281),5*MAX(N281-1,0),IF(ISNUMBER(O281),O281*MAX(N281-1,0),SUM(IFERROR(VALUE(TEXTSPLIT(O281,",")),0)))),0)</f>
        <v/>
      </c>
      <c r="S281">
        <f>IFERROR(L281*MAX(N281,1)/R281*IF(ISBLANK(K257),1,K257),0)</f>
        <v/>
      </c>
      <c r="AB281" s="7" t="inlineStr"/>
    </row>
    <row r="282">
      <c r="B282" s="7" t="inlineStr">
        <is>
          <t xml:space="preserve">  ↳ MedicHeal</t>
        </is>
      </c>
      <c r="C282" s="7" t="inlineStr">
        <is>
          <t>Armament@heal</t>
        </is>
      </c>
      <c r="L282" s="6" t="n">
        <v>-3000</v>
      </c>
      <c r="M282" s="6" t="n">
        <v>10</v>
      </c>
      <c r="N282" s="6" t="n">
        <v>1</v>
      </c>
      <c r="O282" s="6" t="n"/>
      <c r="P282" s="6" t="n">
        <v>6000</v>
      </c>
      <c r="Q282" s="6" t="n">
        <v>1</v>
      </c>
      <c r="R282">
        <f>M282+IF(MAX(N282-1,0)&gt;0,IF(ISBLANK(O282),5*MAX(N282-1,0),IF(ISNUMBER(O282),O282*MAX(N282-1,0),SUM(IFERROR(VALUE(TEXTSPLIT(O282,",")),0)))),0)</f>
        <v/>
      </c>
      <c r="S282">
        <f>IFERROR(L282*MAX(N282,1)/R282*IF(ISBLANK(K257),1,K257),0)</f>
        <v/>
      </c>
      <c r="AB282" s="7" t="inlineStr">
        <is>
          <t>^HealingWeapon</t>
        </is>
      </c>
    </row>
    <row r="283">
      <c r="B283" s="7" t="inlineStr">
        <is>
          <t xml:space="preserve">  ↳ RA2HoverMissile</t>
        </is>
      </c>
      <c r="C283" s="7" t="inlineStr">
        <is>
          <t>Armament@primary</t>
        </is>
      </c>
      <c r="L283" s="6" t="n">
        <v>12000</v>
      </c>
      <c r="M283" s="6" t="n">
        <v>28</v>
      </c>
      <c r="N283" s="6" t="n">
        <v>2</v>
      </c>
      <c r="O283" s="6" t="n">
        <v>4</v>
      </c>
      <c r="P283" s="6" t="n">
        <v>5760</v>
      </c>
      <c r="Q283" s="6" t="n">
        <v>0.75</v>
      </c>
      <c r="R283">
        <f>M283+IF(MAX(N283-1,0)&gt;0,IF(ISBLANK(O283),5*MAX(N283-1,0),IF(ISNUMBER(O283),O283*MAX(N283-1,0),SUM(IFERROR(VALUE(TEXTSPLIT(O283,",")),0)))),0)</f>
        <v/>
      </c>
      <c r="S283">
        <f>IFERROR(L283*MAX(N283,1)/R283*IF(ISBLANK(K257),1,K257),0)</f>
        <v/>
      </c>
      <c r="AB283" s="7" t="inlineStr">
        <is>
          <t>^Warhead_Arrow_Light, ^Warhead_MissileAP_Light</t>
        </is>
      </c>
    </row>
    <row r="284">
      <c r="B284" s="7" t="inlineStr">
        <is>
          <t xml:space="preserve">  ↳ RA2HoverMissile_elite</t>
        </is>
      </c>
      <c r="C284" s="7" t="inlineStr">
        <is>
          <t>Armament@primaryelite</t>
        </is>
      </c>
      <c r="L284" s="6" t="n">
        <v>12000</v>
      </c>
      <c r="M284" s="6" t="n">
        <v>28</v>
      </c>
      <c r="N284" s="6" t="n">
        <v>4</v>
      </c>
      <c r="O284" s="6" t="n">
        <v>4</v>
      </c>
      <c r="P284" s="6" t="n">
        <v>6760</v>
      </c>
      <c r="Q284" s="6" t="n">
        <v>0.75</v>
      </c>
      <c r="R284">
        <f>M284+IF(MAX(N284-1,0)&gt;0,IF(ISBLANK(O284),5*MAX(N284-1,0),IF(ISNUMBER(O284),O284*MAX(N284-1,0),SUM(IFERROR(VALUE(TEXTSPLIT(O284,",")),0)))),0)</f>
        <v/>
      </c>
      <c r="S284">
        <f>IFERROR(L284*MAX(N284,1)/R284*IF(ISBLANK(K257),1,K257),0)</f>
        <v/>
      </c>
      <c r="AB284" s="7" t="inlineStr">
        <is>
          <t>^Warhead_Arrow_Light, ^Warhead_MissileAP_Light</t>
        </is>
      </c>
    </row>
    <row r="285">
      <c r="B285" s="7" t="inlineStr">
        <is>
          <t xml:space="preserve">  ↳ RA2HoverMissile_AA</t>
        </is>
      </c>
      <c r="C285" s="7" t="inlineStr">
        <is>
          <t>Armament@primaryAA</t>
        </is>
      </c>
      <c r="L285" s="6" t="n">
        <v>12000</v>
      </c>
      <c r="M285" s="6" t="n">
        <v>28</v>
      </c>
      <c r="N285" s="6" t="n">
        <v>2</v>
      </c>
      <c r="O285" s="6" t="n">
        <v>4</v>
      </c>
      <c r="P285" s="6" t="n">
        <v>8640</v>
      </c>
      <c r="Q285" s="6" t="n">
        <v>0.75</v>
      </c>
      <c r="R285">
        <f>M285+IF(MAX(N285-1,0)&gt;0,IF(ISBLANK(O285),5*MAX(N285-1,0),IF(ISNUMBER(O285),O285*MAX(N285-1,0),SUM(IFERROR(VALUE(TEXTSPLIT(O285,",")),0)))),0)</f>
        <v/>
      </c>
      <c r="S285">
        <f>IFERROR(L285*MAX(N285,1)/R285*IF(ISBLANK(K257),1,K257),0)</f>
        <v/>
      </c>
      <c r="AB285" s="7" t="inlineStr">
        <is>
          <t>^Warhead_Arrow_Light, ^Warhead_MissileAP_Light</t>
        </is>
      </c>
    </row>
    <row r="286">
      <c r="B286" s="7" t="inlineStr">
        <is>
          <t xml:space="preserve">  ↳ RA2HoverMissile_AA_elite</t>
        </is>
      </c>
      <c r="C286" s="7" t="inlineStr">
        <is>
          <t>Armament@primaryeliteAA</t>
        </is>
      </c>
      <c r="L286" s="6" t="n">
        <v>12000</v>
      </c>
      <c r="M286" s="6" t="n">
        <v>28</v>
      </c>
      <c r="N286" s="6" t="n">
        <v>4</v>
      </c>
      <c r="O286" s="6" t="n">
        <v>4</v>
      </c>
      <c r="P286" s="6" t="n">
        <v>9640</v>
      </c>
      <c r="Q286" s="6" t="n">
        <v>0.75</v>
      </c>
      <c r="R286">
        <f>M286+IF(MAX(N286-1,0)&gt;0,IF(ISBLANK(O286),5*MAX(N286-1,0),IF(ISNUMBER(O286),O286*MAX(N286-1,0),SUM(IFERROR(VALUE(TEXTSPLIT(O286,",")),0)))),0)</f>
        <v/>
      </c>
      <c r="S286">
        <f>IFERROR(L286*MAX(N286,1)/R286*IF(ISBLANK(K257),1,K257),0)</f>
        <v/>
      </c>
      <c r="AB286" s="7" t="inlineStr">
        <is>
          <t>^Warhead_Arrow_Light, ^Warhead_MissileAP_Light</t>
        </is>
      </c>
    </row>
    <row r="287">
      <c r="B287" s="7" t="inlineStr">
        <is>
          <t xml:space="preserve">  ↳ RA2ThunderboltMissile</t>
        </is>
      </c>
      <c r="C287" s="7" t="inlineStr">
        <is>
          <t>Armament@primaryThunderbolt</t>
        </is>
      </c>
      <c r="L287" s="6" t="n">
        <v>4000</v>
      </c>
      <c r="M287" s="6" t="n">
        <v>25</v>
      </c>
      <c r="N287" s="6" t="n">
        <v>1</v>
      </c>
      <c r="O287" s="6" t="n"/>
      <c r="P287" s="6" t="n">
        <v>5120</v>
      </c>
      <c r="Q287" s="6" t="n">
        <v>1</v>
      </c>
      <c r="R287">
        <f>M287+IF(MAX(N287-1,0)&gt;0,IF(ISBLANK(O287),5*MAX(N287-1,0),IF(ISNUMBER(O287),O287*MAX(N287-1,0),SUM(IFERROR(VALUE(TEXTSPLIT(O287,",")),0)))),0)</f>
        <v/>
      </c>
      <c r="S287">
        <f>IFERROR(L287*MAX(N287,1)/R287*IF(ISBLANK(K257),1,K257),0)</f>
        <v/>
      </c>
      <c r="AB287" s="7" t="inlineStr">
        <is>
          <t>^Warhead_MissileHE_Heavy, ^Warhead_MissileHE_Light</t>
        </is>
      </c>
    </row>
    <row r="288">
      <c r="B288" s="7" t="inlineStr">
        <is>
          <t xml:space="preserve">  ↳ RA2ThunderboltMissile_elite</t>
        </is>
      </c>
      <c r="C288" s="7" t="inlineStr">
        <is>
          <t>Armament@primaryeliteThunderbolt</t>
        </is>
      </c>
      <c r="L288" s="6" t="n">
        <v>4000</v>
      </c>
      <c r="M288" s="6" t="n">
        <v>25</v>
      </c>
      <c r="N288" s="6" t="n">
        <v>4</v>
      </c>
      <c r="O288" s="6" t="n"/>
      <c r="P288" s="6" t="n">
        <v>6760</v>
      </c>
      <c r="Q288" s="6" t="n">
        <v>1</v>
      </c>
      <c r="R288">
        <f>M288+IF(MAX(N288-1,0)&gt;0,IF(ISBLANK(O288),5*MAX(N288-1,0),IF(ISNUMBER(O288),O288*MAX(N288-1,0),SUM(IFERROR(VALUE(TEXTSPLIT(O288,",")),0)))),0)</f>
        <v/>
      </c>
      <c r="S288">
        <f>IFERROR(L288*MAX(N288,1)/R288*IF(ISBLANK(K257),1,K257),0)</f>
        <v/>
      </c>
      <c r="AB288" s="7" t="inlineStr">
        <is>
          <t>^Warhead_MissileHE_Heavy, ^Warhead_MissileHE_Light</t>
        </is>
      </c>
    </row>
    <row r="289">
      <c r="B289" s="7" t="inlineStr">
        <is>
          <t xml:space="preserve">  ↳ RA2ThunderboltMissile_AA</t>
        </is>
      </c>
      <c r="C289" s="7" t="inlineStr">
        <is>
          <t>Armament@primaryAAThunderbolt</t>
        </is>
      </c>
      <c r="L289" s="6" t="n">
        <v>4000</v>
      </c>
      <c r="M289" s="6" t="n">
        <v>25</v>
      </c>
      <c r="N289" s="6" t="n">
        <v>1</v>
      </c>
      <c r="O289" s="6" t="n"/>
      <c r="P289" s="6" t="n">
        <v>8640</v>
      </c>
      <c r="Q289" s="6" t="n">
        <v>1</v>
      </c>
      <c r="R289">
        <f>M289+IF(MAX(N289-1,0)&gt;0,IF(ISBLANK(O289),5*MAX(N289-1,0),IF(ISNUMBER(O289),O289*MAX(N289-1,0),SUM(IFERROR(VALUE(TEXTSPLIT(O289,",")),0)))),0)</f>
        <v/>
      </c>
      <c r="S289">
        <f>IFERROR(L289*MAX(N289,1)/R289*IF(ISBLANK(K257),1,K257),0)</f>
        <v/>
      </c>
      <c r="AB289" s="7" t="inlineStr">
        <is>
          <t>^Warhead_MissileHE_Heavy, ^Warhead_MissileHE_Light</t>
        </is>
      </c>
    </row>
    <row r="290">
      <c r="B290" s="7" t="inlineStr">
        <is>
          <t xml:space="preserve">  ↳ RA2ThunderboltMissile_AA_elite</t>
        </is>
      </c>
      <c r="C290" s="7" t="inlineStr">
        <is>
          <t>Armament@primaryeliteAAThunderbolt</t>
        </is>
      </c>
      <c r="L290" s="6" t="n">
        <v>4000</v>
      </c>
      <c r="M290" s="6" t="n">
        <v>25</v>
      </c>
      <c r="N290" s="6" t="n">
        <v>4</v>
      </c>
      <c r="O290" s="6" t="n"/>
      <c r="P290" s="6" t="n">
        <v>9640</v>
      </c>
      <c r="Q290" s="6" t="n">
        <v>1</v>
      </c>
      <c r="R290">
        <f>M290+IF(MAX(N290-1,0)&gt;0,IF(ISBLANK(O290),5*MAX(N290-1,0),IF(ISNUMBER(O290),O290*MAX(N290-1,0),SUM(IFERROR(VALUE(TEXTSPLIT(O290,",")),0)))),0)</f>
        <v/>
      </c>
      <c r="S290">
        <f>IFERROR(L290*MAX(N290,1)/R290*IF(ISBLANK(K257),1,K257),0)</f>
        <v/>
      </c>
      <c r="AB290" s="7" t="inlineStr">
        <is>
          <t>^Warhead_MissileHE_Heavy, ^Warhead_MissileHE_Light</t>
        </is>
      </c>
    </row>
    <row r="291">
      <c r="B291" s="7" t="inlineStr">
        <is>
          <t xml:space="preserve">  ↳ RA2MultiHoverMissile_elite</t>
        </is>
      </c>
      <c r="C291" s="7" t="inlineStr">
        <is>
          <t>Armament@missileelite</t>
        </is>
      </c>
      <c r="L291" s="6" t="n">
        <v>4000</v>
      </c>
      <c r="M291" s="6" t="n">
        <v>20</v>
      </c>
      <c r="N291" s="6" t="n">
        <v>4</v>
      </c>
      <c r="O291" s="6" t="n"/>
      <c r="P291" s="6" t="n">
        <v>7170</v>
      </c>
      <c r="Q291" s="6" t="n">
        <v>0.875</v>
      </c>
      <c r="R291">
        <f>M291+IF(MAX(N291-1,0)&gt;0,IF(ISBLANK(O291),5*MAX(N291-1,0),IF(ISNUMBER(O291),O291*MAX(N291-1,0),SUM(IFERROR(VALUE(TEXTSPLIT(O291,",")),0)))),0)</f>
        <v/>
      </c>
      <c r="S291">
        <f>IFERROR(L291*MAX(N291,1)/R291*IF(ISBLANK(K257),1,K257),0)</f>
        <v/>
      </c>
      <c r="AB291" s="7" t="inlineStr">
        <is>
          <t>^Warhead_CannonHE_Medium, ^Warhead_MissileHE_Light</t>
        </is>
      </c>
    </row>
    <row r="292">
      <c r="B292" s="7" t="inlineStr">
        <is>
          <t xml:space="preserve">  ↳ RA2MultiHoverMissile_AA</t>
        </is>
      </c>
      <c r="C292" s="7" t="inlineStr">
        <is>
          <t>Armament@missileAA</t>
        </is>
      </c>
      <c r="L292" s="6" t="n">
        <v>4000</v>
      </c>
      <c r="M292" s="6" t="n">
        <v>20</v>
      </c>
      <c r="N292" s="6" t="n">
        <v>4</v>
      </c>
      <c r="O292" s="6" t="n"/>
      <c r="P292" s="6" t="n">
        <v>9255</v>
      </c>
      <c r="Q292" s="6" t="n">
        <v>0.875</v>
      </c>
      <c r="R292">
        <f>M292+IF(MAX(N292-1,0)&gt;0,IF(ISBLANK(O292),5*MAX(N292-1,0),IF(ISNUMBER(O292),O292*MAX(N292-1,0),SUM(IFERROR(VALUE(TEXTSPLIT(O292,",")),0)))),0)</f>
        <v/>
      </c>
      <c r="S292">
        <f>IFERROR(L292*MAX(N292,1)/R292*IF(ISBLANK(K257),1,K257),0)</f>
        <v/>
      </c>
      <c r="AB292" s="7" t="inlineStr">
        <is>
          <t>^Warhead_CannonHE_Medium, ^Warhead_MissileHE_Light</t>
        </is>
      </c>
    </row>
    <row r="293">
      <c r="B293" s="7" t="inlineStr">
        <is>
          <t xml:space="preserve">  ↳ RA2MultiHoverMissile_AA_elite</t>
        </is>
      </c>
      <c r="C293" s="7" t="inlineStr">
        <is>
          <t>Armament@missileeliteAA</t>
        </is>
      </c>
      <c r="L293" s="6" t="n">
        <v>4000</v>
      </c>
      <c r="M293" s="6" t="n">
        <v>20</v>
      </c>
      <c r="N293" s="6" t="n">
        <v>4</v>
      </c>
      <c r="O293" s="6" t="n"/>
      <c r="P293" s="6" t="n">
        <v>10255</v>
      </c>
      <c r="Q293" s="6" t="n">
        <v>0.875</v>
      </c>
      <c r="R293">
        <f>M293+IF(MAX(N293-1,0)&gt;0,IF(ISBLANK(O293),5*MAX(N293-1,0),IF(ISNUMBER(O293),O293*MAX(N293-1,0),SUM(IFERROR(VALUE(TEXTSPLIT(O293,",")),0)))),0)</f>
        <v/>
      </c>
      <c r="S293">
        <f>IFERROR(L293*MAX(N293,1)/R293*IF(ISBLANK(K257),1,K257),0)</f>
        <v/>
      </c>
      <c r="AB293" s="7" t="inlineStr">
        <is>
          <t>^Warhead_CannonHE_Medium, ^Warhead_MissileHE_Light</t>
        </is>
      </c>
    </row>
    <row r="294">
      <c r="B294" s="7" t="inlineStr">
        <is>
          <t xml:space="preserve">  ↳ RA2MultiThunderboltMissile</t>
        </is>
      </c>
      <c r="C294" s="7" t="inlineStr">
        <is>
          <t>Armament@missileThunderbolt</t>
        </is>
      </c>
      <c r="L294" s="6" t="n">
        <v>4000</v>
      </c>
      <c r="M294" s="6" t="n">
        <v>25</v>
      </c>
      <c r="N294" s="6" t="n">
        <v>1</v>
      </c>
      <c r="O294" s="6" t="n"/>
      <c r="P294" s="6" t="n">
        <v>5120</v>
      </c>
      <c r="Q294" s="6" t="n">
        <v>1</v>
      </c>
      <c r="R294">
        <f>M294+IF(MAX(N294-1,0)&gt;0,IF(ISBLANK(O294),5*MAX(N294-1,0),IF(ISNUMBER(O294),O294*MAX(N294-1,0),SUM(IFERROR(VALUE(TEXTSPLIT(O294,",")),0)))),0)</f>
        <v/>
      </c>
      <c r="S294">
        <f>IFERROR(L294*MAX(N294,1)/R294*IF(ISBLANK(K257),1,K257),0)</f>
        <v/>
      </c>
      <c r="AB294" s="7" t="inlineStr">
        <is>
          <t>^Warhead_MissileHE_Heavy, ^Warhead_MissileHE_Light</t>
        </is>
      </c>
    </row>
    <row r="295">
      <c r="B295" s="7" t="inlineStr">
        <is>
          <t xml:space="preserve">  ↳ RA2MultiThunderboltMissile_elite</t>
        </is>
      </c>
      <c r="C295" s="7" t="inlineStr">
        <is>
          <t>Armament@missileeliteThunderbolt</t>
        </is>
      </c>
      <c r="L295" s="6" t="n">
        <v>4000</v>
      </c>
      <c r="M295" s="6" t="n">
        <v>25</v>
      </c>
      <c r="N295" s="6" t="n">
        <v>4</v>
      </c>
      <c r="O295" s="6" t="n"/>
      <c r="P295" s="6" t="n">
        <v>7170</v>
      </c>
      <c r="Q295" s="6" t="n">
        <v>1</v>
      </c>
      <c r="R295">
        <f>M295+IF(MAX(N295-1,0)&gt;0,IF(ISBLANK(O295),5*MAX(N295-1,0),IF(ISNUMBER(O295),O295*MAX(N295-1,0),SUM(IFERROR(VALUE(TEXTSPLIT(O295,",")),0)))),0)</f>
        <v/>
      </c>
      <c r="S295">
        <f>IFERROR(L295*MAX(N295,1)/R295*IF(ISBLANK(K257),1,K257),0)</f>
        <v/>
      </c>
      <c r="AB295" s="7" t="inlineStr">
        <is>
          <t>^Warhead_MissileHE_Heavy, ^Warhead_MissileHE_Light</t>
        </is>
      </c>
    </row>
    <row r="296">
      <c r="B296" s="7" t="inlineStr">
        <is>
          <t xml:space="preserve">  ↳ RA2MultiThunderboltMissile_AA</t>
        </is>
      </c>
      <c r="C296" s="7" t="inlineStr">
        <is>
          <t>Armament@missileAAThunderbolt</t>
        </is>
      </c>
      <c r="L296" s="6" t="n">
        <v>4000</v>
      </c>
      <c r="M296" s="6" t="n">
        <v>25</v>
      </c>
      <c r="N296" s="6" t="n">
        <v>1</v>
      </c>
      <c r="O296" s="6" t="n"/>
      <c r="P296" s="6" t="n">
        <v>9255</v>
      </c>
      <c r="Q296" s="6" t="n">
        <v>1</v>
      </c>
      <c r="R296">
        <f>M296+IF(MAX(N296-1,0)&gt;0,IF(ISBLANK(O296),5*MAX(N296-1,0),IF(ISNUMBER(O296),O296*MAX(N296-1,0),SUM(IFERROR(VALUE(TEXTSPLIT(O296,",")),0)))),0)</f>
        <v/>
      </c>
      <c r="S296">
        <f>IFERROR(L296*MAX(N296,1)/R296*IF(ISBLANK(K257),1,K257),0)</f>
        <v/>
      </c>
      <c r="AB296" s="7" t="inlineStr">
        <is>
          <t>^Warhead_MissileHE_Heavy, ^Warhead_MissileHE_Light</t>
        </is>
      </c>
    </row>
    <row r="297">
      <c r="B297" s="7" t="inlineStr">
        <is>
          <t xml:space="preserve">  ↳ RA2MultiThunderboltMissile_AA_elite</t>
        </is>
      </c>
      <c r="C297" s="7" t="inlineStr">
        <is>
          <t>Armament@missileeliteAAThunderbolt</t>
        </is>
      </c>
      <c r="L297" s="6" t="n">
        <v>4000</v>
      </c>
      <c r="M297" s="6" t="n">
        <v>25</v>
      </c>
      <c r="N297" s="6" t="n">
        <v>4</v>
      </c>
      <c r="O297" s="6" t="n"/>
      <c r="P297" s="6" t="n">
        <v>10255</v>
      </c>
      <c r="Q297" s="6" t="n">
        <v>1</v>
      </c>
      <c r="R297">
        <f>M297+IF(MAX(N297-1,0)&gt;0,IF(ISBLANK(O297),5*MAX(N297-1,0),IF(ISNUMBER(O297),O297*MAX(N297-1,0),SUM(IFERROR(VALUE(TEXTSPLIT(O297,",")),0)))),0)</f>
        <v/>
      </c>
      <c r="S297">
        <f>IFERROR(L297*MAX(N297,1)/R297*IF(ISBLANK(K257),1,K257),0)</f>
        <v/>
      </c>
      <c r="AB297" s="7" t="inlineStr">
        <is>
          <t>^Warhead_MissileHE_Heavy, ^Warhead_MissileHE_Light</t>
        </is>
      </c>
    </row>
    <row r="298">
      <c r="B298" s="7" t="inlineStr">
        <is>
          <t xml:space="preserve">  ↳ MedicHeal</t>
        </is>
      </c>
      <c r="C298" s="7" t="inlineStr">
        <is>
          <t>Armament@healer</t>
        </is>
      </c>
      <c r="L298" s="6" t="n">
        <v>-3000</v>
      </c>
      <c r="M298" s="6" t="n">
        <v>10</v>
      </c>
      <c r="N298" s="6" t="n">
        <v>1</v>
      </c>
      <c r="O298" s="6" t="n"/>
      <c r="P298" s="6" t="n">
        <v>6000</v>
      </c>
      <c r="Q298" s="6" t="n">
        <v>1</v>
      </c>
      <c r="R298">
        <f>M298+IF(MAX(N298-1,0)&gt;0,IF(ISBLANK(O298),5*MAX(N298-1,0),IF(ISNUMBER(O298),O298*MAX(N298-1,0),SUM(IFERROR(VALUE(TEXTSPLIT(O298,",")),0)))),0)</f>
        <v/>
      </c>
      <c r="S298">
        <f>IFERROR(L298*MAX(N298,1)/R298*IF(ISBLANK(K257),1,K257),0)</f>
        <v/>
      </c>
      <c r="AB298" s="7" t="inlineStr">
        <is>
          <t>^HealingWeapon</t>
        </is>
      </c>
    </row>
    <row r="299">
      <c r="B299" s="7" t="inlineStr">
        <is>
          <t xml:space="preserve">  ↳ RA2AWP</t>
        </is>
      </c>
      <c r="C299" s="7" t="inlineStr">
        <is>
          <t>Armament@ra1_allies_alliedsniper</t>
        </is>
      </c>
      <c r="L299" s="6" t="n">
        <v>44000</v>
      </c>
      <c r="M299" s="6" t="n">
        <v>54</v>
      </c>
      <c r="N299" s="6" t="n">
        <v>1</v>
      </c>
      <c r="O299" s="6" t="n"/>
      <c r="P299" s="6" t="n">
        <v>10000</v>
      </c>
      <c r="Q299" s="6" t="n">
        <v>0.75</v>
      </c>
      <c r="R299">
        <f>M299+IF(MAX(N299-1,0)&gt;0,IF(ISBLANK(O299),5*MAX(N299-1,0),IF(ISNUMBER(O299),O299*MAX(N299-1,0),SUM(IFERROR(VALUE(TEXTSPLIT(O299,",")),0)))),0)</f>
        <v/>
      </c>
      <c r="S299">
        <f>IFERROR(L299*MAX(N299,1)/R299*IF(ISBLANK(K257),1,K257),0)</f>
        <v/>
      </c>
      <c r="AB299" s="7" t="inlineStr">
        <is>
          <t>^Warhead_Sniper_Light</t>
        </is>
      </c>
    </row>
    <row r="300">
      <c r="A300" t="inlineStr">
        <is>
          <t>redalert2</t>
        </is>
      </c>
      <c r="B300" t="inlineStr">
        <is>
          <t>ra2_allies_ifv_missile</t>
        </is>
      </c>
      <c r="C300" t="inlineStr">
        <is>
          <t>actor_fv.name</t>
        </is>
      </c>
      <c r="D300" s="6" t="inlineStr">
        <is>
          <t>ScoutVehicle</t>
        </is>
      </c>
      <c r="E300" s="6" t="n">
        <v>25000</v>
      </c>
      <c r="F300" s="6" t="n">
        <v>150</v>
      </c>
      <c r="G300" t="inlineStr">
        <is>
          <t>Scout</t>
        </is>
      </c>
      <c r="H300" s="6" t="n">
        <v>1</v>
      </c>
      <c r="I300" s="6" t="n">
        <v>1</v>
      </c>
      <c r="J300" s="6" t="n">
        <v>1</v>
      </c>
      <c r="P300">
        <f>MAX(P301,P302,P303,P304,P305,P306,P307,P308,P309,P310,P311,P312,P313,P314,P315,P316,P317,P318,P319,P323,P324,P325,P326,P327,P328,P329,P330,P331,P332,P333,P334,P335,P336,P337,P338,P339,P340,P341,P342)</f>
        <v/>
      </c>
      <c r="S300">
        <f>S301+S302+S303+S304+S305+S306+S307+S308+S309+S310+S311+S312+S313+S314+S315+S316+S317+S318+S319+S323+S324+S325+S326+S327+S328+S329+S330+S331+S332+S333+S334+S335+S336+S337+S338+S339+S340+S341+S342</f>
        <v/>
      </c>
      <c r="T300">
        <f>(E300/100000+F300/100+(P300/1000)*J300/5+S300/200)*200*I300*H300</f>
        <v/>
      </c>
      <c r="U300">
        <f>((E300*F300/25000)+((P300/1000)*J300*S300/2.5))*I300*H300</f>
        <v/>
      </c>
      <c r="V300">
        <f>(E300*F300*(P300/1000)*J300*S300*I300*H300)/12500000</f>
        <v/>
      </c>
      <c r="W300">
        <f>IFERROR((((E300/30000)+(F300/200)+(S300/450)+((P300/4500)*J300))*300/4+(((E300/30000)*(F300/200))+(((P300/4500)*J300)*(S300/450)))*300/2+((E300/30000)*(F300/200)*((P300/4500)*J300)*(S300/450))*300)*(H300/1.0)/3,"")</f>
        <v/>
      </c>
      <c r="X300" s="6" t="n">
        <v>500</v>
      </c>
      <c r="Y300">
        <f>IFERROR(W300-X300,"")</f>
        <v/>
      </c>
      <c r="Z300">
        <f>IFERROR(ABS(Y300)/MAX(X300,1),"")</f>
        <v/>
      </c>
      <c r="AA300">
        <f>IFERROR(ROUND(((3*X300-(((E300/30000)+(F300/200)+(S300/450))*300/4+((E300/30000)*(F300/200))*300/2)*(H300/1.0))/(300/4+((S300/450))*300/2+((E300/30000)*(F300/200)*(S300/450))*300)*(H300/1.0)*4500)/J300,-1),"")</f>
        <v/>
      </c>
    </row>
    <row r="301">
      <c r="B301" s="7" t="inlineStr">
        <is>
          <t xml:space="preserve">  ↳ RA2CRM60</t>
        </is>
      </c>
      <c r="C301" s="7" t="inlineStr">
        <is>
          <t>Armament@mg</t>
        </is>
      </c>
      <c r="L301" s="6" t="n">
        <v>4000</v>
      </c>
      <c r="M301" s="6" t="n">
        <v>14</v>
      </c>
      <c r="N301" s="6" t="n">
        <v>4</v>
      </c>
      <c r="O301" s="6" t="n">
        <v>2</v>
      </c>
      <c r="P301" s="6" t="n">
        <v>5660</v>
      </c>
      <c r="Q301" s="6" t="n">
        <v>0.875</v>
      </c>
      <c r="R301">
        <f>M301+IF(MAX(N301-1,0)&gt;0,IF(ISBLANK(O301),5*MAX(N301-1,0),IF(ISNUMBER(O301),O301*MAX(N301-1,0),SUM(IFERROR(VALUE(TEXTSPLIT(O301,",")),0)))),0)</f>
        <v/>
      </c>
      <c r="S301">
        <f>IFERROR(L301*MAX(N301,1)/R301*IF(ISBLANK(K300),1,K300),0)</f>
        <v/>
      </c>
      <c r="AB301" s="7" t="inlineStr">
        <is>
          <t>^Warhead_Bullet_Light, ^Warhead_Bullet_Medium</t>
        </is>
      </c>
    </row>
    <row r="302">
      <c r="B302" s="7" t="inlineStr">
        <is>
          <t xml:space="preserve">  ↳ RA2CRM60H</t>
        </is>
      </c>
      <c r="C302" s="7" t="inlineStr">
        <is>
          <t>Armament@hmg</t>
        </is>
      </c>
      <c r="L302" s="6" t="n">
        <v>6000</v>
      </c>
      <c r="M302" s="6" t="n">
        <v>10</v>
      </c>
      <c r="N302" s="6" t="n">
        <v>6</v>
      </c>
      <c r="O302" s="6" t="n">
        <v>2</v>
      </c>
      <c r="P302" s="6" t="n">
        <v>4692</v>
      </c>
      <c r="Q302" s="6" t="n">
        <v>1.125</v>
      </c>
      <c r="R302">
        <f>M302+IF(MAX(N302-1,0)&gt;0,IF(ISBLANK(O302),5*MAX(N302-1,0),IF(ISNUMBER(O302),O302*MAX(N302-1,0),SUM(IFERROR(VALUE(TEXTSPLIT(O302,",")),0)))),0)</f>
        <v/>
      </c>
      <c r="S302">
        <f>IFERROR(L302*MAX(N302,1)/R302*IF(ISBLANK(K300),1,K300),0)</f>
        <v/>
      </c>
      <c r="AB302" s="7" t="inlineStr">
        <is>
          <t>^Warhead_CannonHE_Heavy, ^Warhead_Bullet_Medium</t>
        </is>
      </c>
    </row>
    <row r="303">
      <c r="B303" s="7" t="inlineStr">
        <is>
          <t xml:space="preserve">  ↳ wc_tower_fire</t>
        </is>
      </c>
      <c r="C303" s="7" t="inlineStr">
        <is>
          <t>Armament@archer</t>
        </is>
      </c>
      <c r="L303" s="6" t="n">
        <v>2500</v>
      </c>
      <c r="M303" s="6" t="n">
        <v>40</v>
      </c>
      <c r="N303" s="6" t="n">
        <v>1</v>
      </c>
      <c r="O303" s="6" t="n"/>
      <c r="P303" s="6" t="n">
        <v>8704</v>
      </c>
      <c r="Q303" s="6" t="n">
        <v>1</v>
      </c>
      <c r="R303">
        <f>M303+IF(MAX(N303-1,0)&gt;0,IF(ISBLANK(O303),5*MAX(N303-1,0),IF(ISNUMBER(O303),O303*MAX(N303-1,0),SUM(IFERROR(VALUE(TEXTSPLIT(O303,",")),0)))),0)</f>
        <v/>
      </c>
      <c r="S303">
        <f>IFERROR(L303*MAX(N303,1)/R303*IF(ISBLANK(K300),1,K300),0)</f>
        <v/>
      </c>
      <c r="AB303" s="7" t="inlineStr">
        <is>
          <t>bowFire</t>
        </is>
      </c>
    </row>
    <row r="304">
      <c r="B304" s="7" t="inlineStr">
        <is>
          <t xml:space="preserve">  ↳ RA2IFVRepair</t>
        </is>
      </c>
      <c r="C304" s="7" t="inlineStr">
        <is>
          <t>Armament@repair</t>
        </is>
      </c>
      <c r="L304" s="6" t="n">
        <v>-3000</v>
      </c>
      <c r="M304" s="6" t="n">
        <v>50</v>
      </c>
      <c r="N304" s="6" t="n">
        <v>10</v>
      </c>
      <c r="O304" s="6" t="n">
        <v>1</v>
      </c>
      <c r="P304" s="6" t="n">
        <v>5000</v>
      </c>
      <c r="Q304" s="6" t="n">
        <v>1</v>
      </c>
      <c r="R304">
        <f>M304+IF(MAX(N304-1,0)&gt;0,IF(ISBLANK(O304),5*MAX(N304-1,0),IF(ISNUMBER(O304),O304*MAX(N304-1,0),SUM(IFERROR(VALUE(TEXTSPLIT(O304,",")),0)))),0)</f>
        <v/>
      </c>
      <c r="S304">
        <f>IFERROR(L304*MAX(N304,1)/R304*IF(ISBLANK(K300),1,K300),0)</f>
        <v/>
      </c>
      <c r="AB304" s="7" t="inlineStr">
        <is>
          <t>^RepairWeapon</t>
        </is>
      </c>
    </row>
    <row r="305">
      <c r="B305" s="7" t="inlineStr">
        <is>
          <t xml:space="preserve">  ↳ LightSniper</t>
        </is>
      </c>
      <c r="C305" s="7" t="inlineStr">
        <is>
          <t>Armament@lightsniper</t>
        </is>
      </c>
      <c r="L305" s="6" t="n">
        <v>30000</v>
      </c>
      <c r="M305" s="6" t="n">
        <v>100</v>
      </c>
      <c r="N305" s="6" t="n">
        <v>1</v>
      </c>
      <c r="O305" s="6" t="n"/>
      <c r="P305" s="6" t="n">
        <v>9153</v>
      </c>
      <c r="Q305" s="6" t="n">
        <v>0.75</v>
      </c>
      <c r="R305">
        <f>M305+IF(MAX(N305-1,0)&gt;0,IF(ISBLANK(O305),5*MAX(N305-1,0),IF(ISNUMBER(O305),O305*MAX(N305-1,0),SUM(IFERROR(VALUE(TEXTSPLIT(O305,",")),0)))),0)</f>
        <v/>
      </c>
      <c r="S305">
        <f>IFERROR(L305*MAX(N305,1)/R305*IF(ISBLANK(K300),1,K300),0)</f>
        <v/>
      </c>
      <c r="AB305" s="7" t="inlineStr">
        <is>
          <t>^Warhead_Sniper_Light</t>
        </is>
      </c>
    </row>
    <row r="306">
      <c r="B306" s="7" t="inlineStr">
        <is>
          <t xml:space="preserve">  ↳ RA2DoublePistolsIFV</t>
        </is>
      </c>
      <c r="C306" s="7" t="inlineStr">
        <is>
          <t>Armament@hero</t>
        </is>
      </c>
      <c r="L306" s="6" t="n">
        <v>14000</v>
      </c>
      <c r="M306" s="6" t="n">
        <v>12</v>
      </c>
      <c r="N306" s="6" t="n">
        <v>2</v>
      </c>
      <c r="O306" s="6" t="n">
        <v>3</v>
      </c>
      <c r="P306" s="6" t="n">
        <v>8000</v>
      </c>
      <c r="Q306" s="6" t="n">
        <v>0.75</v>
      </c>
      <c r="R306">
        <f>M306+IF(MAX(N306-1,0)&gt;0,IF(ISBLANK(O306),5*MAX(N306-1,0),IF(ISNUMBER(O306),O306*MAX(N306-1,0),SUM(IFERROR(VALUE(TEXTSPLIT(O306,",")),0)))),0)</f>
        <v/>
      </c>
      <c r="S306">
        <f>IFERROR(L306*MAX(N306,1)/R306*IF(ISBLANK(K300),1,K300),0)</f>
        <v/>
      </c>
      <c r="AB306" s="7" t="inlineStr">
        <is>
          <t>^Warhead_Sniper_Light</t>
        </is>
      </c>
    </row>
    <row r="307">
      <c r="B307" s="7" t="inlineStr">
        <is>
          <t xml:space="preserve">  ↳ TTankZap</t>
        </is>
      </c>
      <c r="C307" s="7" t="inlineStr">
        <is>
          <t>Armament@tesla</t>
        </is>
      </c>
      <c r="L307" s="6" t="n">
        <v>40000</v>
      </c>
      <c r="M307" s="6" t="n">
        <v>80</v>
      </c>
      <c r="N307" s="6" t="n">
        <v>1</v>
      </c>
      <c r="O307" s="6" t="n"/>
      <c r="P307" s="6" t="n">
        <v>7300</v>
      </c>
      <c r="Q307" s="6" t="n">
        <v>1.25</v>
      </c>
      <c r="R307">
        <f>M307+IF(MAX(N307-1,0)&gt;0,IF(ISBLANK(O307),5*MAX(N307-1,0),IF(ISNUMBER(O307),O307*MAX(N307-1,0),SUM(IFERROR(VALUE(TEXTSPLIT(O307,",")),0)))),0)</f>
        <v/>
      </c>
      <c r="S307">
        <f>IFERROR(L307*MAX(N307,1)/R307*IF(ISBLANK(K300),1,K300),0)</f>
        <v/>
      </c>
      <c r="AB307" s="7" t="inlineStr">
        <is>
          <t>^Warhead_Tesla_Heavy</t>
        </is>
      </c>
    </row>
    <row r="308">
      <c r="B308" s="7" t="inlineStr">
        <is>
          <t xml:space="preserve">  ↳ DragunovSniper</t>
        </is>
      </c>
      <c r="C308" s="7" t="inlineStr">
        <is>
          <t>Armament@flak</t>
        </is>
      </c>
      <c r="L308" s="6" t="n">
        <v>400000</v>
      </c>
      <c r="M308" s="6" t="n">
        <v>85</v>
      </c>
      <c r="N308" s="6" t="n">
        <v>1</v>
      </c>
      <c r="O308" s="6" t="n"/>
      <c r="P308" s="6" t="n">
        <v>5804</v>
      </c>
      <c r="Q308" s="6" t="n">
        <v>1</v>
      </c>
      <c r="R308">
        <f>M308+IF(MAX(N308-1,0)&gt;0,IF(ISBLANK(O308),5*MAX(N308-1,0),IF(ISNUMBER(O308),O308*MAX(N308-1,0),SUM(IFERROR(VALUE(TEXTSPLIT(O308,",")),0)))),0)</f>
        <v/>
      </c>
      <c r="S308">
        <f>IFERROR(L308*MAX(N308,1)/R308*IF(ISBLANK(K300),1,K300),0)</f>
        <v/>
      </c>
      <c r="AB308" s="7" t="inlineStr">
        <is>
          <t>^TankDestroyerCannon, ^RailgunWeapon, ^LightMissile, ^HeavyCannon, ^FlakWeapon</t>
        </is>
      </c>
    </row>
    <row r="309">
      <c r="B309" s="7" t="inlineStr">
        <is>
          <t xml:space="preserve">  ↳ RA2MirageGun</t>
        </is>
      </c>
      <c r="C309" s="7" t="inlineStr">
        <is>
          <t>Armament@cannon</t>
        </is>
      </c>
      <c r="L309" s="6" t="n">
        <v>24000</v>
      </c>
      <c r="M309" s="6" t="n">
        <v>39</v>
      </c>
      <c r="N309" s="6" t="n">
        <v>1</v>
      </c>
      <c r="O309" s="6" t="n"/>
      <c r="P309" s="6" t="n">
        <v>6031</v>
      </c>
      <c r="Q309" s="6" t="n">
        <v>0.75</v>
      </c>
      <c r="R309">
        <f>M309+IF(MAX(N309-1,0)&gt;0,IF(ISBLANK(O309),5*MAX(N309-1,0),IF(ISNUMBER(O309),O309*MAX(N309-1,0),SUM(IFERROR(VALUE(TEXTSPLIT(O309,",")),0)))),0)</f>
        <v/>
      </c>
      <c r="S309">
        <f>IFERROR(L309*MAX(N309,1)/R309*IF(ISBLANK(K300),1,K300),0)</f>
        <v/>
      </c>
      <c r="AB309" s="7" t="inlineStr">
        <is>
          <t>^Warhead_CannonAP_Light</t>
        </is>
      </c>
    </row>
    <row r="310">
      <c r="B310" s="7" t="inlineStr">
        <is>
          <t xml:space="preserve">  ↳ Grenade</t>
        </is>
      </c>
      <c r="C310" s="7" t="inlineStr">
        <is>
          <t>Armament@grenade</t>
        </is>
      </c>
      <c r="L310" s="6" t="n">
        <v>16000</v>
      </c>
      <c r="M310" s="6" t="n">
        <v>42</v>
      </c>
      <c r="N310" s="6" t="n">
        <v>1</v>
      </c>
      <c r="O310" s="6" t="n"/>
      <c r="P310" s="6" t="n">
        <v>6097</v>
      </c>
      <c r="Q310" s="6" t="n">
        <v>0.75</v>
      </c>
      <c r="R310">
        <f>M310+IF(MAX(N310-1,0)&gt;0,IF(ISBLANK(O310),5*MAX(N310-1,0),IF(ISNUMBER(O310),O310*MAX(N310-1,0),SUM(IFERROR(VALUE(TEXTSPLIT(O310,",")),0)))),0)</f>
        <v/>
      </c>
      <c r="S310">
        <f>IFERROR(L310*MAX(N310,1)/R310*IF(ISBLANK(K300),1,K300),0)</f>
        <v/>
      </c>
      <c r="AB310" s="7" t="inlineStr">
        <is>
          <t>^Warhead_Demolition_Light</t>
        </is>
      </c>
    </row>
    <row r="311">
      <c r="B311" s="7" t="inlineStr">
        <is>
          <t xml:space="preserve">  ↳ DRPlasmaTankWeapon</t>
        </is>
      </c>
      <c r="C311" s="7" t="inlineStr">
        <is>
          <t>Armament@plasma</t>
        </is>
      </c>
      <c r="L311" s="6" t="n">
        <v>6250</v>
      </c>
      <c r="M311" s="6" t="n">
        <v>21</v>
      </c>
      <c r="N311" s="6" t="n">
        <v>1</v>
      </c>
      <c r="O311" s="6" t="n"/>
      <c r="P311" s="6" t="n">
        <v>5120</v>
      </c>
      <c r="Q311" s="6" t="n">
        <v>1</v>
      </c>
      <c r="R311">
        <f>M311+IF(MAX(N311-1,0)&gt;0,IF(ISBLANK(O311),5*MAX(N311-1,0),IF(ISNUMBER(O311),O311*MAX(N311-1,0),SUM(IFERROR(VALUE(TEXTSPLIT(O311,",")),0)))),0)</f>
        <v/>
      </c>
      <c r="S311">
        <f>IFERROR(L311*MAX(N311,1)/R311*IF(ISBLANK(K300),1,K300),0)</f>
        <v/>
      </c>
      <c r="AB311" s="7" t="inlineStr">
        <is>
          <t>^DRPlasmaWeapon</t>
        </is>
      </c>
    </row>
    <row r="312">
      <c r="B312" s="7" t="inlineStr">
        <is>
          <t xml:space="preserve">  ↳ SWLaserG</t>
        </is>
      </c>
      <c r="C312" s="7" t="inlineStr">
        <is>
          <t>Armament@litlaser</t>
        </is>
      </c>
      <c r="L312" s="6" t="n">
        <v>2000</v>
      </c>
      <c r="M312" s="6" t="n">
        <v>30</v>
      </c>
      <c r="N312" s="6" t="n">
        <v>6</v>
      </c>
      <c r="O312" s="6" t="n"/>
      <c r="P312" s="6" t="n">
        <v>6144</v>
      </c>
      <c r="Q312" s="6" t="n">
        <v>1</v>
      </c>
      <c r="R312">
        <f>M312+IF(MAX(N312-1,0)&gt;0,IF(ISBLANK(O312),5*MAX(N312-1,0),IF(ISNUMBER(O312),O312*MAX(N312-1,0),SUM(IFERROR(VALUE(TEXTSPLIT(O312,",")),0)))),0)</f>
        <v/>
      </c>
      <c r="S312">
        <f>IFERROR(L312*MAX(N312,1)/R312*IF(ISBLANK(K300),1,K300),0)</f>
        <v/>
      </c>
      <c r="AB312" s="7" t="inlineStr">
        <is>
          <t>SWLaser</t>
        </is>
      </c>
    </row>
    <row r="313">
      <c r="B313" s="7" t="inlineStr">
        <is>
          <t xml:space="preserve">  ↳ USALaserCannonAG</t>
        </is>
      </c>
      <c r="C313" s="7" t="inlineStr">
        <is>
          <t>Armament@medlaser</t>
        </is>
      </c>
      <c r="L313" s="6" t="n">
        <v>4000</v>
      </c>
      <c r="M313" s="6" t="n">
        <v>50</v>
      </c>
      <c r="N313" s="6" t="n">
        <v>3</v>
      </c>
      <c r="O313" s="6" t="n">
        <v>6</v>
      </c>
      <c r="P313" s="6" t="n">
        <v>7168</v>
      </c>
      <c r="Q313" s="6" t="n">
        <v>1</v>
      </c>
      <c r="R313">
        <f>M313+IF(MAX(N313-1,0)&gt;0,IF(ISBLANK(O313),5*MAX(N313-1,0),IF(ISNUMBER(O313),O313*MAX(N313-1,0),SUM(IFERROR(VALUE(TEXTSPLIT(O313,",")),0)))),0)</f>
        <v/>
      </c>
      <c r="S313">
        <f>IFERROR(L313*MAX(N313,1)/R313*IF(ISBLANK(K300),1,K300),0)</f>
        <v/>
      </c>
      <c r="AB313" s="7" t="inlineStr">
        <is>
          <t>^AntiGroundMissile</t>
        </is>
      </c>
    </row>
    <row r="314">
      <c r="B314" s="7" t="inlineStr">
        <is>
          <t xml:space="preserve">  ↳ SWGreenLaserG</t>
        </is>
      </c>
      <c r="C314" s="7" t="inlineStr">
        <is>
          <t>Armament@greenlaser</t>
        </is>
      </c>
      <c r="L314" s="6" t="n">
        <v>5000</v>
      </c>
      <c r="M314" s="6" t="n">
        <v>75</v>
      </c>
      <c r="N314" s="6" t="n">
        <v>1</v>
      </c>
      <c r="O314" s="6" t="n"/>
      <c r="P314" s="6" t="n">
        <v>7168</v>
      </c>
      <c r="Q314" s="6" t="n">
        <v>1</v>
      </c>
      <c r="R314">
        <f>M314+IF(MAX(N314-1,0)&gt;0,IF(ISBLANK(O314),5*MAX(N314-1,0),IF(ISNUMBER(O314),O314*MAX(N314-1,0),SUM(IFERROR(VALUE(TEXTSPLIT(O314,",")),0)))),0)</f>
        <v/>
      </c>
      <c r="S314">
        <f>IFERROR(L314*MAX(N314,1)/R314*IF(ISBLANK(K300),1,K300),0)</f>
        <v/>
      </c>
      <c r="AB314" s="7" t="inlineStr">
        <is>
          <t>SWGreenLaser</t>
        </is>
      </c>
    </row>
    <row r="315">
      <c r="B315" s="7" t="inlineStr">
        <is>
          <t xml:space="preserve">  ↳ SWGBigRedLaserG</t>
        </is>
      </c>
      <c r="C315" s="7" t="inlineStr">
        <is>
          <t>Armament@misslaser</t>
        </is>
      </c>
      <c r="L315" s="6" t="n">
        <v>4000</v>
      </c>
      <c r="M315" s="6" t="n">
        <v>75</v>
      </c>
      <c r="N315" s="6" t="n">
        <v>1</v>
      </c>
      <c r="O315" s="6" t="n"/>
      <c r="P315" s="6" t="n">
        <v>8192</v>
      </c>
      <c r="Q315" s="6" t="n">
        <v>1</v>
      </c>
      <c r="R315">
        <f>M315+IF(MAX(N315-1,0)&gt;0,IF(ISBLANK(O315),5*MAX(N315-1,0),IF(ISNUMBER(O315),O315*MAX(N315-1,0),SUM(IFERROR(VALUE(TEXTSPLIT(O315,",")),0)))),0)</f>
        <v/>
      </c>
      <c r="S315">
        <f>IFERROR(L315*MAX(N315,1)/R315*IF(ISBLANK(K300),1,K300),0)</f>
        <v/>
      </c>
      <c r="AB315" s="7" t="inlineStr">
        <is>
          <t>SWrBigRedLaser</t>
        </is>
      </c>
    </row>
    <row r="316">
      <c r="B316" s="7" t="inlineStr">
        <is>
          <t xml:space="preserve">  ↳ BigFlamer</t>
        </is>
      </c>
      <c r="C316" s="7" t="inlineStr">
        <is>
          <t>Armament@fire</t>
        </is>
      </c>
      <c r="L316" s="6" t="n">
        <v>14000</v>
      </c>
      <c r="M316" s="6" t="n">
        <v>50</v>
      </c>
      <c r="N316" s="6" t="n">
        <v>2</v>
      </c>
      <c r="O316" s="6" t="n">
        <v>10</v>
      </c>
      <c r="P316" s="6" t="n">
        <v>2390</v>
      </c>
      <c r="Q316" s="6" t="n">
        <v>1</v>
      </c>
      <c r="R316">
        <f>M316+IF(MAX(N316-1,0)&gt;0,IF(ISBLANK(O316),5*MAX(N316-1,0),IF(ISNUMBER(O316),O316*MAX(N316-1,0),SUM(IFERROR(VALUE(TEXTSPLIT(O316,",")),0)))),0)</f>
        <v/>
      </c>
      <c r="S316">
        <f>IFERROR(L316*MAX(N316,1)/R316*IF(ISBLANK(K300),1,K300),0)</f>
        <v/>
      </c>
      <c r="AB316" s="7" t="inlineStr">
        <is>
          <t>^Warhead_Flame_Medium</t>
        </is>
      </c>
    </row>
    <row r="317">
      <c r="B317" s="7" t="inlineStr">
        <is>
          <t xml:space="preserve">  ↳ RA2RadBeamWeapon</t>
        </is>
      </c>
      <c r="C317" s="7" t="inlineStr">
        <is>
          <t>Armament@chem</t>
        </is>
      </c>
      <c r="L317" s="6" t="n">
        <v>30000</v>
      </c>
      <c r="M317" s="6" t="n">
        <v>45</v>
      </c>
      <c r="N317" s="6" t="n">
        <v>1</v>
      </c>
      <c r="O317" s="6" t="n"/>
      <c r="P317" s="6" t="n">
        <v>6444</v>
      </c>
      <c r="Q317" s="6" t="n">
        <v>1</v>
      </c>
      <c r="R317">
        <f>M317+IF(MAX(N317-1,0)&gt;0,IF(ISBLANK(O317),5*MAX(N317-1,0),IF(ISNUMBER(O317),O317*MAX(N317-1,0),SUM(IFERROR(VALUE(TEXTSPLIT(O317,",")),0)))),0)</f>
        <v/>
      </c>
      <c r="S317">
        <f>IFERROR(L317*MAX(N317,1)/R317*IF(ISBLANK(K300),1,K300),0)</f>
        <v/>
      </c>
      <c r="AB317" s="7" t="inlineStr">
        <is>
          <t>^Warhead_Chemical_Medium</t>
        </is>
      </c>
    </row>
    <row r="318">
      <c r="B318" s="7" t="inlineStr">
        <is>
          <t xml:space="preserve">  ↳ RA2RadBeamWeapon</t>
        </is>
      </c>
      <c r="C318" s="7" t="inlineStr">
        <is>
          <t>Armament@thrax</t>
        </is>
      </c>
      <c r="L318" s="6" t="n">
        <v>30000</v>
      </c>
      <c r="M318" s="6" t="n">
        <v>45</v>
      </c>
      <c r="N318" s="6" t="n">
        <v>1</v>
      </c>
      <c r="O318" s="6" t="n"/>
      <c r="P318" s="6" t="n">
        <v>6444</v>
      </c>
      <c r="Q318" s="6" t="n">
        <v>1</v>
      </c>
      <c r="R318">
        <f>M318+IF(MAX(N318-1,0)&gt;0,IF(ISBLANK(O318),5*MAX(N318-1,0),IF(ISNUMBER(O318),O318*MAX(N318-1,0),SUM(IFERROR(VALUE(TEXTSPLIT(O318,",")),0)))),0)</f>
        <v/>
      </c>
      <c r="S318">
        <f>IFERROR(L318*MAX(N318,1)/R318*IF(ISBLANK(K300),1,K300),0)</f>
        <v/>
      </c>
      <c r="AB318" s="7" t="inlineStr">
        <is>
          <t>^Warhead_Chemical_Medium</t>
        </is>
      </c>
    </row>
    <row r="319">
      <c r="B319" s="7" t="inlineStr">
        <is>
          <t xml:space="preserve">  ↳ RA2MultiHoverMissile</t>
        </is>
      </c>
      <c r="C319" s="7" t="inlineStr">
        <is>
          <t>Armament@missile</t>
        </is>
      </c>
      <c r="L319" s="6" t="n">
        <v>4000</v>
      </c>
      <c r="M319" s="6" t="n">
        <v>20</v>
      </c>
      <c r="N319" s="6" t="n">
        <v>4</v>
      </c>
      <c r="O319" s="6" t="n"/>
      <c r="P319" s="6" t="n">
        <v>6170</v>
      </c>
      <c r="Q319" s="6" t="n">
        <v>0.875</v>
      </c>
      <c r="R319">
        <f>M319+IF(MAX(N319-1,0)&gt;0,IF(ISBLANK(O319),5*MAX(N319-1,0),IF(ISNUMBER(O319),O319*MAX(N319-1,0),SUM(IFERROR(VALUE(TEXTSPLIT(O319,",")),0)))),0)</f>
        <v/>
      </c>
      <c r="S319">
        <f>IFERROR(L319*MAX(N319,1)/R319*IF(ISBLANK(K300),1,K300),0)</f>
        <v/>
      </c>
      <c r="AB319" s="7" t="inlineStr">
        <is>
          <t>^Warhead_CannonHE_Medium, ^Warhead_MissileHE_Light</t>
        </is>
      </c>
    </row>
    <row r="320">
      <c r="B320" s="7" t="inlineStr">
        <is>
          <t xml:space="preserve">  ↳ IFVChronoBeam</t>
        </is>
      </c>
      <c r="C320" s="7" t="inlineStr">
        <is>
          <t>Armament@chrono</t>
        </is>
      </c>
      <c r="M320" s="6" t="n">
        <v>1</v>
      </c>
      <c r="N320" s="6" t="n">
        <v>1</v>
      </c>
      <c r="O320" s="6" t="n"/>
      <c r="P320" s="6" t="n">
        <v>7500</v>
      </c>
      <c r="Q320" s="6" t="n">
        <v>1</v>
      </c>
      <c r="R320">
        <f>M320+IF(MAX(N320-1,0)&gt;0,IF(ISBLANK(O320),5*MAX(N320-1,0),IF(ISNUMBER(O320),O320*MAX(N320-1,0),SUM(IFERROR(VALUE(TEXTSPLIT(O320,",")),0)))),0)</f>
        <v/>
      </c>
      <c r="S320">
        <f>IFERROR(L320*MAX(N320,1)/R320*IF(ISBLANK(K300),1,K300),0)</f>
        <v/>
      </c>
      <c r="AB320" s="7" t="inlineStr">
        <is>
          <t>ChronoBeam</t>
        </is>
      </c>
    </row>
    <row r="321">
      <c r="B321" s="7" t="inlineStr">
        <is>
          <t xml:space="preserve">  ↳ IFVChronoSound</t>
        </is>
      </c>
      <c r="C321" s="7" t="inlineStr">
        <is>
          <t>Armament@chronosound</t>
        </is>
      </c>
      <c r="M321" s="6" t="n">
        <v>180</v>
      </c>
      <c r="N321" s="6" t="n">
        <v>1</v>
      </c>
      <c r="O321" s="6" t="n"/>
      <c r="P321" s="6" t="n">
        <v>8000</v>
      </c>
      <c r="Q321" s="6" t="n">
        <v>1</v>
      </c>
      <c r="R321">
        <f>M321+IF(MAX(N321-1,0)&gt;0,IF(ISBLANK(O321),5*MAX(N321-1,0),IF(ISNUMBER(O321),O321*MAX(N321-1,0),SUM(IFERROR(VALUE(TEXTSPLIT(O321,",")),0)))),0)</f>
        <v/>
      </c>
      <c r="S321">
        <f>IFERROR(L321*MAX(N321,1)/R321*IF(ISBLANK(K300),1,K300),0)</f>
        <v/>
      </c>
      <c r="AB321" s="7" t="inlineStr">
        <is>
          <t>RA2ChronoTele</t>
        </is>
      </c>
    </row>
    <row r="322">
      <c r="B322" s="7" t="inlineStr">
        <is>
          <t xml:space="preserve">  ↳ DemoTruckTargeting</t>
        </is>
      </c>
      <c r="C322" s="7" t="inlineStr">
        <is>
          <t>Armament@ivan</t>
        </is>
      </c>
      <c r="M322" s="6" t="n">
        <v>1</v>
      </c>
      <c r="N322" s="6" t="n">
        <v>1</v>
      </c>
      <c r="O322" s="6" t="n"/>
      <c r="P322" s="6" t="n">
        <v>2000</v>
      </c>
      <c r="Q322" s="6" t="n">
        <v>1</v>
      </c>
      <c r="R322">
        <f>M322+IF(MAX(N322-1,0)&gt;0,IF(ISBLANK(O322),5*MAX(N322-1,0),IF(ISNUMBER(O322),O322*MAX(N322-1,0),SUM(IFERROR(VALUE(TEXTSPLIT(O322,",")),0)))),0)</f>
        <v/>
      </c>
      <c r="S322">
        <f>IFERROR(L322*MAX(N322,1)/R322*IF(ISBLANK(K300),1,K300),0)</f>
        <v/>
      </c>
      <c r="AB322" s="7" t="inlineStr"/>
    </row>
    <row r="323">
      <c r="B323" s="7" t="inlineStr">
        <is>
          <t xml:space="preserve">  ↳ Fremen_L</t>
        </is>
      </c>
      <c r="C323" s="7" t="inlineStr">
        <is>
          <t>Armament@fremen</t>
        </is>
      </c>
      <c r="L323" s="6" t="n">
        <v>3000</v>
      </c>
      <c r="M323" s="6" t="n">
        <v>25</v>
      </c>
      <c r="N323" s="6" t="n">
        <v>1</v>
      </c>
      <c r="O323" s="6" t="n"/>
      <c r="P323" s="6" t="n">
        <v>2560</v>
      </c>
      <c r="Q323" s="6" t="n">
        <v>1</v>
      </c>
      <c r="R323">
        <f>M323+IF(MAX(N323-1,0)&gt;0,IF(ISBLANK(O323),5*MAX(N323-1,0),IF(ISNUMBER(O323),O323*MAX(N323-1,0),SUM(IFERROR(VALUE(TEXTSPLIT(O323,",")),0)))),0)</f>
        <v/>
      </c>
      <c r="S323">
        <f>IFERROR(L323*MAX(N323,1)/R323*IF(ISBLANK(K300),1,K300),0)</f>
        <v/>
      </c>
      <c r="AB323" s="7" t="inlineStr">
        <is>
          <t>M_HMG</t>
        </is>
      </c>
    </row>
    <row r="324">
      <c r="B324" s="7" t="inlineStr">
        <is>
          <t xml:space="preserve">  ↳ TSSonicZap</t>
        </is>
      </c>
      <c r="C324" s="7" t="inlineStr">
        <is>
          <t>Armament@sonic</t>
        </is>
      </c>
      <c r="L324" s="6" t="n">
        <v>5000</v>
      </c>
      <c r="M324" s="6" t="n">
        <v>60</v>
      </c>
      <c r="N324" s="6" t="n">
        <v>1</v>
      </c>
      <c r="O324" s="6" t="n"/>
      <c r="P324" s="6" t="n">
        <v>6144</v>
      </c>
      <c r="Q324" s="6" t="n">
        <v>1</v>
      </c>
      <c r="R324">
        <f>M324+IF(MAX(N324-1,0)&gt;0,IF(ISBLANK(O324),5*MAX(N324-1,0),IF(ISNUMBER(O324),O324*MAX(N324-1,0),SUM(IFERROR(VALUE(TEXTSPLIT(O324,",")),0)))),0)</f>
        <v/>
      </c>
      <c r="S324">
        <f>IFERROR(L324*MAX(N324,1)/R324*IF(ISBLANK(K300),1,K300),0)</f>
        <v/>
      </c>
      <c r="AB324" s="7" t="inlineStr"/>
    </row>
    <row r="325">
      <c r="B325" s="7" t="inlineStr">
        <is>
          <t xml:space="preserve">  ↳ MedicHeal</t>
        </is>
      </c>
      <c r="C325" s="7" t="inlineStr">
        <is>
          <t>Armament@heal</t>
        </is>
      </c>
      <c r="L325" s="6" t="n">
        <v>-3000</v>
      </c>
      <c r="M325" s="6" t="n">
        <v>10</v>
      </c>
      <c r="N325" s="6" t="n">
        <v>1</v>
      </c>
      <c r="O325" s="6" t="n"/>
      <c r="P325" s="6" t="n">
        <v>6000</v>
      </c>
      <c r="Q325" s="6" t="n">
        <v>1</v>
      </c>
      <c r="R325">
        <f>M325+IF(MAX(N325-1,0)&gt;0,IF(ISBLANK(O325),5*MAX(N325-1,0),IF(ISNUMBER(O325),O325*MAX(N325-1,0),SUM(IFERROR(VALUE(TEXTSPLIT(O325,",")),0)))),0)</f>
        <v/>
      </c>
      <c r="S325">
        <f>IFERROR(L325*MAX(N325,1)/R325*IF(ISBLANK(K300),1,K300),0)</f>
        <v/>
      </c>
      <c r="AB325" s="7" t="inlineStr">
        <is>
          <t>^HealingWeapon</t>
        </is>
      </c>
    </row>
    <row r="326">
      <c r="B326" s="7" t="inlineStr">
        <is>
          <t xml:space="preserve">  ↳ RA2HoverMissile</t>
        </is>
      </c>
      <c r="C326" s="7" t="inlineStr">
        <is>
          <t>Armament@primary</t>
        </is>
      </c>
      <c r="L326" s="6" t="n">
        <v>12000</v>
      </c>
      <c r="M326" s="6" t="n">
        <v>28</v>
      </c>
      <c r="N326" s="6" t="n">
        <v>2</v>
      </c>
      <c r="O326" s="6" t="n">
        <v>4</v>
      </c>
      <c r="P326" s="6" t="n">
        <v>5760</v>
      </c>
      <c r="Q326" s="6" t="n">
        <v>0.75</v>
      </c>
      <c r="R326">
        <f>M326+IF(MAX(N326-1,0)&gt;0,IF(ISBLANK(O326),5*MAX(N326-1,0),IF(ISNUMBER(O326),O326*MAX(N326-1,0),SUM(IFERROR(VALUE(TEXTSPLIT(O326,",")),0)))),0)</f>
        <v/>
      </c>
      <c r="S326">
        <f>IFERROR(L326*MAX(N326,1)/R326*IF(ISBLANK(K300),1,K300),0)</f>
        <v/>
      </c>
      <c r="AB326" s="7" t="inlineStr">
        <is>
          <t>^Warhead_Arrow_Light, ^Warhead_MissileAP_Light</t>
        </is>
      </c>
    </row>
    <row r="327">
      <c r="B327" s="7" t="inlineStr">
        <is>
          <t xml:space="preserve">  ↳ RA2HoverMissile_elite</t>
        </is>
      </c>
      <c r="C327" s="7" t="inlineStr">
        <is>
          <t>Armament@primaryelite</t>
        </is>
      </c>
      <c r="L327" s="6" t="n">
        <v>12000</v>
      </c>
      <c r="M327" s="6" t="n">
        <v>28</v>
      </c>
      <c r="N327" s="6" t="n">
        <v>4</v>
      </c>
      <c r="O327" s="6" t="n">
        <v>4</v>
      </c>
      <c r="P327" s="6" t="n">
        <v>6760</v>
      </c>
      <c r="Q327" s="6" t="n">
        <v>0.75</v>
      </c>
      <c r="R327">
        <f>M327+IF(MAX(N327-1,0)&gt;0,IF(ISBLANK(O327),5*MAX(N327-1,0),IF(ISNUMBER(O327),O327*MAX(N327-1,0),SUM(IFERROR(VALUE(TEXTSPLIT(O327,",")),0)))),0)</f>
        <v/>
      </c>
      <c r="S327">
        <f>IFERROR(L327*MAX(N327,1)/R327*IF(ISBLANK(K300),1,K300),0)</f>
        <v/>
      </c>
      <c r="AB327" s="7" t="inlineStr">
        <is>
          <t>^Warhead_Arrow_Light, ^Warhead_MissileAP_Light</t>
        </is>
      </c>
    </row>
    <row r="328">
      <c r="B328" s="7" t="inlineStr">
        <is>
          <t xml:space="preserve">  ↳ RA2HoverMissile_AA</t>
        </is>
      </c>
      <c r="C328" s="7" t="inlineStr">
        <is>
          <t>Armament@primaryAA</t>
        </is>
      </c>
      <c r="L328" s="6" t="n">
        <v>12000</v>
      </c>
      <c r="M328" s="6" t="n">
        <v>28</v>
      </c>
      <c r="N328" s="6" t="n">
        <v>2</v>
      </c>
      <c r="O328" s="6" t="n">
        <v>4</v>
      </c>
      <c r="P328" s="6" t="n">
        <v>8640</v>
      </c>
      <c r="Q328" s="6" t="n">
        <v>0.75</v>
      </c>
      <c r="R328">
        <f>M328+IF(MAX(N328-1,0)&gt;0,IF(ISBLANK(O328),5*MAX(N328-1,0),IF(ISNUMBER(O328),O328*MAX(N328-1,0),SUM(IFERROR(VALUE(TEXTSPLIT(O328,",")),0)))),0)</f>
        <v/>
      </c>
      <c r="S328">
        <f>IFERROR(L328*MAX(N328,1)/R328*IF(ISBLANK(K300),1,K300),0)</f>
        <v/>
      </c>
      <c r="AB328" s="7" t="inlineStr">
        <is>
          <t>^Warhead_Arrow_Light, ^Warhead_MissileAP_Light</t>
        </is>
      </c>
    </row>
    <row r="329">
      <c r="B329" s="7" t="inlineStr">
        <is>
          <t xml:space="preserve">  ↳ RA2HoverMissile_AA_elite</t>
        </is>
      </c>
      <c r="C329" s="7" t="inlineStr">
        <is>
          <t>Armament@primaryeliteAA</t>
        </is>
      </c>
      <c r="L329" s="6" t="n">
        <v>12000</v>
      </c>
      <c r="M329" s="6" t="n">
        <v>28</v>
      </c>
      <c r="N329" s="6" t="n">
        <v>4</v>
      </c>
      <c r="O329" s="6" t="n">
        <v>4</v>
      </c>
      <c r="P329" s="6" t="n">
        <v>9640</v>
      </c>
      <c r="Q329" s="6" t="n">
        <v>0.75</v>
      </c>
      <c r="R329">
        <f>M329+IF(MAX(N329-1,0)&gt;0,IF(ISBLANK(O329),5*MAX(N329-1,0),IF(ISNUMBER(O329),O329*MAX(N329-1,0),SUM(IFERROR(VALUE(TEXTSPLIT(O329,",")),0)))),0)</f>
        <v/>
      </c>
      <c r="S329">
        <f>IFERROR(L329*MAX(N329,1)/R329*IF(ISBLANK(K300),1,K300),0)</f>
        <v/>
      </c>
      <c r="AB329" s="7" t="inlineStr">
        <is>
          <t>^Warhead_Arrow_Light, ^Warhead_MissileAP_Light</t>
        </is>
      </c>
    </row>
    <row r="330">
      <c r="B330" s="7" t="inlineStr">
        <is>
          <t xml:space="preserve">  ↳ RA2ThunderboltMissile</t>
        </is>
      </c>
      <c r="C330" s="7" t="inlineStr">
        <is>
          <t>Armament@primaryThunderbolt</t>
        </is>
      </c>
      <c r="L330" s="6" t="n">
        <v>4000</v>
      </c>
      <c r="M330" s="6" t="n">
        <v>25</v>
      </c>
      <c r="N330" s="6" t="n">
        <v>1</v>
      </c>
      <c r="O330" s="6" t="n"/>
      <c r="P330" s="6" t="n">
        <v>5120</v>
      </c>
      <c r="Q330" s="6" t="n">
        <v>1</v>
      </c>
      <c r="R330">
        <f>M330+IF(MAX(N330-1,0)&gt;0,IF(ISBLANK(O330),5*MAX(N330-1,0),IF(ISNUMBER(O330),O330*MAX(N330-1,0),SUM(IFERROR(VALUE(TEXTSPLIT(O330,",")),0)))),0)</f>
        <v/>
      </c>
      <c r="S330">
        <f>IFERROR(L330*MAX(N330,1)/R330*IF(ISBLANK(K300),1,K300),0)</f>
        <v/>
      </c>
      <c r="AB330" s="7" t="inlineStr">
        <is>
          <t>^Warhead_MissileHE_Heavy, ^Warhead_MissileHE_Light</t>
        </is>
      </c>
    </row>
    <row r="331">
      <c r="B331" s="7" t="inlineStr">
        <is>
          <t xml:space="preserve">  ↳ RA2ThunderboltMissile_elite</t>
        </is>
      </c>
      <c r="C331" s="7" t="inlineStr">
        <is>
          <t>Armament@primaryeliteThunderbolt</t>
        </is>
      </c>
      <c r="L331" s="6" t="n">
        <v>4000</v>
      </c>
      <c r="M331" s="6" t="n">
        <v>25</v>
      </c>
      <c r="N331" s="6" t="n">
        <v>4</v>
      </c>
      <c r="O331" s="6" t="n"/>
      <c r="P331" s="6" t="n">
        <v>6760</v>
      </c>
      <c r="Q331" s="6" t="n">
        <v>1</v>
      </c>
      <c r="R331">
        <f>M331+IF(MAX(N331-1,0)&gt;0,IF(ISBLANK(O331),5*MAX(N331-1,0),IF(ISNUMBER(O331),O331*MAX(N331-1,0),SUM(IFERROR(VALUE(TEXTSPLIT(O331,",")),0)))),0)</f>
        <v/>
      </c>
      <c r="S331">
        <f>IFERROR(L331*MAX(N331,1)/R331*IF(ISBLANK(K300),1,K300),0)</f>
        <v/>
      </c>
      <c r="AB331" s="7" t="inlineStr">
        <is>
          <t>^Warhead_MissileHE_Heavy, ^Warhead_MissileHE_Light</t>
        </is>
      </c>
    </row>
    <row r="332">
      <c r="B332" s="7" t="inlineStr">
        <is>
          <t xml:space="preserve">  ↳ RA2ThunderboltMissile_AA</t>
        </is>
      </c>
      <c r="C332" s="7" t="inlineStr">
        <is>
          <t>Armament@primaryAAThunderbolt</t>
        </is>
      </c>
      <c r="L332" s="6" t="n">
        <v>4000</v>
      </c>
      <c r="M332" s="6" t="n">
        <v>25</v>
      </c>
      <c r="N332" s="6" t="n">
        <v>1</v>
      </c>
      <c r="O332" s="6" t="n"/>
      <c r="P332" s="6" t="n">
        <v>8640</v>
      </c>
      <c r="Q332" s="6" t="n">
        <v>1</v>
      </c>
      <c r="R332">
        <f>M332+IF(MAX(N332-1,0)&gt;0,IF(ISBLANK(O332),5*MAX(N332-1,0),IF(ISNUMBER(O332),O332*MAX(N332-1,0),SUM(IFERROR(VALUE(TEXTSPLIT(O332,",")),0)))),0)</f>
        <v/>
      </c>
      <c r="S332">
        <f>IFERROR(L332*MAX(N332,1)/R332*IF(ISBLANK(K300),1,K300),0)</f>
        <v/>
      </c>
      <c r="AB332" s="7" t="inlineStr">
        <is>
          <t>^Warhead_MissileHE_Heavy, ^Warhead_MissileHE_Light</t>
        </is>
      </c>
    </row>
    <row r="333">
      <c r="B333" s="7" t="inlineStr">
        <is>
          <t xml:space="preserve">  ↳ RA2ThunderboltMissile_AA_elite</t>
        </is>
      </c>
      <c r="C333" s="7" t="inlineStr">
        <is>
          <t>Armament@primaryeliteAAThunderbolt</t>
        </is>
      </c>
      <c r="L333" s="6" t="n">
        <v>4000</v>
      </c>
      <c r="M333" s="6" t="n">
        <v>25</v>
      </c>
      <c r="N333" s="6" t="n">
        <v>4</v>
      </c>
      <c r="O333" s="6" t="n"/>
      <c r="P333" s="6" t="n">
        <v>9640</v>
      </c>
      <c r="Q333" s="6" t="n">
        <v>1</v>
      </c>
      <c r="R333">
        <f>M333+IF(MAX(N333-1,0)&gt;0,IF(ISBLANK(O333),5*MAX(N333-1,0),IF(ISNUMBER(O333),O333*MAX(N333-1,0),SUM(IFERROR(VALUE(TEXTSPLIT(O333,",")),0)))),0)</f>
        <v/>
      </c>
      <c r="S333">
        <f>IFERROR(L333*MAX(N333,1)/R333*IF(ISBLANK(K300),1,K300),0)</f>
        <v/>
      </c>
      <c r="AB333" s="7" t="inlineStr">
        <is>
          <t>^Warhead_MissileHE_Heavy, ^Warhead_MissileHE_Light</t>
        </is>
      </c>
    </row>
    <row r="334">
      <c r="B334" s="7" t="inlineStr">
        <is>
          <t xml:space="preserve">  ↳ RA2MultiHoverMissile_elite</t>
        </is>
      </c>
      <c r="C334" s="7" t="inlineStr">
        <is>
          <t>Armament@missileelite</t>
        </is>
      </c>
      <c r="L334" s="6" t="n">
        <v>4000</v>
      </c>
      <c r="M334" s="6" t="n">
        <v>20</v>
      </c>
      <c r="N334" s="6" t="n">
        <v>4</v>
      </c>
      <c r="O334" s="6" t="n"/>
      <c r="P334" s="6" t="n">
        <v>7170</v>
      </c>
      <c r="Q334" s="6" t="n">
        <v>0.875</v>
      </c>
      <c r="R334">
        <f>M334+IF(MAX(N334-1,0)&gt;0,IF(ISBLANK(O334),5*MAX(N334-1,0),IF(ISNUMBER(O334),O334*MAX(N334-1,0),SUM(IFERROR(VALUE(TEXTSPLIT(O334,",")),0)))),0)</f>
        <v/>
      </c>
      <c r="S334">
        <f>IFERROR(L334*MAX(N334,1)/R334*IF(ISBLANK(K300),1,K300),0)</f>
        <v/>
      </c>
      <c r="AB334" s="7" t="inlineStr">
        <is>
          <t>^Warhead_CannonHE_Medium, ^Warhead_MissileHE_Light</t>
        </is>
      </c>
    </row>
    <row r="335">
      <c r="B335" s="7" t="inlineStr">
        <is>
          <t xml:space="preserve">  ↳ RA2MultiHoverMissile_AA</t>
        </is>
      </c>
      <c r="C335" s="7" t="inlineStr">
        <is>
          <t>Armament@missileAA</t>
        </is>
      </c>
      <c r="L335" s="6" t="n">
        <v>4000</v>
      </c>
      <c r="M335" s="6" t="n">
        <v>20</v>
      </c>
      <c r="N335" s="6" t="n">
        <v>4</v>
      </c>
      <c r="O335" s="6" t="n"/>
      <c r="P335" s="6" t="n">
        <v>9255</v>
      </c>
      <c r="Q335" s="6" t="n">
        <v>0.875</v>
      </c>
      <c r="R335">
        <f>M335+IF(MAX(N335-1,0)&gt;0,IF(ISBLANK(O335),5*MAX(N335-1,0),IF(ISNUMBER(O335),O335*MAX(N335-1,0),SUM(IFERROR(VALUE(TEXTSPLIT(O335,",")),0)))),0)</f>
        <v/>
      </c>
      <c r="S335">
        <f>IFERROR(L335*MAX(N335,1)/R335*IF(ISBLANK(K300),1,K300),0)</f>
        <v/>
      </c>
      <c r="AB335" s="7" t="inlineStr">
        <is>
          <t>^Warhead_CannonHE_Medium, ^Warhead_MissileHE_Light</t>
        </is>
      </c>
    </row>
    <row r="336">
      <c r="B336" s="7" t="inlineStr">
        <is>
          <t xml:space="preserve">  ↳ RA2MultiHoverMissile_AA_elite</t>
        </is>
      </c>
      <c r="C336" s="7" t="inlineStr">
        <is>
          <t>Armament@missileeliteAA</t>
        </is>
      </c>
      <c r="L336" s="6" t="n">
        <v>4000</v>
      </c>
      <c r="M336" s="6" t="n">
        <v>20</v>
      </c>
      <c r="N336" s="6" t="n">
        <v>4</v>
      </c>
      <c r="O336" s="6" t="n"/>
      <c r="P336" s="6" t="n">
        <v>10255</v>
      </c>
      <c r="Q336" s="6" t="n">
        <v>0.875</v>
      </c>
      <c r="R336">
        <f>M336+IF(MAX(N336-1,0)&gt;0,IF(ISBLANK(O336),5*MAX(N336-1,0),IF(ISNUMBER(O336),O336*MAX(N336-1,0),SUM(IFERROR(VALUE(TEXTSPLIT(O336,",")),0)))),0)</f>
        <v/>
      </c>
      <c r="S336">
        <f>IFERROR(L336*MAX(N336,1)/R336*IF(ISBLANK(K300),1,K300),0)</f>
        <v/>
      </c>
      <c r="AB336" s="7" t="inlineStr">
        <is>
          <t>^Warhead_CannonHE_Medium, ^Warhead_MissileHE_Light</t>
        </is>
      </c>
    </row>
    <row r="337">
      <c r="B337" s="7" t="inlineStr">
        <is>
          <t xml:space="preserve">  ↳ RA2MultiThunderboltMissile</t>
        </is>
      </c>
      <c r="C337" s="7" t="inlineStr">
        <is>
          <t>Armament@missileThunderbolt</t>
        </is>
      </c>
      <c r="L337" s="6" t="n">
        <v>4000</v>
      </c>
      <c r="M337" s="6" t="n">
        <v>25</v>
      </c>
      <c r="N337" s="6" t="n">
        <v>1</v>
      </c>
      <c r="O337" s="6" t="n"/>
      <c r="P337" s="6" t="n">
        <v>5120</v>
      </c>
      <c r="Q337" s="6" t="n">
        <v>1</v>
      </c>
      <c r="R337">
        <f>M337+IF(MAX(N337-1,0)&gt;0,IF(ISBLANK(O337),5*MAX(N337-1,0),IF(ISNUMBER(O337),O337*MAX(N337-1,0),SUM(IFERROR(VALUE(TEXTSPLIT(O337,",")),0)))),0)</f>
        <v/>
      </c>
      <c r="S337">
        <f>IFERROR(L337*MAX(N337,1)/R337*IF(ISBLANK(K300),1,K300),0)</f>
        <v/>
      </c>
      <c r="AB337" s="7" t="inlineStr">
        <is>
          <t>^Warhead_MissileHE_Heavy, ^Warhead_MissileHE_Light</t>
        </is>
      </c>
    </row>
    <row r="338">
      <c r="B338" s="7" t="inlineStr">
        <is>
          <t xml:space="preserve">  ↳ RA2MultiThunderboltMissile_elite</t>
        </is>
      </c>
      <c r="C338" s="7" t="inlineStr">
        <is>
          <t>Armament@missileeliteThunderbolt</t>
        </is>
      </c>
      <c r="L338" s="6" t="n">
        <v>4000</v>
      </c>
      <c r="M338" s="6" t="n">
        <v>25</v>
      </c>
      <c r="N338" s="6" t="n">
        <v>4</v>
      </c>
      <c r="O338" s="6" t="n"/>
      <c r="P338" s="6" t="n">
        <v>7170</v>
      </c>
      <c r="Q338" s="6" t="n">
        <v>1</v>
      </c>
      <c r="R338">
        <f>M338+IF(MAX(N338-1,0)&gt;0,IF(ISBLANK(O338),5*MAX(N338-1,0),IF(ISNUMBER(O338),O338*MAX(N338-1,0),SUM(IFERROR(VALUE(TEXTSPLIT(O338,",")),0)))),0)</f>
        <v/>
      </c>
      <c r="S338">
        <f>IFERROR(L338*MAX(N338,1)/R338*IF(ISBLANK(K300),1,K300),0)</f>
        <v/>
      </c>
      <c r="AB338" s="7" t="inlineStr">
        <is>
          <t>^Warhead_MissileHE_Heavy, ^Warhead_MissileHE_Light</t>
        </is>
      </c>
    </row>
    <row r="339">
      <c r="B339" s="7" t="inlineStr">
        <is>
          <t xml:space="preserve">  ↳ RA2MultiThunderboltMissile_AA</t>
        </is>
      </c>
      <c r="C339" s="7" t="inlineStr">
        <is>
          <t>Armament@missileAAThunderbolt</t>
        </is>
      </c>
      <c r="L339" s="6" t="n">
        <v>4000</v>
      </c>
      <c r="M339" s="6" t="n">
        <v>25</v>
      </c>
      <c r="N339" s="6" t="n">
        <v>1</v>
      </c>
      <c r="O339" s="6" t="n"/>
      <c r="P339" s="6" t="n">
        <v>9255</v>
      </c>
      <c r="Q339" s="6" t="n">
        <v>1</v>
      </c>
      <c r="R339">
        <f>M339+IF(MAX(N339-1,0)&gt;0,IF(ISBLANK(O339),5*MAX(N339-1,0),IF(ISNUMBER(O339),O339*MAX(N339-1,0),SUM(IFERROR(VALUE(TEXTSPLIT(O339,",")),0)))),0)</f>
        <v/>
      </c>
      <c r="S339">
        <f>IFERROR(L339*MAX(N339,1)/R339*IF(ISBLANK(K300),1,K300),0)</f>
        <v/>
      </c>
      <c r="AB339" s="7" t="inlineStr">
        <is>
          <t>^Warhead_MissileHE_Heavy, ^Warhead_MissileHE_Light</t>
        </is>
      </c>
    </row>
    <row r="340">
      <c r="B340" s="7" t="inlineStr">
        <is>
          <t xml:space="preserve">  ↳ RA2MultiThunderboltMissile_AA_elite</t>
        </is>
      </c>
      <c r="C340" s="7" t="inlineStr">
        <is>
          <t>Armament@missileeliteAAThunderbolt</t>
        </is>
      </c>
      <c r="L340" s="6" t="n">
        <v>4000</v>
      </c>
      <c r="M340" s="6" t="n">
        <v>25</v>
      </c>
      <c r="N340" s="6" t="n">
        <v>4</v>
      </c>
      <c r="O340" s="6" t="n"/>
      <c r="P340" s="6" t="n">
        <v>10255</v>
      </c>
      <c r="Q340" s="6" t="n">
        <v>1</v>
      </c>
      <c r="R340">
        <f>M340+IF(MAX(N340-1,0)&gt;0,IF(ISBLANK(O340),5*MAX(N340-1,0),IF(ISNUMBER(O340),O340*MAX(N340-1,0),SUM(IFERROR(VALUE(TEXTSPLIT(O340,",")),0)))),0)</f>
        <v/>
      </c>
      <c r="S340">
        <f>IFERROR(L340*MAX(N340,1)/R340*IF(ISBLANK(K300),1,K300),0)</f>
        <v/>
      </c>
      <c r="AB340" s="7" t="inlineStr">
        <is>
          <t>^Warhead_MissileHE_Heavy, ^Warhead_MissileHE_Light</t>
        </is>
      </c>
    </row>
    <row r="341">
      <c r="B341" s="7" t="inlineStr">
        <is>
          <t xml:space="preserve">  ↳ MedicHeal</t>
        </is>
      </c>
      <c r="C341" s="7" t="inlineStr">
        <is>
          <t>Armament@healer</t>
        </is>
      </c>
      <c r="L341" s="6" t="n">
        <v>-3000</v>
      </c>
      <c r="M341" s="6" t="n">
        <v>10</v>
      </c>
      <c r="N341" s="6" t="n">
        <v>1</v>
      </c>
      <c r="O341" s="6" t="n"/>
      <c r="P341" s="6" t="n">
        <v>6000</v>
      </c>
      <c r="Q341" s="6" t="n">
        <v>1</v>
      </c>
      <c r="R341">
        <f>M341+IF(MAX(N341-1,0)&gt;0,IF(ISBLANK(O341),5*MAX(N341-1,0),IF(ISNUMBER(O341),O341*MAX(N341-1,0),SUM(IFERROR(VALUE(TEXTSPLIT(O341,",")),0)))),0)</f>
        <v/>
      </c>
      <c r="S341">
        <f>IFERROR(L341*MAX(N341,1)/R341*IF(ISBLANK(K300),1,K300),0)</f>
        <v/>
      </c>
      <c r="AB341" s="7" t="inlineStr">
        <is>
          <t>^HealingWeapon</t>
        </is>
      </c>
    </row>
    <row r="342">
      <c r="B342" s="7" t="inlineStr">
        <is>
          <t xml:space="preserve">  ↳ RA2AWP</t>
        </is>
      </c>
      <c r="C342" s="7" t="inlineStr">
        <is>
          <t>Armament@ra1_allies_alliedsniper</t>
        </is>
      </c>
      <c r="L342" s="6" t="n">
        <v>44000</v>
      </c>
      <c r="M342" s="6" t="n">
        <v>54</v>
      </c>
      <c r="N342" s="6" t="n">
        <v>1</v>
      </c>
      <c r="O342" s="6" t="n"/>
      <c r="P342" s="6" t="n">
        <v>10000</v>
      </c>
      <c r="Q342" s="6" t="n">
        <v>0.75</v>
      </c>
      <c r="R342">
        <f>M342+IF(MAX(N342-1,0)&gt;0,IF(ISBLANK(O342),5*MAX(N342-1,0),IF(ISNUMBER(O342),O342*MAX(N342-1,0),SUM(IFERROR(VALUE(TEXTSPLIT(O342,",")),0)))),0)</f>
        <v/>
      </c>
      <c r="S342">
        <f>IFERROR(L342*MAX(N342,1)/R342*IF(ISBLANK(K300),1,K300),0)</f>
        <v/>
      </c>
      <c r="AB342" s="7" t="inlineStr">
        <is>
          <t>^Warhead_Sniper_Light</t>
        </is>
      </c>
    </row>
    <row r="343">
      <c r="A343" t="inlineStr">
        <is>
          <t>redalert2</t>
        </is>
      </c>
      <c r="B343" t="inlineStr">
        <is>
          <t>ra2_allies_ifv_repair</t>
        </is>
      </c>
      <c r="C343" t="inlineStr">
        <is>
          <t>actor_fv.name</t>
        </is>
      </c>
      <c r="D343" s="6" t="inlineStr">
        <is>
          <t>ScoutVehicle</t>
        </is>
      </c>
      <c r="E343" s="6" t="n">
        <v>25000</v>
      </c>
      <c r="F343" s="6" t="n">
        <v>150</v>
      </c>
      <c r="G343" t="inlineStr">
        <is>
          <t>Scout</t>
        </is>
      </c>
      <c r="H343" s="6" t="n">
        <v>0.7143</v>
      </c>
      <c r="I343" s="6" t="n">
        <v>1</v>
      </c>
      <c r="J343" s="6" t="n">
        <v>1</v>
      </c>
      <c r="P343">
        <f>MAX(P344,P345,P346,P347,P348,P349,P350,P351,P352,P353,P354,P355,P356,P357,P358,P359,P360,P361,P362,P366,P367,P368,P369,P370,P371,P372,P373,P374,P375,P376,P377,P378,P379,P380,P381,P382,P383,P384,P385)</f>
        <v/>
      </c>
      <c r="S343">
        <f>S344+S345+S346+S347+S348+S349+S350+S351+S352+S353+S354+S355+S356+S357+S358+S359+S360+S361+S362+S366+S367+S368+S369+S370+S371+S372+S373+S374+S375+S376+S377+S378+S379+S380+S381+S382+S383+S384+S385</f>
        <v/>
      </c>
      <c r="T343">
        <f>(E343/100000+F343/100+(P343/1000)*J343/5+S343/200)*200*I343*H343</f>
        <v/>
      </c>
      <c r="U343">
        <f>((E343*F343/25000)+((P343/1000)*J343*S343/2.5))*I343*H343</f>
        <v/>
      </c>
      <c r="V343">
        <f>(E343*F343*(P343/1000)*J343*S343*I343*H343)/12500000</f>
        <v/>
      </c>
      <c r="W343">
        <f>IFERROR((((E343/30000)+(F343/200)+(S343/450)+((P343/4500)*J343))*300/4+(((E343/30000)*(F343/200))+(((P343/4500)*J343)*(S343/450)))*300/2+((E343/30000)*(F343/200)*((P343/4500)*J343)*(S343/450))*300)*(H343/1.0)/3,"")</f>
        <v/>
      </c>
      <c r="X343" s="6" t="n">
        <v>500</v>
      </c>
      <c r="Y343">
        <f>IFERROR(W343-X343,"")</f>
        <v/>
      </c>
      <c r="Z343">
        <f>IFERROR(ABS(Y343)/MAX(X343,1),"")</f>
        <v/>
      </c>
      <c r="AA343">
        <f>IFERROR(ROUND(((3*X343-(((E343/30000)+(F343/200)+(S343/450))*300/4+((E343/30000)*(F343/200))*300/2)*(H343/1.0))/(300/4+((S343/450))*300/2+((E343/30000)*(F343/200)*(S343/450))*300)*(H343/1.0)*4500)/J343,-1),"")</f>
        <v/>
      </c>
    </row>
    <row r="344">
      <c r="B344" s="7" t="inlineStr">
        <is>
          <t xml:space="preserve">  ↳ RA2CRM60</t>
        </is>
      </c>
      <c r="C344" s="7" t="inlineStr">
        <is>
          <t>Armament@mg</t>
        </is>
      </c>
      <c r="L344" s="6" t="n">
        <v>4000</v>
      </c>
      <c r="M344" s="6" t="n">
        <v>14</v>
      </c>
      <c r="N344" s="6" t="n">
        <v>4</v>
      </c>
      <c r="O344" s="6" t="n">
        <v>2</v>
      </c>
      <c r="P344" s="6" t="n">
        <v>5660</v>
      </c>
      <c r="Q344" s="6" t="n">
        <v>0.875</v>
      </c>
      <c r="R344">
        <f>M344+IF(MAX(N344-1,0)&gt;0,IF(ISBLANK(O344),5*MAX(N344-1,0),IF(ISNUMBER(O344),O344*MAX(N344-1,0),SUM(IFERROR(VALUE(TEXTSPLIT(O344,",")),0)))),0)</f>
        <v/>
      </c>
      <c r="S344">
        <f>IFERROR(L344*MAX(N344,1)/R344*IF(ISBLANK(K343),1,K343),0)</f>
        <v/>
      </c>
      <c r="AB344" s="7" t="inlineStr">
        <is>
          <t>^Warhead_Bullet_Light, ^Warhead_Bullet_Medium</t>
        </is>
      </c>
    </row>
    <row r="345">
      <c r="B345" s="7" t="inlineStr">
        <is>
          <t xml:space="preserve">  ↳ RA2CRM60H</t>
        </is>
      </c>
      <c r="C345" s="7" t="inlineStr">
        <is>
          <t>Armament@hmg</t>
        </is>
      </c>
      <c r="L345" s="6" t="n">
        <v>6000</v>
      </c>
      <c r="M345" s="6" t="n">
        <v>10</v>
      </c>
      <c r="N345" s="6" t="n">
        <v>6</v>
      </c>
      <c r="O345" s="6" t="n">
        <v>2</v>
      </c>
      <c r="P345" s="6" t="n">
        <v>4692</v>
      </c>
      <c r="Q345" s="6" t="n">
        <v>1.125</v>
      </c>
      <c r="R345">
        <f>M345+IF(MAX(N345-1,0)&gt;0,IF(ISBLANK(O345),5*MAX(N345-1,0),IF(ISNUMBER(O345),O345*MAX(N345-1,0),SUM(IFERROR(VALUE(TEXTSPLIT(O345,",")),0)))),0)</f>
        <v/>
      </c>
      <c r="S345">
        <f>IFERROR(L345*MAX(N345,1)/R345*IF(ISBLANK(K343),1,K343),0)</f>
        <v/>
      </c>
      <c r="AB345" s="7" t="inlineStr">
        <is>
          <t>^Warhead_CannonHE_Heavy, ^Warhead_Bullet_Medium</t>
        </is>
      </c>
    </row>
    <row r="346">
      <c r="B346" s="7" t="inlineStr">
        <is>
          <t xml:space="preserve">  ↳ wc_tower_fire</t>
        </is>
      </c>
      <c r="C346" s="7" t="inlineStr">
        <is>
          <t>Armament@archer</t>
        </is>
      </c>
      <c r="L346" s="6" t="n">
        <v>2500</v>
      </c>
      <c r="M346" s="6" t="n">
        <v>40</v>
      </c>
      <c r="N346" s="6" t="n">
        <v>1</v>
      </c>
      <c r="O346" s="6" t="n"/>
      <c r="P346" s="6" t="n">
        <v>8704</v>
      </c>
      <c r="Q346" s="6" t="n">
        <v>1</v>
      </c>
      <c r="R346">
        <f>M346+IF(MAX(N346-1,0)&gt;0,IF(ISBLANK(O346),5*MAX(N346-1,0),IF(ISNUMBER(O346),O346*MAX(N346-1,0),SUM(IFERROR(VALUE(TEXTSPLIT(O346,",")),0)))),0)</f>
        <v/>
      </c>
      <c r="S346">
        <f>IFERROR(L346*MAX(N346,1)/R346*IF(ISBLANK(K343),1,K343),0)</f>
        <v/>
      </c>
      <c r="AB346" s="7" t="inlineStr">
        <is>
          <t>bowFire</t>
        </is>
      </c>
    </row>
    <row r="347">
      <c r="B347" s="7" t="inlineStr">
        <is>
          <t xml:space="preserve">  ↳ RA2IFVRepair</t>
        </is>
      </c>
      <c r="C347" s="7" t="inlineStr">
        <is>
          <t>Armament@repair</t>
        </is>
      </c>
      <c r="L347" s="6" t="n">
        <v>-3000</v>
      </c>
      <c r="M347" s="6" t="n">
        <v>50</v>
      </c>
      <c r="N347" s="6" t="n">
        <v>10</v>
      </c>
      <c r="O347" s="6" t="n">
        <v>1</v>
      </c>
      <c r="P347" s="6" t="n">
        <v>5000</v>
      </c>
      <c r="Q347" s="6" t="n">
        <v>1</v>
      </c>
      <c r="R347">
        <f>M347+IF(MAX(N347-1,0)&gt;0,IF(ISBLANK(O347),5*MAX(N347-1,0),IF(ISNUMBER(O347),O347*MAX(N347-1,0),SUM(IFERROR(VALUE(TEXTSPLIT(O347,",")),0)))),0)</f>
        <v/>
      </c>
      <c r="S347">
        <f>IFERROR(L347*MAX(N347,1)/R347*IF(ISBLANK(K343),1,K343),0)</f>
        <v/>
      </c>
      <c r="AB347" s="7" t="inlineStr">
        <is>
          <t>^RepairWeapon</t>
        </is>
      </c>
    </row>
    <row r="348">
      <c r="B348" s="7" t="inlineStr">
        <is>
          <t xml:space="preserve">  ↳ LightSniper</t>
        </is>
      </c>
      <c r="C348" s="7" t="inlineStr">
        <is>
          <t>Armament@lightsniper</t>
        </is>
      </c>
      <c r="L348" s="6" t="n">
        <v>30000</v>
      </c>
      <c r="M348" s="6" t="n">
        <v>100</v>
      </c>
      <c r="N348" s="6" t="n">
        <v>1</v>
      </c>
      <c r="O348" s="6" t="n"/>
      <c r="P348" s="6" t="n">
        <v>9153</v>
      </c>
      <c r="Q348" s="6" t="n">
        <v>0.75</v>
      </c>
      <c r="R348">
        <f>M348+IF(MAX(N348-1,0)&gt;0,IF(ISBLANK(O348),5*MAX(N348-1,0),IF(ISNUMBER(O348),O348*MAX(N348-1,0),SUM(IFERROR(VALUE(TEXTSPLIT(O348,",")),0)))),0)</f>
        <v/>
      </c>
      <c r="S348">
        <f>IFERROR(L348*MAX(N348,1)/R348*IF(ISBLANK(K343),1,K343),0)</f>
        <v/>
      </c>
      <c r="AB348" s="7" t="inlineStr">
        <is>
          <t>^Warhead_Sniper_Light</t>
        </is>
      </c>
    </row>
    <row r="349">
      <c r="B349" s="7" t="inlineStr">
        <is>
          <t xml:space="preserve">  ↳ RA2DoublePistolsIFV</t>
        </is>
      </c>
      <c r="C349" s="7" t="inlineStr">
        <is>
          <t>Armament@hero</t>
        </is>
      </c>
      <c r="L349" s="6" t="n">
        <v>14000</v>
      </c>
      <c r="M349" s="6" t="n">
        <v>12</v>
      </c>
      <c r="N349" s="6" t="n">
        <v>2</v>
      </c>
      <c r="O349" s="6" t="n">
        <v>3</v>
      </c>
      <c r="P349" s="6" t="n">
        <v>8000</v>
      </c>
      <c r="Q349" s="6" t="n">
        <v>0.75</v>
      </c>
      <c r="R349">
        <f>M349+IF(MAX(N349-1,0)&gt;0,IF(ISBLANK(O349),5*MAX(N349-1,0),IF(ISNUMBER(O349),O349*MAX(N349-1,0),SUM(IFERROR(VALUE(TEXTSPLIT(O349,",")),0)))),0)</f>
        <v/>
      </c>
      <c r="S349">
        <f>IFERROR(L349*MAX(N349,1)/R349*IF(ISBLANK(K343),1,K343),0)</f>
        <v/>
      </c>
      <c r="AB349" s="7" t="inlineStr">
        <is>
          <t>^Warhead_Sniper_Light</t>
        </is>
      </c>
    </row>
    <row r="350">
      <c r="B350" s="7" t="inlineStr">
        <is>
          <t xml:space="preserve">  ↳ TTankZap</t>
        </is>
      </c>
      <c r="C350" s="7" t="inlineStr">
        <is>
          <t>Armament@tesla</t>
        </is>
      </c>
      <c r="L350" s="6" t="n">
        <v>40000</v>
      </c>
      <c r="M350" s="6" t="n">
        <v>80</v>
      </c>
      <c r="N350" s="6" t="n">
        <v>1</v>
      </c>
      <c r="O350" s="6" t="n"/>
      <c r="P350" s="6" t="n">
        <v>7300</v>
      </c>
      <c r="Q350" s="6" t="n">
        <v>1.25</v>
      </c>
      <c r="R350">
        <f>M350+IF(MAX(N350-1,0)&gt;0,IF(ISBLANK(O350),5*MAX(N350-1,0),IF(ISNUMBER(O350),O350*MAX(N350-1,0),SUM(IFERROR(VALUE(TEXTSPLIT(O350,",")),0)))),0)</f>
        <v/>
      </c>
      <c r="S350">
        <f>IFERROR(L350*MAX(N350,1)/R350*IF(ISBLANK(K343),1,K343),0)</f>
        <v/>
      </c>
      <c r="AB350" s="7" t="inlineStr">
        <is>
          <t>^Warhead_Tesla_Heavy</t>
        </is>
      </c>
    </row>
    <row r="351">
      <c r="B351" s="7" t="inlineStr">
        <is>
          <t xml:space="preserve">  ↳ DragunovSniper</t>
        </is>
      </c>
      <c r="C351" s="7" t="inlineStr">
        <is>
          <t>Armament@flak</t>
        </is>
      </c>
      <c r="L351" s="6" t="n">
        <v>400000</v>
      </c>
      <c r="M351" s="6" t="n">
        <v>85</v>
      </c>
      <c r="N351" s="6" t="n">
        <v>1</v>
      </c>
      <c r="O351" s="6" t="n"/>
      <c r="P351" s="6" t="n">
        <v>5804</v>
      </c>
      <c r="Q351" s="6" t="n">
        <v>1</v>
      </c>
      <c r="R351">
        <f>M351+IF(MAX(N351-1,0)&gt;0,IF(ISBLANK(O351),5*MAX(N351-1,0),IF(ISNUMBER(O351),O351*MAX(N351-1,0),SUM(IFERROR(VALUE(TEXTSPLIT(O351,",")),0)))),0)</f>
        <v/>
      </c>
      <c r="S351">
        <f>IFERROR(L351*MAX(N351,1)/R351*IF(ISBLANK(K343),1,K343),0)</f>
        <v/>
      </c>
      <c r="AB351" s="7" t="inlineStr">
        <is>
          <t>^TankDestroyerCannon, ^RailgunWeapon, ^LightMissile, ^HeavyCannon, ^FlakWeapon</t>
        </is>
      </c>
    </row>
    <row r="352">
      <c r="B352" s="7" t="inlineStr">
        <is>
          <t xml:space="preserve">  ↳ RA2MirageGun</t>
        </is>
      </c>
      <c r="C352" s="7" t="inlineStr">
        <is>
          <t>Armament@cannon</t>
        </is>
      </c>
      <c r="L352" s="6" t="n">
        <v>24000</v>
      </c>
      <c r="M352" s="6" t="n">
        <v>39</v>
      </c>
      <c r="N352" s="6" t="n">
        <v>1</v>
      </c>
      <c r="O352" s="6" t="n"/>
      <c r="P352" s="6" t="n">
        <v>6031</v>
      </c>
      <c r="Q352" s="6" t="n">
        <v>0.75</v>
      </c>
      <c r="R352">
        <f>M352+IF(MAX(N352-1,0)&gt;0,IF(ISBLANK(O352),5*MAX(N352-1,0),IF(ISNUMBER(O352),O352*MAX(N352-1,0),SUM(IFERROR(VALUE(TEXTSPLIT(O352,",")),0)))),0)</f>
        <v/>
      </c>
      <c r="S352">
        <f>IFERROR(L352*MAX(N352,1)/R352*IF(ISBLANK(K343),1,K343),0)</f>
        <v/>
      </c>
      <c r="AB352" s="7" t="inlineStr">
        <is>
          <t>^Warhead_CannonAP_Light</t>
        </is>
      </c>
    </row>
    <row r="353">
      <c r="B353" s="7" t="inlineStr">
        <is>
          <t xml:space="preserve">  ↳ Grenade</t>
        </is>
      </c>
      <c r="C353" s="7" t="inlineStr">
        <is>
          <t>Armament@grenade</t>
        </is>
      </c>
      <c r="L353" s="6" t="n">
        <v>16000</v>
      </c>
      <c r="M353" s="6" t="n">
        <v>42</v>
      </c>
      <c r="N353" s="6" t="n">
        <v>1</v>
      </c>
      <c r="O353" s="6" t="n"/>
      <c r="P353" s="6" t="n">
        <v>6097</v>
      </c>
      <c r="Q353" s="6" t="n">
        <v>0.75</v>
      </c>
      <c r="R353">
        <f>M353+IF(MAX(N353-1,0)&gt;0,IF(ISBLANK(O353),5*MAX(N353-1,0),IF(ISNUMBER(O353),O353*MAX(N353-1,0),SUM(IFERROR(VALUE(TEXTSPLIT(O353,",")),0)))),0)</f>
        <v/>
      </c>
      <c r="S353">
        <f>IFERROR(L353*MAX(N353,1)/R353*IF(ISBLANK(K343),1,K343),0)</f>
        <v/>
      </c>
      <c r="AB353" s="7" t="inlineStr">
        <is>
          <t>^Warhead_Demolition_Light</t>
        </is>
      </c>
    </row>
    <row r="354">
      <c r="B354" s="7" t="inlineStr">
        <is>
          <t xml:space="preserve">  ↳ DRPlasmaTankWeapon</t>
        </is>
      </c>
      <c r="C354" s="7" t="inlineStr">
        <is>
          <t>Armament@plasma</t>
        </is>
      </c>
      <c r="L354" s="6" t="n">
        <v>6250</v>
      </c>
      <c r="M354" s="6" t="n">
        <v>21</v>
      </c>
      <c r="N354" s="6" t="n">
        <v>1</v>
      </c>
      <c r="O354" s="6" t="n"/>
      <c r="P354" s="6" t="n">
        <v>5120</v>
      </c>
      <c r="Q354" s="6" t="n">
        <v>1</v>
      </c>
      <c r="R354">
        <f>M354+IF(MAX(N354-1,0)&gt;0,IF(ISBLANK(O354),5*MAX(N354-1,0),IF(ISNUMBER(O354),O354*MAX(N354-1,0),SUM(IFERROR(VALUE(TEXTSPLIT(O354,",")),0)))),0)</f>
        <v/>
      </c>
      <c r="S354">
        <f>IFERROR(L354*MAX(N354,1)/R354*IF(ISBLANK(K343),1,K343),0)</f>
        <v/>
      </c>
      <c r="AB354" s="7" t="inlineStr">
        <is>
          <t>^DRPlasmaWeapon</t>
        </is>
      </c>
    </row>
    <row r="355">
      <c r="B355" s="7" t="inlineStr">
        <is>
          <t xml:space="preserve">  ↳ SWLaserG</t>
        </is>
      </c>
      <c r="C355" s="7" t="inlineStr">
        <is>
          <t>Armament@litlaser</t>
        </is>
      </c>
      <c r="L355" s="6" t="n">
        <v>2000</v>
      </c>
      <c r="M355" s="6" t="n">
        <v>30</v>
      </c>
      <c r="N355" s="6" t="n">
        <v>6</v>
      </c>
      <c r="O355" s="6" t="n"/>
      <c r="P355" s="6" t="n">
        <v>6144</v>
      </c>
      <c r="Q355" s="6" t="n">
        <v>1</v>
      </c>
      <c r="R355">
        <f>M355+IF(MAX(N355-1,0)&gt;0,IF(ISBLANK(O355),5*MAX(N355-1,0),IF(ISNUMBER(O355),O355*MAX(N355-1,0),SUM(IFERROR(VALUE(TEXTSPLIT(O355,",")),0)))),0)</f>
        <v/>
      </c>
      <c r="S355">
        <f>IFERROR(L355*MAX(N355,1)/R355*IF(ISBLANK(K343),1,K343),0)</f>
        <v/>
      </c>
      <c r="AB355" s="7" t="inlineStr">
        <is>
          <t>SWLaser</t>
        </is>
      </c>
    </row>
    <row r="356">
      <c r="B356" s="7" t="inlineStr">
        <is>
          <t xml:space="preserve">  ↳ USALaserCannonAG</t>
        </is>
      </c>
      <c r="C356" s="7" t="inlineStr">
        <is>
          <t>Armament@medlaser</t>
        </is>
      </c>
      <c r="L356" s="6" t="n">
        <v>4000</v>
      </c>
      <c r="M356" s="6" t="n">
        <v>50</v>
      </c>
      <c r="N356" s="6" t="n">
        <v>3</v>
      </c>
      <c r="O356" s="6" t="n">
        <v>6</v>
      </c>
      <c r="P356" s="6" t="n">
        <v>7168</v>
      </c>
      <c r="Q356" s="6" t="n">
        <v>1</v>
      </c>
      <c r="R356">
        <f>M356+IF(MAX(N356-1,0)&gt;0,IF(ISBLANK(O356),5*MAX(N356-1,0),IF(ISNUMBER(O356),O356*MAX(N356-1,0),SUM(IFERROR(VALUE(TEXTSPLIT(O356,",")),0)))),0)</f>
        <v/>
      </c>
      <c r="S356">
        <f>IFERROR(L356*MAX(N356,1)/R356*IF(ISBLANK(K343),1,K343),0)</f>
        <v/>
      </c>
      <c r="AB356" s="7" t="inlineStr">
        <is>
          <t>^AntiGroundMissile</t>
        </is>
      </c>
    </row>
    <row r="357">
      <c r="B357" s="7" t="inlineStr">
        <is>
          <t xml:space="preserve">  ↳ SWGreenLaserG</t>
        </is>
      </c>
      <c r="C357" s="7" t="inlineStr">
        <is>
          <t>Armament@greenlaser</t>
        </is>
      </c>
      <c r="L357" s="6" t="n">
        <v>5000</v>
      </c>
      <c r="M357" s="6" t="n">
        <v>75</v>
      </c>
      <c r="N357" s="6" t="n">
        <v>1</v>
      </c>
      <c r="O357" s="6" t="n"/>
      <c r="P357" s="6" t="n">
        <v>7168</v>
      </c>
      <c r="Q357" s="6" t="n">
        <v>1</v>
      </c>
      <c r="R357">
        <f>M357+IF(MAX(N357-1,0)&gt;0,IF(ISBLANK(O357),5*MAX(N357-1,0),IF(ISNUMBER(O357),O357*MAX(N357-1,0),SUM(IFERROR(VALUE(TEXTSPLIT(O357,",")),0)))),0)</f>
        <v/>
      </c>
      <c r="S357">
        <f>IFERROR(L357*MAX(N357,1)/R357*IF(ISBLANK(K343),1,K343),0)</f>
        <v/>
      </c>
      <c r="AB357" s="7" t="inlineStr">
        <is>
          <t>SWGreenLaser</t>
        </is>
      </c>
    </row>
    <row r="358">
      <c r="B358" s="7" t="inlineStr">
        <is>
          <t xml:space="preserve">  ↳ SWGBigRedLaserG</t>
        </is>
      </c>
      <c r="C358" s="7" t="inlineStr">
        <is>
          <t>Armament@misslaser</t>
        </is>
      </c>
      <c r="L358" s="6" t="n">
        <v>4000</v>
      </c>
      <c r="M358" s="6" t="n">
        <v>75</v>
      </c>
      <c r="N358" s="6" t="n">
        <v>1</v>
      </c>
      <c r="O358" s="6" t="n"/>
      <c r="P358" s="6" t="n">
        <v>8192</v>
      </c>
      <c r="Q358" s="6" t="n">
        <v>1</v>
      </c>
      <c r="R358">
        <f>M358+IF(MAX(N358-1,0)&gt;0,IF(ISBLANK(O358),5*MAX(N358-1,0),IF(ISNUMBER(O358),O358*MAX(N358-1,0),SUM(IFERROR(VALUE(TEXTSPLIT(O358,",")),0)))),0)</f>
        <v/>
      </c>
      <c r="S358">
        <f>IFERROR(L358*MAX(N358,1)/R358*IF(ISBLANK(K343),1,K343),0)</f>
        <v/>
      </c>
      <c r="AB358" s="7" t="inlineStr">
        <is>
          <t>SWrBigRedLaser</t>
        </is>
      </c>
    </row>
    <row r="359">
      <c r="B359" s="7" t="inlineStr">
        <is>
          <t xml:space="preserve">  ↳ BigFlamer</t>
        </is>
      </c>
      <c r="C359" s="7" t="inlineStr">
        <is>
          <t>Armament@fire</t>
        </is>
      </c>
      <c r="L359" s="6" t="n">
        <v>14000</v>
      </c>
      <c r="M359" s="6" t="n">
        <v>50</v>
      </c>
      <c r="N359" s="6" t="n">
        <v>2</v>
      </c>
      <c r="O359" s="6" t="n">
        <v>10</v>
      </c>
      <c r="P359" s="6" t="n">
        <v>2390</v>
      </c>
      <c r="Q359" s="6" t="n">
        <v>1</v>
      </c>
      <c r="R359">
        <f>M359+IF(MAX(N359-1,0)&gt;0,IF(ISBLANK(O359),5*MAX(N359-1,0),IF(ISNUMBER(O359),O359*MAX(N359-1,0),SUM(IFERROR(VALUE(TEXTSPLIT(O359,",")),0)))),0)</f>
        <v/>
      </c>
      <c r="S359">
        <f>IFERROR(L359*MAX(N359,1)/R359*IF(ISBLANK(K343),1,K343),0)</f>
        <v/>
      </c>
      <c r="AB359" s="7" t="inlineStr">
        <is>
          <t>^Warhead_Flame_Medium</t>
        </is>
      </c>
    </row>
    <row r="360">
      <c r="B360" s="7" t="inlineStr">
        <is>
          <t xml:space="preserve">  ↳ RA2RadBeamWeapon</t>
        </is>
      </c>
      <c r="C360" s="7" t="inlineStr">
        <is>
          <t>Armament@chem</t>
        </is>
      </c>
      <c r="L360" s="6" t="n">
        <v>30000</v>
      </c>
      <c r="M360" s="6" t="n">
        <v>45</v>
      </c>
      <c r="N360" s="6" t="n">
        <v>1</v>
      </c>
      <c r="O360" s="6" t="n"/>
      <c r="P360" s="6" t="n">
        <v>6444</v>
      </c>
      <c r="Q360" s="6" t="n">
        <v>1</v>
      </c>
      <c r="R360">
        <f>M360+IF(MAX(N360-1,0)&gt;0,IF(ISBLANK(O360),5*MAX(N360-1,0),IF(ISNUMBER(O360),O360*MAX(N360-1,0),SUM(IFERROR(VALUE(TEXTSPLIT(O360,",")),0)))),0)</f>
        <v/>
      </c>
      <c r="S360">
        <f>IFERROR(L360*MAX(N360,1)/R360*IF(ISBLANK(K343),1,K343),0)</f>
        <v/>
      </c>
      <c r="AB360" s="7" t="inlineStr">
        <is>
          <t>^Warhead_Chemical_Medium</t>
        </is>
      </c>
    </row>
    <row r="361">
      <c r="B361" s="7" t="inlineStr">
        <is>
          <t xml:space="preserve">  ↳ RA2RadBeamWeapon</t>
        </is>
      </c>
      <c r="C361" s="7" t="inlineStr">
        <is>
          <t>Armament@thrax</t>
        </is>
      </c>
      <c r="L361" s="6" t="n">
        <v>30000</v>
      </c>
      <c r="M361" s="6" t="n">
        <v>45</v>
      </c>
      <c r="N361" s="6" t="n">
        <v>1</v>
      </c>
      <c r="O361" s="6" t="n"/>
      <c r="P361" s="6" t="n">
        <v>6444</v>
      </c>
      <c r="Q361" s="6" t="n">
        <v>1</v>
      </c>
      <c r="R361">
        <f>M361+IF(MAX(N361-1,0)&gt;0,IF(ISBLANK(O361),5*MAX(N361-1,0),IF(ISNUMBER(O361),O361*MAX(N361-1,0),SUM(IFERROR(VALUE(TEXTSPLIT(O361,",")),0)))),0)</f>
        <v/>
      </c>
      <c r="S361">
        <f>IFERROR(L361*MAX(N361,1)/R361*IF(ISBLANK(K343),1,K343),0)</f>
        <v/>
      </c>
      <c r="AB361" s="7" t="inlineStr">
        <is>
          <t>^Warhead_Chemical_Medium</t>
        </is>
      </c>
    </row>
    <row r="362">
      <c r="B362" s="7" t="inlineStr">
        <is>
          <t xml:space="preserve">  ↳ RA2MultiHoverMissile</t>
        </is>
      </c>
      <c r="C362" s="7" t="inlineStr">
        <is>
          <t>Armament@missile</t>
        </is>
      </c>
      <c r="L362" s="6" t="n">
        <v>4000</v>
      </c>
      <c r="M362" s="6" t="n">
        <v>20</v>
      </c>
      <c r="N362" s="6" t="n">
        <v>4</v>
      </c>
      <c r="O362" s="6" t="n"/>
      <c r="P362" s="6" t="n">
        <v>6170</v>
      </c>
      <c r="Q362" s="6" t="n">
        <v>0.875</v>
      </c>
      <c r="R362">
        <f>M362+IF(MAX(N362-1,0)&gt;0,IF(ISBLANK(O362),5*MAX(N362-1,0),IF(ISNUMBER(O362),O362*MAX(N362-1,0),SUM(IFERROR(VALUE(TEXTSPLIT(O362,",")),0)))),0)</f>
        <v/>
      </c>
      <c r="S362">
        <f>IFERROR(L362*MAX(N362,1)/R362*IF(ISBLANK(K343),1,K343),0)</f>
        <v/>
      </c>
      <c r="AB362" s="7" t="inlineStr">
        <is>
          <t>^Warhead_CannonHE_Medium, ^Warhead_MissileHE_Light</t>
        </is>
      </c>
    </row>
    <row r="363">
      <c r="B363" s="7" t="inlineStr">
        <is>
          <t xml:space="preserve">  ↳ IFVChronoBeam</t>
        </is>
      </c>
      <c r="C363" s="7" t="inlineStr">
        <is>
          <t>Armament@chrono</t>
        </is>
      </c>
      <c r="M363" s="6" t="n">
        <v>1</v>
      </c>
      <c r="N363" s="6" t="n">
        <v>1</v>
      </c>
      <c r="O363" s="6" t="n"/>
      <c r="P363" s="6" t="n">
        <v>7500</v>
      </c>
      <c r="Q363" s="6" t="n">
        <v>1</v>
      </c>
      <c r="R363">
        <f>M363+IF(MAX(N363-1,0)&gt;0,IF(ISBLANK(O363),5*MAX(N363-1,0),IF(ISNUMBER(O363),O363*MAX(N363-1,0),SUM(IFERROR(VALUE(TEXTSPLIT(O363,",")),0)))),0)</f>
        <v/>
      </c>
      <c r="S363">
        <f>IFERROR(L363*MAX(N363,1)/R363*IF(ISBLANK(K343),1,K343),0)</f>
        <v/>
      </c>
      <c r="AB363" s="7" t="inlineStr">
        <is>
          <t>ChronoBeam</t>
        </is>
      </c>
    </row>
    <row r="364">
      <c r="B364" s="7" t="inlineStr">
        <is>
          <t xml:space="preserve">  ↳ IFVChronoSound</t>
        </is>
      </c>
      <c r="C364" s="7" t="inlineStr">
        <is>
          <t>Armament@chronosound</t>
        </is>
      </c>
      <c r="M364" s="6" t="n">
        <v>180</v>
      </c>
      <c r="N364" s="6" t="n">
        <v>1</v>
      </c>
      <c r="O364" s="6" t="n"/>
      <c r="P364" s="6" t="n">
        <v>8000</v>
      </c>
      <c r="Q364" s="6" t="n">
        <v>1</v>
      </c>
      <c r="R364">
        <f>M364+IF(MAX(N364-1,0)&gt;0,IF(ISBLANK(O364),5*MAX(N364-1,0),IF(ISNUMBER(O364),O364*MAX(N364-1,0),SUM(IFERROR(VALUE(TEXTSPLIT(O364,",")),0)))),0)</f>
        <v/>
      </c>
      <c r="S364">
        <f>IFERROR(L364*MAX(N364,1)/R364*IF(ISBLANK(K343),1,K343),0)</f>
        <v/>
      </c>
      <c r="AB364" s="7" t="inlineStr">
        <is>
          <t>RA2ChronoTele</t>
        </is>
      </c>
    </row>
    <row r="365">
      <c r="B365" s="7" t="inlineStr">
        <is>
          <t xml:space="preserve">  ↳ DemoTruckTargeting</t>
        </is>
      </c>
      <c r="C365" s="7" t="inlineStr">
        <is>
          <t>Armament@ivan</t>
        </is>
      </c>
      <c r="M365" s="6" t="n">
        <v>1</v>
      </c>
      <c r="N365" s="6" t="n">
        <v>1</v>
      </c>
      <c r="O365" s="6" t="n"/>
      <c r="P365" s="6" t="n">
        <v>2000</v>
      </c>
      <c r="Q365" s="6" t="n">
        <v>1</v>
      </c>
      <c r="R365">
        <f>M365+IF(MAX(N365-1,0)&gt;0,IF(ISBLANK(O365),5*MAX(N365-1,0),IF(ISNUMBER(O365),O365*MAX(N365-1,0),SUM(IFERROR(VALUE(TEXTSPLIT(O365,",")),0)))),0)</f>
        <v/>
      </c>
      <c r="S365">
        <f>IFERROR(L365*MAX(N365,1)/R365*IF(ISBLANK(K343),1,K343),0)</f>
        <v/>
      </c>
      <c r="AB365" s="7" t="inlineStr"/>
    </row>
    <row r="366">
      <c r="B366" s="7" t="inlineStr">
        <is>
          <t xml:space="preserve">  ↳ Fremen_L</t>
        </is>
      </c>
      <c r="C366" s="7" t="inlineStr">
        <is>
          <t>Armament@fremen</t>
        </is>
      </c>
      <c r="L366" s="6" t="n">
        <v>3000</v>
      </c>
      <c r="M366" s="6" t="n">
        <v>25</v>
      </c>
      <c r="N366" s="6" t="n">
        <v>1</v>
      </c>
      <c r="O366" s="6" t="n"/>
      <c r="P366" s="6" t="n">
        <v>2560</v>
      </c>
      <c r="Q366" s="6" t="n">
        <v>1</v>
      </c>
      <c r="R366">
        <f>M366+IF(MAX(N366-1,0)&gt;0,IF(ISBLANK(O366),5*MAX(N366-1,0),IF(ISNUMBER(O366),O366*MAX(N366-1,0),SUM(IFERROR(VALUE(TEXTSPLIT(O366,",")),0)))),0)</f>
        <v/>
      </c>
      <c r="S366">
        <f>IFERROR(L366*MAX(N366,1)/R366*IF(ISBLANK(K343),1,K343),0)</f>
        <v/>
      </c>
      <c r="AB366" s="7" t="inlineStr">
        <is>
          <t>M_HMG</t>
        </is>
      </c>
    </row>
    <row r="367">
      <c r="B367" s="7" t="inlineStr">
        <is>
          <t xml:space="preserve">  ↳ TSSonicZap</t>
        </is>
      </c>
      <c r="C367" s="7" t="inlineStr">
        <is>
          <t>Armament@sonic</t>
        </is>
      </c>
      <c r="L367" s="6" t="n">
        <v>5000</v>
      </c>
      <c r="M367" s="6" t="n">
        <v>60</v>
      </c>
      <c r="N367" s="6" t="n">
        <v>1</v>
      </c>
      <c r="O367" s="6" t="n"/>
      <c r="P367" s="6" t="n">
        <v>6144</v>
      </c>
      <c r="Q367" s="6" t="n">
        <v>1</v>
      </c>
      <c r="R367">
        <f>M367+IF(MAX(N367-1,0)&gt;0,IF(ISBLANK(O367),5*MAX(N367-1,0),IF(ISNUMBER(O367),O367*MAX(N367-1,0),SUM(IFERROR(VALUE(TEXTSPLIT(O367,",")),0)))),0)</f>
        <v/>
      </c>
      <c r="S367">
        <f>IFERROR(L367*MAX(N367,1)/R367*IF(ISBLANK(K343),1,K343),0)</f>
        <v/>
      </c>
      <c r="AB367" s="7" t="inlineStr"/>
    </row>
    <row r="368">
      <c r="B368" s="7" t="inlineStr">
        <is>
          <t xml:space="preserve">  ↳ MedicHeal</t>
        </is>
      </c>
      <c r="C368" s="7" t="inlineStr">
        <is>
          <t>Armament@heal</t>
        </is>
      </c>
      <c r="L368" s="6" t="n">
        <v>-3000</v>
      </c>
      <c r="M368" s="6" t="n">
        <v>10</v>
      </c>
      <c r="N368" s="6" t="n">
        <v>1</v>
      </c>
      <c r="O368" s="6" t="n"/>
      <c r="P368" s="6" t="n">
        <v>6000</v>
      </c>
      <c r="Q368" s="6" t="n">
        <v>1</v>
      </c>
      <c r="R368">
        <f>M368+IF(MAX(N368-1,0)&gt;0,IF(ISBLANK(O368),5*MAX(N368-1,0),IF(ISNUMBER(O368),O368*MAX(N368-1,0),SUM(IFERROR(VALUE(TEXTSPLIT(O368,",")),0)))),0)</f>
        <v/>
      </c>
      <c r="S368">
        <f>IFERROR(L368*MAX(N368,1)/R368*IF(ISBLANK(K343),1,K343),0)</f>
        <v/>
      </c>
      <c r="AB368" s="7" t="inlineStr">
        <is>
          <t>^HealingWeapon</t>
        </is>
      </c>
    </row>
    <row r="369">
      <c r="B369" s="7" t="inlineStr">
        <is>
          <t xml:space="preserve">  ↳ RA2HoverMissile</t>
        </is>
      </c>
      <c r="C369" s="7" t="inlineStr">
        <is>
          <t>Armament@primary</t>
        </is>
      </c>
      <c r="L369" s="6" t="n">
        <v>12000</v>
      </c>
      <c r="M369" s="6" t="n">
        <v>28</v>
      </c>
      <c r="N369" s="6" t="n">
        <v>2</v>
      </c>
      <c r="O369" s="6" t="n">
        <v>4</v>
      </c>
      <c r="P369" s="6" t="n">
        <v>5760</v>
      </c>
      <c r="Q369" s="6" t="n">
        <v>0.75</v>
      </c>
      <c r="R369">
        <f>M369+IF(MAX(N369-1,0)&gt;0,IF(ISBLANK(O369),5*MAX(N369-1,0),IF(ISNUMBER(O369),O369*MAX(N369-1,0),SUM(IFERROR(VALUE(TEXTSPLIT(O369,",")),0)))),0)</f>
        <v/>
      </c>
      <c r="S369">
        <f>IFERROR(L369*MAX(N369,1)/R369*IF(ISBLANK(K343),1,K343),0)</f>
        <v/>
      </c>
      <c r="AB369" s="7" t="inlineStr">
        <is>
          <t>^Warhead_Arrow_Light, ^Warhead_MissileAP_Light</t>
        </is>
      </c>
    </row>
    <row r="370">
      <c r="B370" s="7" t="inlineStr">
        <is>
          <t xml:space="preserve">  ↳ RA2HoverMissile_elite</t>
        </is>
      </c>
      <c r="C370" s="7" t="inlineStr">
        <is>
          <t>Armament@primaryelite</t>
        </is>
      </c>
      <c r="L370" s="6" t="n">
        <v>12000</v>
      </c>
      <c r="M370" s="6" t="n">
        <v>28</v>
      </c>
      <c r="N370" s="6" t="n">
        <v>4</v>
      </c>
      <c r="O370" s="6" t="n">
        <v>4</v>
      </c>
      <c r="P370" s="6" t="n">
        <v>6760</v>
      </c>
      <c r="Q370" s="6" t="n">
        <v>0.75</v>
      </c>
      <c r="R370">
        <f>M370+IF(MAX(N370-1,0)&gt;0,IF(ISBLANK(O370),5*MAX(N370-1,0),IF(ISNUMBER(O370),O370*MAX(N370-1,0),SUM(IFERROR(VALUE(TEXTSPLIT(O370,",")),0)))),0)</f>
        <v/>
      </c>
      <c r="S370">
        <f>IFERROR(L370*MAX(N370,1)/R370*IF(ISBLANK(K343),1,K343),0)</f>
        <v/>
      </c>
      <c r="AB370" s="7" t="inlineStr">
        <is>
          <t>^Warhead_Arrow_Light, ^Warhead_MissileAP_Light</t>
        </is>
      </c>
    </row>
    <row r="371">
      <c r="B371" s="7" t="inlineStr">
        <is>
          <t xml:space="preserve">  ↳ RA2HoverMissile_AA</t>
        </is>
      </c>
      <c r="C371" s="7" t="inlineStr">
        <is>
          <t>Armament@primaryAA</t>
        </is>
      </c>
      <c r="L371" s="6" t="n">
        <v>12000</v>
      </c>
      <c r="M371" s="6" t="n">
        <v>28</v>
      </c>
      <c r="N371" s="6" t="n">
        <v>2</v>
      </c>
      <c r="O371" s="6" t="n">
        <v>4</v>
      </c>
      <c r="P371" s="6" t="n">
        <v>8640</v>
      </c>
      <c r="Q371" s="6" t="n">
        <v>0.75</v>
      </c>
      <c r="R371">
        <f>M371+IF(MAX(N371-1,0)&gt;0,IF(ISBLANK(O371),5*MAX(N371-1,0),IF(ISNUMBER(O371),O371*MAX(N371-1,0),SUM(IFERROR(VALUE(TEXTSPLIT(O371,",")),0)))),0)</f>
        <v/>
      </c>
      <c r="S371">
        <f>IFERROR(L371*MAX(N371,1)/R371*IF(ISBLANK(K343),1,K343),0)</f>
        <v/>
      </c>
      <c r="AB371" s="7" t="inlineStr">
        <is>
          <t>^Warhead_Arrow_Light, ^Warhead_MissileAP_Light</t>
        </is>
      </c>
    </row>
    <row r="372">
      <c r="B372" s="7" t="inlineStr">
        <is>
          <t xml:space="preserve">  ↳ RA2HoverMissile_AA_elite</t>
        </is>
      </c>
      <c r="C372" s="7" t="inlineStr">
        <is>
          <t>Armament@primaryeliteAA</t>
        </is>
      </c>
      <c r="L372" s="6" t="n">
        <v>12000</v>
      </c>
      <c r="M372" s="6" t="n">
        <v>28</v>
      </c>
      <c r="N372" s="6" t="n">
        <v>4</v>
      </c>
      <c r="O372" s="6" t="n">
        <v>4</v>
      </c>
      <c r="P372" s="6" t="n">
        <v>9640</v>
      </c>
      <c r="Q372" s="6" t="n">
        <v>0.75</v>
      </c>
      <c r="R372">
        <f>M372+IF(MAX(N372-1,0)&gt;0,IF(ISBLANK(O372),5*MAX(N372-1,0),IF(ISNUMBER(O372),O372*MAX(N372-1,0),SUM(IFERROR(VALUE(TEXTSPLIT(O372,",")),0)))),0)</f>
        <v/>
      </c>
      <c r="S372">
        <f>IFERROR(L372*MAX(N372,1)/R372*IF(ISBLANK(K343),1,K343),0)</f>
        <v/>
      </c>
      <c r="AB372" s="7" t="inlineStr">
        <is>
          <t>^Warhead_Arrow_Light, ^Warhead_MissileAP_Light</t>
        </is>
      </c>
    </row>
    <row r="373">
      <c r="B373" s="7" t="inlineStr">
        <is>
          <t xml:space="preserve">  ↳ RA2ThunderboltMissile</t>
        </is>
      </c>
      <c r="C373" s="7" t="inlineStr">
        <is>
          <t>Armament@primaryThunderbolt</t>
        </is>
      </c>
      <c r="L373" s="6" t="n">
        <v>4000</v>
      </c>
      <c r="M373" s="6" t="n">
        <v>25</v>
      </c>
      <c r="N373" s="6" t="n">
        <v>1</v>
      </c>
      <c r="O373" s="6" t="n"/>
      <c r="P373" s="6" t="n">
        <v>5120</v>
      </c>
      <c r="Q373" s="6" t="n">
        <v>1</v>
      </c>
      <c r="R373">
        <f>M373+IF(MAX(N373-1,0)&gt;0,IF(ISBLANK(O373),5*MAX(N373-1,0),IF(ISNUMBER(O373),O373*MAX(N373-1,0),SUM(IFERROR(VALUE(TEXTSPLIT(O373,",")),0)))),0)</f>
        <v/>
      </c>
      <c r="S373">
        <f>IFERROR(L373*MAX(N373,1)/R373*IF(ISBLANK(K343),1,K343),0)</f>
        <v/>
      </c>
      <c r="AB373" s="7" t="inlineStr">
        <is>
          <t>^Warhead_MissileHE_Heavy, ^Warhead_MissileHE_Light</t>
        </is>
      </c>
    </row>
    <row r="374">
      <c r="B374" s="7" t="inlineStr">
        <is>
          <t xml:space="preserve">  ↳ RA2ThunderboltMissile_elite</t>
        </is>
      </c>
      <c r="C374" s="7" t="inlineStr">
        <is>
          <t>Armament@primaryeliteThunderbolt</t>
        </is>
      </c>
      <c r="L374" s="6" t="n">
        <v>4000</v>
      </c>
      <c r="M374" s="6" t="n">
        <v>25</v>
      </c>
      <c r="N374" s="6" t="n">
        <v>4</v>
      </c>
      <c r="O374" s="6" t="n"/>
      <c r="P374" s="6" t="n">
        <v>6760</v>
      </c>
      <c r="Q374" s="6" t="n">
        <v>1</v>
      </c>
      <c r="R374">
        <f>M374+IF(MAX(N374-1,0)&gt;0,IF(ISBLANK(O374),5*MAX(N374-1,0),IF(ISNUMBER(O374),O374*MAX(N374-1,0),SUM(IFERROR(VALUE(TEXTSPLIT(O374,",")),0)))),0)</f>
        <v/>
      </c>
      <c r="S374">
        <f>IFERROR(L374*MAX(N374,1)/R374*IF(ISBLANK(K343),1,K343),0)</f>
        <v/>
      </c>
      <c r="AB374" s="7" t="inlineStr">
        <is>
          <t>^Warhead_MissileHE_Heavy, ^Warhead_MissileHE_Light</t>
        </is>
      </c>
    </row>
    <row r="375">
      <c r="B375" s="7" t="inlineStr">
        <is>
          <t xml:space="preserve">  ↳ RA2ThunderboltMissile_AA</t>
        </is>
      </c>
      <c r="C375" s="7" t="inlineStr">
        <is>
          <t>Armament@primaryAAThunderbolt</t>
        </is>
      </c>
      <c r="L375" s="6" t="n">
        <v>4000</v>
      </c>
      <c r="M375" s="6" t="n">
        <v>25</v>
      </c>
      <c r="N375" s="6" t="n">
        <v>1</v>
      </c>
      <c r="O375" s="6" t="n"/>
      <c r="P375" s="6" t="n">
        <v>8640</v>
      </c>
      <c r="Q375" s="6" t="n">
        <v>1</v>
      </c>
      <c r="R375">
        <f>M375+IF(MAX(N375-1,0)&gt;0,IF(ISBLANK(O375),5*MAX(N375-1,0),IF(ISNUMBER(O375),O375*MAX(N375-1,0),SUM(IFERROR(VALUE(TEXTSPLIT(O375,",")),0)))),0)</f>
        <v/>
      </c>
      <c r="S375">
        <f>IFERROR(L375*MAX(N375,1)/R375*IF(ISBLANK(K343),1,K343),0)</f>
        <v/>
      </c>
      <c r="AB375" s="7" t="inlineStr">
        <is>
          <t>^Warhead_MissileHE_Heavy, ^Warhead_MissileHE_Light</t>
        </is>
      </c>
    </row>
    <row r="376">
      <c r="B376" s="7" t="inlineStr">
        <is>
          <t xml:space="preserve">  ↳ RA2ThunderboltMissile_AA_elite</t>
        </is>
      </c>
      <c r="C376" s="7" t="inlineStr">
        <is>
          <t>Armament@primaryeliteAAThunderbolt</t>
        </is>
      </c>
      <c r="L376" s="6" t="n">
        <v>4000</v>
      </c>
      <c r="M376" s="6" t="n">
        <v>25</v>
      </c>
      <c r="N376" s="6" t="n">
        <v>4</v>
      </c>
      <c r="O376" s="6" t="n"/>
      <c r="P376" s="6" t="n">
        <v>9640</v>
      </c>
      <c r="Q376" s="6" t="n">
        <v>1</v>
      </c>
      <c r="R376">
        <f>M376+IF(MAX(N376-1,0)&gt;0,IF(ISBLANK(O376),5*MAX(N376-1,0),IF(ISNUMBER(O376),O376*MAX(N376-1,0),SUM(IFERROR(VALUE(TEXTSPLIT(O376,",")),0)))),0)</f>
        <v/>
      </c>
      <c r="S376">
        <f>IFERROR(L376*MAX(N376,1)/R376*IF(ISBLANK(K343),1,K343),0)</f>
        <v/>
      </c>
      <c r="AB376" s="7" t="inlineStr">
        <is>
          <t>^Warhead_MissileHE_Heavy, ^Warhead_MissileHE_Light</t>
        </is>
      </c>
    </row>
    <row r="377">
      <c r="B377" s="7" t="inlineStr">
        <is>
          <t xml:space="preserve">  ↳ RA2MultiHoverMissile_elite</t>
        </is>
      </c>
      <c r="C377" s="7" t="inlineStr">
        <is>
          <t>Armament@missileelite</t>
        </is>
      </c>
      <c r="L377" s="6" t="n">
        <v>4000</v>
      </c>
      <c r="M377" s="6" t="n">
        <v>20</v>
      </c>
      <c r="N377" s="6" t="n">
        <v>4</v>
      </c>
      <c r="O377" s="6" t="n"/>
      <c r="P377" s="6" t="n">
        <v>7170</v>
      </c>
      <c r="Q377" s="6" t="n">
        <v>0.875</v>
      </c>
      <c r="R377">
        <f>M377+IF(MAX(N377-1,0)&gt;0,IF(ISBLANK(O377),5*MAX(N377-1,0),IF(ISNUMBER(O377),O377*MAX(N377-1,0),SUM(IFERROR(VALUE(TEXTSPLIT(O377,",")),0)))),0)</f>
        <v/>
      </c>
      <c r="S377">
        <f>IFERROR(L377*MAX(N377,1)/R377*IF(ISBLANK(K343),1,K343),0)</f>
        <v/>
      </c>
      <c r="AB377" s="7" t="inlineStr">
        <is>
          <t>^Warhead_CannonHE_Medium, ^Warhead_MissileHE_Light</t>
        </is>
      </c>
    </row>
    <row r="378">
      <c r="B378" s="7" t="inlineStr">
        <is>
          <t xml:space="preserve">  ↳ RA2MultiHoverMissile_AA</t>
        </is>
      </c>
      <c r="C378" s="7" t="inlineStr">
        <is>
          <t>Armament@missileAA</t>
        </is>
      </c>
      <c r="L378" s="6" t="n">
        <v>4000</v>
      </c>
      <c r="M378" s="6" t="n">
        <v>20</v>
      </c>
      <c r="N378" s="6" t="n">
        <v>4</v>
      </c>
      <c r="O378" s="6" t="n"/>
      <c r="P378" s="6" t="n">
        <v>9255</v>
      </c>
      <c r="Q378" s="6" t="n">
        <v>0.875</v>
      </c>
      <c r="R378">
        <f>M378+IF(MAX(N378-1,0)&gt;0,IF(ISBLANK(O378),5*MAX(N378-1,0),IF(ISNUMBER(O378),O378*MAX(N378-1,0),SUM(IFERROR(VALUE(TEXTSPLIT(O378,",")),0)))),0)</f>
        <v/>
      </c>
      <c r="S378">
        <f>IFERROR(L378*MAX(N378,1)/R378*IF(ISBLANK(K343),1,K343),0)</f>
        <v/>
      </c>
      <c r="AB378" s="7" t="inlineStr">
        <is>
          <t>^Warhead_CannonHE_Medium, ^Warhead_MissileHE_Light</t>
        </is>
      </c>
    </row>
    <row r="379">
      <c r="B379" s="7" t="inlineStr">
        <is>
          <t xml:space="preserve">  ↳ RA2MultiHoverMissile_AA_elite</t>
        </is>
      </c>
      <c r="C379" s="7" t="inlineStr">
        <is>
          <t>Armament@missileeliteAA</t>
        </is>
      </c>
      <c r="L379" s="6" t="n">
        <v>4000</v>
      </c>
      <c r="M379" s="6" t="n">
        <v>20</v>
      </c>
      <c r="N379" s="6" t="n">
        <v>4</v>
      </c>
      <c r="O379" s="6" t="n"/>
      <c r="P379" s="6" t="n">
        <v>10255</v>
      </c>
      <c r="Q379" s="6" t="n">
        <v>0.875</v>
      </c>
      <c r="R379">
        <f>M379+IF(MAX(N379-1,0)&gt;0,IF(ISBLANK(O379),5*MAX(N379-1,0),IF(ISNUMBER(O379),O379*MAX(N379-1,0),SUM(IFERROR(VALUE(TEXTSPLIT(O379,",")),0)))),0)</f>
        <v/>
      </c>
      <c r="S379">
        <f>IFERROR(L379*MAX(N379,1)/R379*IF(ISBLANK(K343),1,K343),0)</f>
        <v/>
      </c>
      <c r="AB379" s="7" t="inlineStr">
        <is>
          <t>^Warhead_CannonHE_Medium, ^Warhead_MissileHE_Light</t>
        </is>
      </c>
    </row>
    <row r="380">
      <c r="B380" s="7" t="inlineStr">
        <is>
          <t xml:space="preserve">  ↳ RA2MultiThunderboltMissile</t>
        </is>
      </c>
      <c r="C380" s="7" t="inlineStr">
        <is>
          <t>Armament@missileThunderbolt</t>
        </is>
      </c>
      <c r="L380" s="6" t="n">
        <v>4000</v>
      </c>
      <c r="M380" s="6" t="n">
        <v>25</v>
      </c>
      <c r="N380" s="6" t="n">
        <v>1</v>
      </c>
      <c r="O380" s="6" t="n"/>
      <c r="P380" s="6" t="n">
        <v>5120</v>
      </c>
      <c r="Q380" s="6" t="n">
        <v>1</v>
      </c>
      <c r="R380">
        <f>M380+IF(MAX(N380-1,0)&gt;0,IF(ISBLANK(O380),5*MAX(N380-1,0),IF(ISNUMBER(O380),O380*MAX(N380-1,0),SUM(IFERROR(VALUE(TEXTSPLIT(O380,",")),0)))),0)</f>
        <v/>
      </c>
      <c r="S380">
        <f>IFERROR(L380*MAX(N380,1)/R380*IF(ISBLANK(K343),1,K343),0)</f>
        <v/>
      </c>
      <c r="AB380" s="7" t="inlineStr">
        <is>
          <t>^Warhead_MissileHE_Heavy, ^Warhead_MissileHE_Light</t>
        </is>
      </c>
    </row>
    <row r="381">
      <c r="B381" s="7" t="inlineStr">
        <is>
          <t xml:space="preserve">  ↳ RA2MultiThunderboltMissile_elite</t>
        </is>
      </c>
      <c r="C381" s="7" t="inlineStr">
        <is>
          <t>Armament@missileeliteThunderbolt</t>
        </is>
      </c>
      <c r="L381" s="6" t="n">
        <v>4000</v>
      </c>
      <c r="M381" s="6" t="n">
        <v>25</v>
      </c>
      <c r="N381" s="6" t="n">
        <v>4</v>
      </c>
      <c r="O381" s="6" t="n"/>
      <c r="P381" s="6" t="n">
        <v>7170</v>
      </c>
      <c r="Q381" s="6" t="n">
        <v>1</v>
      </c>
      <c r="R381">
        <f>M381+IF(MAX(N381-1,0)&gt;0,IF(ISBLANK(O381),5*MAX(N381-1,0),IF(ISNUMBER(O381),O381*MAX(N381-1,0),SUM(IFERROR(VALUE(TEXTSPLIT(O381,",")),0)))),0)</f>
        <v/>
      </c>
      <c r="S381">
        <f>IFERROR(L381*MAX(N381,1)/R381*IF(ISBLANK(K343),1,K343),0)</f>
        <v/>
      </c>
      <c r="AB381" s="7" t="inlineStr">
        <is>
          <t>^Warhead_MissileHE_Heavy, ^Warhead_MissileHE_Light</t>
        </is>
      </c>
    </row>
    <row r="382">
      <c r="B382" s="7" t="inlineStr">
        <is>
          <t xml:space="preserve">  ↳ RA2MultiThunderboltMissile_AA</t>
        </is>
      </c>
      <c r="C382" s="7" t="inlineStr">
        <is>
          <t>Armament@missileAAThunderbolt</t>
        </is>
      </c>
      <c r="L382" s="6" t="n">
        <v>4000</v>
      </c>
      <c r="M382" s="6" t="n">
        <v>25</v>
      </c>
      <c r="N382" s="6" t="n">
        <v>1</v>
      </c>
      <c r="O382" s="6" t="n"/>
      <c r="P382" s="6" t="n">
        <v>9255</v>
      </c>
      <c r="Q382" s="6" t="n">
        <v>1</v>
      </c>
      <c r="R382">
        <f>M382+IF(MAX(N382-1,0)&gt;0,IF(ISBLANK(O382),5*MAX(N382-1,0),IF(ISNUMBER(O382),O382*MAX(N382-1,0),SUM(IFERROR(VALUE(TEXTSPLIT(O382,",")),0)))),0)</f>
        <v/>
      </c>
      <c r="S382">
        <f>IFERROR(L382*MAX(N382,1)/R382*IF(ISBLANK(K343),1,K343),0)</f>
        <v/>
      </c>
      <c r="AB382" s="7" t="inlineStr">
        <is>
          <t>^Warhead_MissileHE_Heavy, ^Warhead_MissileHE_Light</t>
        </is>
      </c>
    </row>
    <row r="383">
      <c r="B383" s="7" t="inlineStr">
        <is>
          <t xml:space="preserve">  ↳ RA2MultiThunderboltMissile_AA_elite</t>
        </is>
      </c>
      <c r="C383" s="7" t="inlineStr">
        <is>
          <t>Armament@missileeliteAAThunderbolt</t>
        </is>
      </c>
      <c r="L383" s="6" t="n">
        <v>4000</v>
      </c>
      <c r="M383" s="6" t="n">
        <v>25</v>
      </c>
      <c r="N383" s="6" t="n">
        <v>4</v>
      </c>
      <c r="O383" s="6" t="n"/>
      <c r="P383" s="6" t="n">
        <v>10255</v>
      </c>
      <c r="Q383" s="6" t="n">
        <v>1</v>
      </c>
      <c r="R383">
        <f>M383+IF(MAX(N383-1,0)&gt;0,IF(ISBLANK(O383),5*MAX(N383-1,0),IF(ISNUMBER(O383),O383*MAX(N383-1,0),SUM(IFERROR(VALUE(TEXTSPLIT(O383,",")),0)))),0)</f>
        <v/>
      </c>
      <c r="S383">
        <f>IFERROR(L383*MAX(N383,1)/R383*IF(ISBLANK(K343),1,K343),0)</f>
        <v/>
      </c>
      <c r="AB383" s="7" t="inlineStr">
        <is>
          <t>^Warhead_MissileHE_Heavy, ^Warhead_MissileHE_Light</t>
        </is>
      </c>
    </row>
    <row r="384">
      <c r="B384" s="7" t="inlineStr">
        <is>
          <t xml:space="preserve">  ↳ MedicHeal</t>
        </is>
      </c>
      <c r="C384" s="7" t="inlineStr">
        <is>
          <t>Armament@healer</t>
        </is>
      </c>
      <c r="L384" s="6" t="n">
        <v>-3000</v>
      </c>
      <c r="M384" s="6" t="n">
        <v>10</v>
      </c>
      <c r="N384" s="6" t="n">
        <v>1</v>
      </c>
      <c r="O384" s="6" t="n"/>
      <c r="P384" s="6" t="n">
        <v>6000</v>
      </c>
      <c r="Q384" s="6" t="n">
        <v>1</v>
      </c>
      <c r="R384">
        <f>M384+IF(MAX(N384-1,0)&gt;0,IF(ISBLANK(O384),5*MAX(N384-1,0),IF(ISNUMBER(O384),O384*MAX(N384-1,0),SUM(IFERROR(VALUE(TEXTSPLIT(O384,",")),0)))),0)</f>
        <v/>
      </c>
      <c r="S384">
        <f>IFERROR(L384*MAX(N384,1)/R384*IF(ISBLANK(K343),1,K343),0)</f>
        <v/>
      </c>
      <c r="AB384" s="7" t="inlineStr">
        <is>
          <t>^HealingWeapon</t>
        </is>
      </c>
    </row>
    <row r="385">
      <c r="B385" s="7" t="inlineStr">
        <is>
          <t xml:space="preserve">  ↳ RA2AWP</t>
        </is>
      </c>
      <c r="C385" s="7" t="inlineStr">
        <is>
          <t>Armament@ra1_allies_alliedsniper</t>
        </is>
      </c>
      <c r="L385" s="6" t="n">
        <v>44000</v>
      </c>
      <c r="M385" s="6" t="n">
        <v>54</v>
      </c>
      <c r="N385" s="6" t="n">
        <v>1</v>
      </c>
      <c r="O385" s="6" t="n"/>
      <c r="P385" s="6" t="n">
        <v>10000</v>
      </c>
      <c r="Q385" s="6" t="n">
        <v>0.75</v>
      </c>
      <c r="R385">
        <f>M385+IF(MAX(N385-1,0)&gt;0,IF(ISBLANK(O385),5*MAX(N385-1,0),IF(ISNUMBER(O385),O385*MAX(N385-1,0),SUM(IFERROR(VALUE(TEXTSPLIT(O385,",")),0)))),0)</f>
        <v/>
      </c>
      <c r="S385">
        <f>IFERROR(L385*MAX(N385,1)/R385*IF(ISBLANK(K343),1,K343),0)</f>
        <v/>
      </c>
      <c r="AB385" s="7" t="inlineStr">
        <is>
          <t>^Warhead_Sniper_Light</t>
        </is>
      </c>
    </row>
    <row r="386">
      <c r="A386" t="inlineStr">
        <is>
          <t>redalert2</t>
        </is>
      </c>
      <c r="B386" t="inlineStr">
        <is>
          <t>ra2_soviets_terrordrone</t>
        </is>
      </c>
      <c r="C386" t="inlineStr">
        <is>
          <t>Terror Drone</t>
        </is>
      </c>
      <c r="D386" s="6" t="inlineStr">
        <is>
          <t>ScoutVehicle</t>
        </is>
      </c>
      <c r="E386" s="6" t="n">
        <v>10000</v>
      </c>
      <c r="F386" s="6" t="n">
        <v>200</v>
      </c>
      <c r="G386" t="inlineStr">
        <is>
          <t>Scout</t>
        </is>
      </c>
      <c r="H386" s="6" t="n">
        <v>0.9322</v>
      </c>
      <c r="I386" s="6" t="n">
        <v>1</v>
      </c>
      <c r="J386" s="6" t="n">
        <v>1</v>
      </c>
      <c r="P386">
        <f>MAX(P387,P388)</f>
        <v/>
      </c>
      <c r="S386">
        <f>S387+S388</f>
        <v/>
      </c>
      <c r="T386">
        <f>(E386/100000+F386/100+(P386/1000)*J386/5+S386/200)*200*I386*H386</f>
        <v/>
      </c>
      <c r="U386">
        <f>((E386*F386/25000)+((P386/1000)*J386*S386/2.5))*I386*H386</f>
        <v/>
      </c>
      <c r="V386">
        <f>(E386*F386*(P386/1000)*J386*S386*I386*H386)/12500000</f>
        <v/>
      </c>
      <c r="W386">
        <f>IFERROR((((E386/30000)+(F386/200)+(S386/450)+((P386/4500)*J386))*300/4+(((E386/30000)*(F386/200))+(((P386/4500)*J386)*(S386/450)))*300/2+((E386/30000)*(F386/200)*((P386/4500)*J386)*(S386/450))*300)*(H386/1.0)/3,"")</f>
        <v/>
      </c>
      <c r="X386" s="6" t="n">
        <v>600</v>
      </c>
      <c r="Y386">
        <f>IFERROR(W386-X386,"")</f>
        <v/>
      </c>
      <c r="Z386">
        <f>IFERROR(ABS(Y386)/MAX(X386,1),"")</f>
        <v/>
      </c>
      <c r="AA386">
        <f>IFERROR(ROUND(((3*X386-(((E386/30000)+(F386/200)+(S386/450))*300/4+((E386/30000)*(F386/200))*300/2)*(H386/1.0))/(300/4+((S386/450))*300/2+((E386/30000)*(F386/200)*(S386/450))*300)*(H386/1.0)*4500)/J386,-1),"")</f>
        <v/>
      </c>
    </row>
    <row r="387">
      <c r="B387" s="7" t="inlineStr">
        <is>
          <t xml:space="preserve">  ↳ RA2DroneJump</t>
        </is>
      </c>
      <c r="C387" s="7" t="inlineStr">
        <is>
          <t>Armament</t>
        </is>
      </c>
      <c r="L387" t="n">
        <v>100000</v>
      </c>
      <c r="M387" s="6" t="n">
        <v>40</v>
      </c>
      <c r="N387" s="6" t="n">
        <v>1</v>
      </c>
      <c r="O387" s="6" t="n"/>
      <c r="P387" s="6" t="n">
        <v>4000</v>
      </c>
      <c r="Q387" s="6" t="n">
        <v>1</v>
      </c>
      <c r="R387">
        <f>M387+IF(MAX(N387-1,0)&gt;0,IF(ISBLANK(O387),5*MAX(N387-1,0),IF(ISNUMBER(O387),O387*MAX(N387-1,0),SUM(IFERROR(VALUE(TEXTSPLIT(O387,",")),0)))),0)</f>
        <v/>
      </c>
      <c r="S387">
        <f>IFERROR(L387*MAX(N387,1)/R387*IF(ISBLANK(K386),1,K386),0)</f>
        <v/>
      </c>
      <c r="AB387" s="7" t="inlineStr"/>
    </row>
    <row r="388">
      <c r="B388" s="7" t="inlineStr">
        <is>
          <t xml:space="preserve">  ↳ RA2DroneJump_elite</t>
        </is>
      </c>
      <c r="C388" s="7" t="inlineStr">
        <is>
          <t>Armament@Elite</t>
        </is>
      </c>
      <c r="L388" t="n">
        <v>100000</v>
      </c>
      <c r="M388" s="6" t="n">
        <v>10</v>
      </c>
      <c r="N388" s="6" t="n">
        <v>1</v>
      </c>
      <c r="O388" s="6" t="n"/>
      <c r="P388" s="6" t="n">
        <v>4000</v>
      </c>
      <c r="Q388" s="6" t="n">
        <v>1</v>
      </c>
      <c r="R388">
        <f>M388+IF(MAX(N388-1,0)&gt;0,IF(ISBLANK(O388),5*MAX(N388-1,0),IF(ISNUMBER(O388),O388*MAX(N388-1,0),SUM(IFERROR(VALUE(TEXTSPLIT(O388,",")),0)))),0)</f>
        <v/>
      </c>
      <c r="S388">
        <f>IFERROR(L388*MAX(N388,1)/R388*IF(ISBLANK(K386),1,K386),0)</f>
        <v/>
      </c>
      <c r="AB388" s="7" t="inlineStr">
        <is>
          <t>RA2DroneJump</t>
        </is>
      </c>
    </row>
    <row r="389">
      <c r="A389" t="inlineStr">
        <is>
          <t>redalert2mod</t>
        </is>
      </c>
      <c r="B389" t="inlineStr">
        <is>
          <t>cougar.steel</t>
        </is>
      </c>
      <c r="C389" t="inlineStr">
        <is>
          <t>Federation Cougar</t>
        </is>
      </c>
      <c r="D389" s="6" t="inlineStr">
        <is>
          <t>ScoutVehicle</t>
        </is>
      </c>
      <c r="E389" s="6" t="n">
        <v>25000</v>
      </c>
      <c r="F389" s="6" t="n">
        <v>150</v>
      </c>
      <c r="G389" t="inlineStr">
        <is>
          <t>Scout</t>
        </is>
      </c>
      <c r="H389" s="6" t="n">
        <v>1</v>
      </c>
      <c r="I389" s="6" t="n">
        <v>1</v>
      </c>
      <c r="J389" s="6" t="n">
        <v>1</v>
      </c>
      <c r="P389">
        <f>MAX(P390)</f>
        <v/>
      </c>
      <c r="S389">
        <f>S390</f>
        <v/>
      </c>
      <c r="T389">
        <f>(E389/100000+F389/100+(P389/1000)*J389/5+S389/200)*200*I389*H389</f>
        <v/>
      </c>
      <c r="U389">
        <f>((E389*F389/25000)+((P389/1000)*J389*S389/2.5))*I389*H389</f>
        <v/>
      </c>
      <c r="V389">
        <f>(E389*F389*(P389/1000)*J389*S389*I389*H389)/12500000</f>
        <v/>
      </c>
      <c r="W389">
        <f>IFERROR((((E389/30000)+(F389/200)+(S389/450)+((P389/4500)*J389))*300/4+(((E389/30000)*(F389/200))+(((P389/4500)*J389)*(S389/450)))*300/2+((E389/30000)*(F389/200)*((P389/4500)*J389)*(S389/450))*300)*(H389/1.0)/3,"")</f>
        <v/>
      </c>
      <c r="X389" s="6" t="n">
        <v>1200</v>
      </c>
      <c r="Y389">
        <f>IFERROR(W389-X389,"")</f>
        <v/>
      </c>
      <c r="Z389">
        <f>IFERROR(ABS(Y389)/MAX(X389,1),"")</f>
        <v/>
      </c>
      <c r="AA389">
        <f>IFERROR(ROUND(((3*X389-(((E389/30000)+(F389/200)+(S389/450))*300/4+((E389/30000)*(F389/200))*300/2)*(H389/1.0))/(300/4+((S389/450))*300/2+((E389/30000)*(F389/200)*(S389/450))*300)*(H389/1.0)*4500)/J389,-1),"")</f>
        <v/>
      </c>
    </row>
    <row r="390">
      <c r="B390" s="7" t="inlineStr">
        <is>
          <t xml:space="preserve">  ↳ SteelVulcan</t>
        </is>
      </c>
      <c r="C390" s="7" t="inlineStr">
        <is>
          <t>Armament</t>
        </is>
      </c>
      <c r="L390" s="6" t="n">
        <v>6000</v>
      </c>
      <c r="M390" s="6" t="n">
        <v>10</v>
      </c>
      <c r="N390" s="6" t="n">
        <v>1</v>
      </c>
      <c r="O390" s="6" t="n"/>
      <c r="P390" s="6" t="n">
        <v>6666</v>
      </c>
      <c r="Q390" s="6" t="n">
        <v>1</v>
      </c>
      <c r="R390">
        <f>M390+IF(MAX(N390-1,0)&gt;0,IF(ISBLANK(O390),5*MAX(N390-1,0),IF(ISNUMBER(O390),O390*MAX(N390-1,0),SUM(IFERROR(VALUE(TEXTSPLIT(O390,",")),0)))),0)</f>
        <v/>
      </c>
      <c r="S390">
        <f>IFERROR(L390*MAX(N390,1)/R390*IF(ISBLANK(K389),1,K389),0)</f>
        <v/>
      </c>
      <c r="AB390" s="7" t="inlineStr">
        <is>
          <t>^Warhead_CannonHE_Heavy, ^Warhead_Bullet_Light, ^Warhead_Bullet_Medium</t>
        </is>
      </c>
    </row>
    <row r="391">
      <c r="A391" t="inlineStr">
        <is>
          <t>redalert2mod</t>
        </is>
      </c>
      <c r="B391" t="inlineStr">
        <is>
          <t>scrapcar2_driveby.latin</t>
        </is>
      </c>
      <c r="C391" t="inlineStr">
        <is>
          <t>Drive By Car</t>
        </is>
      </c>
      <c r="D391" s="6" t="inlineStr">
        <is>
          <t>ScoutVehicle</t>
        </is>
      </c>
      <c r="E391" s="6" t="n">
        <v>25000</v>
      </c>
      <c r="F391" s="6" t="n">
        <v>100</v>
      </c>
      <c r="G391" t="inlineStr">
        <is>
          <t>Scout</t>
        </is>
      </c>
      <c r="H391" s="6" t="n">
        <v>1</v>
      </c>
      <c r="I391" s="6" t="n">
        <v>1</v>
      </c>
      <c r="J391" s="6" t="n">
        <v>1</v>
      </c>
      <c r="P391">
        <f>MAX(P392)</f>
        <v/>
      </c>
      <c r="S391">
        <f>S392</f>
        <v/>
      </c>
      <c r="T391">
        <f>(E391/100000+F391/100+(P391/1000)*J391/5+S391/200)*200*I391*H391</f>
        <v/>
      </c>
      <c r="U391">
        <f>((E391*F391/25000)+((P391/1000)*J391*S391/2.5))*I391*H391</f>
        <v/>
      </c>
      <c r="V391">
        <f>(E391*F391*(P391/1000)*J391*S391*I391*H391)/12500000</f>
        <v/>
      </c>
      <c r="W391">
        <f>IFERROR((((E391/30000)+(F391/200)+(S391/450)+((P391/4500)*J391))*300/4+(((E391/30000)*(F391/200))+(((P391/4500)*J391)*(S391/450)))*300/2+((E391/30000)*(F391/200)*((P391/4500)*J391)*(S391/450))*300)*(H391/1.0)/3,"")</f>
        <v/>
      </c>
      <c r="X391" s="6" t="n">
        <v>1000</v>
      </c>
      <c r="Y391">
        <f>IFERROR(W391-X391,"")</f>
        <v/>
      </c>
      <c r="Z391">
        <f>IFERROR(ABS(Y391)/MAX(X391,1),"")</f>
        <v/>
      </c>
      <c r="AA391">
        <f>IFERROR(ROUND(((3*X391-(((E391/30000)+(F391/200)+(S391/450))*300/4+((E391/30000)*(F391/200))*300/2)*(H391/1.0))/(300/4+((S391/450))*300/2+((E391/30000)*(F391/200)*(S391/450))*300)*(H391/1.0)*4500)/J391,-1),"")</f>
        <v/>
      </c>
    </row>
    <row r="392">
      <c r="B392" s="7" t="inlineStr">
        <is>
          <t xml:space="preserve">  ↳ RA220mmrapid</t>
        </is>
      </c>
      <c r="C392" s="7" t="inlineStr">
        <is>
          <t>Armament</t>
        </is>
      </c>
      <c r="L392" s="6" t="n">
        <v>8000</v>
      </c>
      <c r="M392" s="6" t="n">
        <v>15</v>
      </c>
      <c r="N392" s="6" t="n">
        <v>1</v>
      </c>
      <c r="O392" s="6" t="n"/>
      <c r="P392" s="6" t="n">
        <v>5000</v>
      </c>
      <c r="Q392" s="6" t="n">
        <v>0.875</v>
      </c>
      <c r="R392">
        <f>M392+IF(MAX(N392-1,0)&gt;0,IF(ISBLANK(O392),5*MAX(N392-1,0),IF(ISNUMBER(O392),O392*MAX(N392-1,0),SUM(IFERROR(VALUE(TEXTSPLIT(O392,",")),0)))),0)</f>
        <v/>
      </c>
      <c r="S392">
        <f>IFERROR(L392*MAX(N392,1)/R392*IF(ISBLANK(K391),1,K391),0)</f>
        <v/>
      </c>
      <c r="AB392" s="7" t="inlineStr">
        <is>
          <t>^Warhead_Bullet_Light, ^Warhead_Bullet_Medium</t>
        </is>
      </c>
    </row>
    <row r="393">
      <c r="A393" t="inlineStr">
        <is>
          <t>redalert2mod</t>
        </is>
      </c>
      <c r="B393" t="inlineStr">
        <is>
          <t>scrapcar_driveby.latin</t>
        </is>
      </c>
      <c r="C393" t="inlineStr">
        <is>
          <t>Drive By Car</t>
        </is>
      </c>
      <c r="D393" s="6" t="inlineStr">
        <is>
          <t>ScoutVehicle</t>
        </is>
      </c>
      <c r="E393" s="6" t="n">
        <v>25000</v>
      </c>
      <c r="F393" s="6" t="n">
        <v>100</v>
      </c>
      <c r="G393" t="inlineStr">
        <is>
          <t>Scout</t>
        </is>
      </c>
      <c r="H393" s="6" t="n">
        <v>1</v>
      </c>
      <c r="I393" s="6" t="n">
        <v>1</v>
      </c>
      <c r="J393" s="6" t="n">
        <v>1</v>
      </c>
      <c r="P393">
        <f>MAX(P394)</f>
        <v/>
      </c>
      <c r="S393">
        <f>S394</f>
        <v/>
      </c>
      <c r="T393">
        <f>(E393/100000+F393/100+(P393/1000)*J393/5+S393/200)*200*I393*H393</f>
        <v/>
      </c>
      <c r="U393">
        <f>((E393*F393/25000)+((P393/1000)*J393*S393/2.5))*I393*H393</f>
        <v/>
      </c>
      <c r="V393">
        <f>(E393*F393*(P393/1000)*J393*S393*I393*H393)/12500000</f>
        <v/>
      </c>
      <c r="W393">
        <f>IFERROR((((E393/30000)+(F393/200)+(S393/450)+((P393/4500)*J393))*300/4+(((E393/30000)*(F393/200))+(((P393/4500)*J393)*(S393/450)))*300/2+((E393/30000)*(F393/200)*((P393/4500)*J393)*(S393/450))*300)*(H393/1.0)/3,"")</f>
        <v/>
      </c>
      <c r="X393" s="6" t="n">
        <v>1000</v>
      </c>
      <c r="Y393">
        <f>IFERROR(W393-X393,"")</f>
        <v/>
      </c>
      <c r="Z393">
        <f>IFERROR(ABS(Y393)/MAX(X393,1),"")</f>
        <v/>
      </c>
      <c r="AA393">
        <f>IFERROR(ROUND(((3*X393-(((E393/30000)+(F393/200)+(S393/450))*300/4+((E393/30000)*(F393/200))*300/2)*(H393/1.0))/(300/4+((S393/450))*300/2+((E393/30000)*(F393/200)*(S393/450))*300)*(H393/1.0)*4500)/J393,-1),"")</f>
        <v/>
      </c>
    </row>
    <row r="394">
      <c r="B394" s="7" t="inlineStr">
        <is>
          <t xml:space="preserve">  ↳ RA220mmrapid</t>
        </is>
      </c>
      <c r="C394" s="7" t="inlineStr">
        <is>
          <t>Armament</t>
        </is>
      </c>
      <c r="L394" s="6" t="n">
        <v>8000</v>
      </c>
      <c r="M394" s="6" t="n">
        <v>15</v>
      </c>
      <c r="N394" s="6" t="n">
        <v>1</v>
      </c>
      <c r="O394" s="6" t="n"/>
      <c r="P394" s="6" t="n">
        <v>5000</v>
      </c>
      <c r="Q394" s="6" t="n">
        <v>0.875</v>
      </c>
      <c r="R394">
        <f>M394+IF(MAX(N394-1,0)&gt;0,IF(ISBLANK(O394),5*MAX(N394-1,0),IF(ISNUMBER(O394),O394*MAX(N394-1,0),SUM(IFERROR(VALUE(TEXTSPLIT(O394,",")),0)))),0)</f>
        <v/>
      </c>
      <c r="S394">
        <f>IFERROR(L394*MAX(N394,1)/R394*IF(ISBLANK(K393),1,K393),0)</f>
        <v/>
      </c>
      <c r="AB394" s="7" t="inlineStr">
        <is>
          <t>^Warhead_Bullet_Light, ^Warhead_Bullet_Medium</t>
        </is>
      </c>
    </row>
    <row r="395">
      <c r="A395" t="inlineStr">
        <is>
          <t>redalert2mod</t>
        </is>
      </c>
      <c r="B395" t="inlineStr">
        <is>
          <t>naxis_bmwbike</t>
        </is>
      </c>
      <c r="C395" t="inlineStr">
        <is>
          <t>BMW Bike</t>
        </is>
      </c>
      <c r="D395" s="6" t="inlineStr">
        <is>
          <t>ScoutVehicle</t>
        </is>
      </c>
      <c r="E395" s="6" t="n">
        <v>22000</v>
      </c>
      <c r="F395" s="6" t="n">
        <v>125</v>
      </c>
      <c r="G395" t="inlineStr">
        <is>
          <t>Light</t>
        </is>
      </c>
      <c r="H395" s="6" t="n">
        <v>0.782</v>
      </c>
      <c r="I395" s="6" t="n">
        <v>1</v>
      </c>
      <c r="J395" s="6" t="n">
        <v>1</v>
      </c>
      <c r="P395">
        <f>MAX(P396,P397)</f>
        <v/>
      </c>
      <c r="S395">
        <f>S396+S397</f>
        <v/>
      </c>
      <c r="T395">
        <f>(E395/100000+F395/100+(P395/1000)*J395/5+S395/200)*200*I395*H395</f>
        <v/>
      </c>
      <c r="U395">
        <f>((E395*F395/25000)+((P395/1000)*J395*S395/2.5))*I395*H395</f>
        <v/>
      </c>
      <c r="V395">
        <f>(E395*F395*(P395/1000)*J395*S395*I395*H395)/12500000</f>
        <v/>
      </c>
      <c r="W395">
        <f>(T395+U395+V395)/3</f>
        <v/>
      </c>
      <c r="X395" s="6" t="n">
        <v>450</v>
      </c>
      <c r="Y395">
        <f>IFERROR(W395-X395,"")</f>
        <v/>
      </c>
      <c r="Z395">
        <f>IFERROR(ABS(Y395)/MAX(X395,1),"")</f>
        <v/>
      </c>
      <c r="AA395">
        <f>IFERROR((X395-(((E395/100000+F395/100+S395/200)*200*I395*H395)+((E395*F395/25000)*I395*H395))/3)/(((J395/5)*200*I395*H395)+((J395*S395/2.5)*I395*H395)+((E395*F395*J395*S395*I395*H395)/12500000))/3*1000,"")</f>
        <v/>
      </c>
    </row>
    <row r="396">
      <c r="B396" s="7" t="inlineStr">
        <is>
          <t xml:space="preserve">  ↳ NaxiWW2MachinegunSmall</t>
        </is>
      </c>
      <c r="C396" s="7" t="inlineStr">
        <is>
          <t>Armament@AG</t>
        </is>
      </c>
      <c r="L396" s="6" t="n">
        <v>4000</v>
      </c>
      <c r="M396" s="6" t="n">
        <v>60</v>
      </c>
      <c r="N396" s="6" t="n">
        <v>3</v>
      </c>
      <c r="O396" s="6" t="n">
        <v>4</v>
      </c>
      <c r="P396" s="6" t="n">
        <v>5570</v>
      </c>
      <c r="Q396" s="6" t="n">
        <v>0.875</v>
      </c>
      <c r="R396">
        <f>M396+IF(MAX(N396-1,0)&gt;0,IF(ISBLANK(O396),5*MAX(N396-1,0),IF(ISNUMBER(O396),O396*MAX(N396-1,0),SUM(IFERROR(VALUE(TEXTSPLIT(O396,",")),0)))),0)</f>
        <v/>
      </c>
      <c r="S396">
        <f>IFERROR(L396*MAX(N396,1)/R396*IF(ISBLANK(K395),1,K395),0)</f>
        <v/>
      </c>
      <c r="AB396" s="7" t="inlineStr">
        <is>
          <t>^Warhead_Bullet_Light, ^Warhead_Bullet_Medium</t>
        </is>
      </c>
    </row>
    <row r="397">
      <c r="B397" s="7" t="inlineStr">
        <is>
          <t xml:space="preserve">  ↳ NaxiWW2MachinegunSmall_AA</t>
        </is>
      </c>
      <c r="C397" s="7" t="inlineStr">
        <is>
          <t>Armament@AA</t>
        </is>
      </c>
      <c r="L397" s="6" t="n">
        <v>4000</v>
      </c>
      <c r="M397" s="6" t="n">
        <v>60</v>
      </c>
      <c r="N397" s="6" t="n">
        <v>3</v>
      </c>
      <c r="O397" s="6" t="n">
        <v>4</v>
      </c>
      <c r="P397" s="6" t="n">
        <v>8355</v>
      </c>
      <c r="Q397" s="6" t="n">
        <v>0.875</v>
      </c>
      <c r="R397">
        <f>M397+IF(MAX(N397-1,0)&gt;0,IF(ISBLANK(O397),5*MAX(N397-1,0),IF(ISNUMBER(O397),O397*MAX(N397-1,0),SUM(IFERROR(VALUE(TEXTSPLIT(O397,",")),0)))),0)</f>
        <v/>
      </c>
      <c r="S397">
        <f>IFERROR(L397*MAX(N397,1)/R397*IF(ISBLANK(K395),1,K395),0)</f>
        <v/>
      </c>
      <c r="AB397" s="7" t="inlineStr">
        <is>
          <t>^Warhead_Bullet_Light, ^Warhead_Bullet_Medium</t>
        </is>
      </c>
    </row>
    <row r="398">
      <c r="A398" t="inlineStr">
        <is>
          <t>redalert2mod</t>
        </is>
      </c>
      <c r="B398" t="inlineStr">
        <is>
          <t>futuretech_salamanderifv</t>
        </is>
      </c>
      <c r="C398" t="inlineStr">
        <is>
          <t>Salamander IFV</t>
        </is>
      </c>
      <c r="D398" s="6" t="inlineStr">
        <is>
          <t>ScoutVehicle</t>
        </is>
      </c>
      <c r="E398" s="6" t="n">
        <v>50000</v>
      </c>
      <c r="F398" s="6" t="n">
        <v>150</v>
      </c>
      <c r="G398" t="inlineStr">
        <is>
          <t>Scout</t>
        </is>
      </c>
      <c r="H398" s="6" t="n">
        <v>1</v>
      </c>
      <c r="I398" s="6" t="n">
        <v>0.333</v>
      </c>
      <c r="J398" s="6" t="n">
        <v>1</v>
      </c>
      <c r="K398" t="n">
        <v>0.015</v>
      </c>
      <c r="P398">
        <f>MAX(P399,P400,P401,P402,P403,P404,P405,P406,P407,P408,P409,P410,P411,P412,P413,P414,P415,P416,P417,P421,P422,P423,P424,P425,P426,P427,P428,P429,P430,P431,P432,P433,P434,P435,P436,P437,P438,P439,P440)</f>
        <v/>
      </c>
      <c r="S398">
        <f>S399+S400+S401+S402+S403+S404+S405+S406+S407+S408+S409+S410+S411+S412+S413+S414+S415+S416+S417+S421+S422+S423+S424+S425+S426+S427+S428+S429+S430+S431+S432+S433+S434+S435+S436+S437+S438+S439+S440</f>
        <v/>
      </c>
      <c r="T398">
        <f>(E398/100000+F398/100+(P398/1000)*J398/5+S398/200)*200*I398*H398</f>
        <v/>
      </c>
      <c r="U398">
        <f>((E398*F398/25000)+((P398/1000)*J398*S398/2.5))*I398*H398</f>
        <v/>
      </c>
      <c r="V398">
        <f>(E398*F398*(P398/1000)*J398*S398*I398*H398)/12500000</f>
        <v/>
      </c>
      <c r="W398">
        <f>IFERROR((((E398/30000)+(F398/200)+(S398/450)+((P398/4500)*J398))*300/4+(((E398/30000)*(F398/200))+(((P398/4500)*J398)*(S398/450)))*300/2+((E398/30000)*(F398/200)*((P398/4500)*J398)*(S398/450))*300)*(H398/1.0)/3,"")</f>
        <v/>
      </c>
      <c r="X398" s="6" t="n">
        <v>950</v>
      </c>
      <c r="Y398">
        <f>IFERROR(W398-X398,"")</f>
        <v/>
      </c>
      <c r="Z398">
        <f>IFERROR(ABS(Y398)/MAX(X398,1),"")</f>
        <v/>
      </c>
      <c r="AA398">
        <f>IFERROR(ROUND(((3*X398-(((E398/30000)+(F398/200)+(S398/450))*300/4+((E398/30000)*(F398/200))*300/2)*(H398/1.0))/(300/4+((S398/450))*300/2+((E398/30000)*(F398/200)*(S398/450))*300)*(H398/1.0)*4500)/J398,-1),"")</f>
        <v/>
      </c>
    </row>
    <row r="399">
      <c r="B399" s="7" t="inlineStr">
        <is>
          <t xml:space="preserve">  ↳ RA2CRM60</t>
        </is>
      </c>
      <c r="C399" s="7" t="inlineStr">
        <is>
          <t>Armament@mg</t>
        </is>
      </c>
      <c r="L399" s="6" t="n">
        <v>4000</v>
      </c>
      <c r="M399" s="6" t="n">
        <v>14</v>
      </c>
      <c r="N399" s="6" t="n">
        <v>4</v>
      </c>
      <c r="O399" s="6" t="n">
        <v>2</v>
      </c>
      <c r="P399" s="6" t="n">
        <v>5660</v>
      </c>
      <c r="Q399" s="6" t="n">
        <v>0.875</v>
      </c>
      <c r="R399">
        <f>M399+IF(MAX(N399-1,0)&gt;0,IF(ISBLANK(O399),5*MAX(N399-1,0),IF(ISNUMBER(O399),O399*MAX(N399-1,0),SUM(IFERROR(VALUE(TEXTSPLIT(O399,",")),0)))),0)</f>
        <v/>
      </c>
      <c r="S399">
        <f>IFERROR(L399*MAX(N399,1)/R399*IF(ISBLANK(K398),1,K398),0)</f>
        <v/>
      </c>
      <c r="AB399" s="7" t="inlineStr">
        <is>
          <t>^Warhead_Bullet_Light, ^Warhead_Bullet_Medium</t>
        </is>
      </c>
    </row>
    <row r="400">
      <c r="B400" s="7" t="inlineStr">
        <is>
          <t xml:space="preserve">  ↳ RA2CRM60H</t>
        </is>
      </c>
      <c r="C400" s="7" t="inlineStr">
        <is>
          <t>Armament@hmg</t>
        </is>
      </c>
      <c r="L400" s="6" t="n">
        <v>6000</v>
      </c>
      <c r="M400" s="6" t="n">
        <v>10</v>
      </c>
      <c r="N400" s="6" t="n">
        <v>6</v>
      </c>
      <c r="O400" s="6" t="n">
        <v>2</v>
      </c>
      <c r="P400" s="6" t="n">
        <v>4692</v>
      </c>
      <c r="Q400" s="6" t="n">
        <v>1.125</v>
      </c>
      <c r="R400">
        <f>M400+IF(MAX(N400-1,0)&gt;0,IF(ISBLANK(O400),5*MAX(N400-1,0),IF(ISNUMBER(O400),O400*MAX(N400-1,0),SUM(IFERROR(VALUE(TEXTSPLIT(O400,",")),0)))),0)</f>
        <v/>
      </c>
      <c r="S400">
        <f>IFERROR(L400*MAX(N400,1)/R400*IF(ISBLANK(K398),1,K398),0)</f>
        <v/>
      </c>
      <c r="AB400" s="7" t="inlineStr">
        <is>
          <t>^Warhead_CannonHE_Heavy, ^Warhead_Bullet_Medium</t>
        </is>
      </c>
    </row>
    <row r="401">
      <c r="B401" s="7" t="inlineStr">
        <is>
          <t xml:space="preserve">  ↳ wc_tower_fire</t>
        </is>
      </c>
      <c r="C401" s="7" t="inlineStr">
        <is>
          <t>Armament@archer</t>
        </is>
      </c>
      <c r="L401" s="6" t="n">
        <v>2500</v>
      </c>
      <c r="M401" s="6" t="n">
        <v>40</v>
      </c>
      <c r="N401" s="6" t="n">
        <v>1</v>
      </c>
      <c r="O401" s="6" t="n"/>
      <c r="P401" s="6" t="n">
        <v>8704</v>
      </c>
      <c r="Q401" s="6" t="n">
        <v>1</v>
      </c>
      <c r="R401">
        <f>M401+IF(MAX(N401-1,0)&gt;0,IF(ISBLANK(O401),5*MAX(N401-1,0),IF(ISNUMBER(O401),O401*MAX(N401-1,0),SUM(IFERROR(VALUE(TEXTSPLIT(O401,",")),0)))),0)</f>
        <v/>
      </c>
      <c r="S401">
        <f>IFERROR(L401*MAX(N401,1)/R401*IF(ISBLANK(K398),1,K398),0)</f>
        <v/>
      </c>
      <c r="AB401" s="7" t="inlineStr">
        <is>
          <t>bowFire</t>
        </is>
      </c>
    </row>
    <row r="402">
      <c r="B402" s="7" t="inlineStr">
        <is>
          <t xml:space="preserve">  ↳ RA2IFVRepair</t>
        </is>
      </c>
      <c r="C402" s="7" t="inlineStr">
        <is>
          <t>Armament@repair</t>
        </is>
      </c>
      <c r="L402" s="6" t="n">
        <v>-3000</v>
      </c>
      <c r="M402" s="6" t="n">
        <v>50</v>
      </c>
      <c r="N402" s="6" t="n">
        <v>10</v>
      </c>
      <c r="O402" s="6" t="n">
        <v>1</v>
      </c>
      <c r="P402" s="6" t="n">
        <v>5000</v>
      </c>
      <c r="Q402" s="6" t="n">
        <v>1</v>
      </c>
      <c r="R402">
        <f>M402+IF(MAX(N402-1,0)&gt;0,IF(ISBLANK(O402),5*MAX(N402-1,0),IF(ISNUMBER(O402),O402*MAX(N402-1,0),SUM(IFERROR(VALUE(TEXTSPLIT(O402,",")),0)))),0)</f>
        <v/>
      </c>
      <c r="S402">
        <f>IFERROR(L402*MAX(N402,1)/R402*IF(ISBLANK(K398),1,K398),0)</f>
        <v/>
      </c>
      <c r="AB402" s="7" t="inlineStr">
        <is>
          <t>^RepairWeapon</t>
        </is>
      </c>
    </row>
    <row r="403">
      <c r="B403" s="7" t="inlineStr">
        <is>
          <t xml:space="preserve">  ↳ LightSniper</t>
        </is>
      </c>
      <c r="C403" s="7" t="inlineStr">
        <is>
          <t>Armament@lightsniper</t>
        </is>
      </c>
      <c r="L403" s="6" t="n">
        <v>30000</v>
      </c>
      <c r="M403" s="6" t="n">
        <v>100</v>
      </c>
      <c r="N403" s="6" t="n">
        <v>1</v>
      </c>
      <c r="O403" s="6" t="n"/>
      <c r="P403" s="6" t="n">
        <v>9153</v>
      </c>
      <c r="Q403" s="6" t="n">
        <v>0.75</v>
      </c>
      <c r="R403">
        <f>M403+IF(MAX(N403-1,0)&gt;0,IF(ISBLANK(O403),5*MAX(N403-1,0),IF(ISNUMBER(O403),O403*MAX(N403-1,0),SUM(IFERROR(VALUE(TEXTSPLIT(O403,",")),0)))),0)</f>
        <v/>
      </c>
      <c r="S403">
        <f>IFERROR(L403*MAX(N403,1)/R403*IF(ISBLANK(K398),1,K398),0)</f>
        <v/>
      </c>
      <c r="AB403" s="7" t="inlineStr">
        <is>
          <t>^Warhead_Sniper_Light</t>
        </is>
      </c>
    </row>
    <row r="404">
      <c r="B404" s="7" t="inlineStr">
        <is>
          <t xml:space="preserve">  ↳ RA2DoublePistolsIFV</t>
        </is>
      </c>
      <c r="C404" s="7" t="inlineStr">
        <is>
          <t>Armament@hero</t>
        </is>
      </c>
      <c r="L404" s="6" t="n">
        <v>14000</v>
      </c>
      <c r="M404" s="6" t="n">
        <v>12</v>
      </c>
      <c r="N404" s="6" t="n">
        <v>2</v>
      </c>
      <c r="O404" s="6" t="n">
        <v>3</v>
      </c>
      <c r="P404" s="6" t="n">
        <v>8000</v>
      </c>
      <c r="Q404" s="6" t="n">
        <v>0.75</v>
      </c>
      <c r="R404">
        <f>M404+IF(MAX(N404-1,0)&gt;0,IF(ISBLANK(O404),5*MAX(N404-1,0),IF(ISNUMBER(O404),O404*MAX(N404-1,0),SUM(IFERROR(VALUE(TEXTSPLIT(O404,",")),0)))),0)</f>
        <v/>
      </c>
      <c r="S404">
        <f>IFERROR(L404*MAX(N404,1)/R404*IF(ISBLANK(K398),1,K398),0)</f>
        <v/>
      </c>
      <c r="AB404" s="7" t="inlineStr">
        <is>
          <t>^Warhead_Sniper_Light</t>
        </is>
      </c>
    </row>
    <row r="405">
      <c r="B405" s="7" t="inlineStr">
        <is>
          <t xml:space="preserve">  ↳ TTankZap</t>
        </is>
      </c>
      <c r="C405" s="7" t="inlineStr">
        <is>
          <t>Armament@tesla</t>
        </is>
      </c>
      <c r="L405" s="6" t="n">
        <v>40000</v>
      </c>
      <c r="M405" s="6" t="n">
        <v>80</v>
      </c>
      <c r="N405" s="6" t="n">
        <v>1</v>
      </c>
      <c r="O405" s="6" t="n"/>
      <c r="P405" s="6" t="n">
        <v>7300</v>
      </c>
      <c r="Q405" s="6" t="n">
        <v>1.25</v>
      </c>
      <c r="R405">
        <f>M405+IF(MAX(N405-1,0)&gt;0,IF(ISBLANK(O405),5*MAX(N405-1,0),IF(ISNUMBER(O405),O405*MAX(N405-1,0),SUM(IFERROR(VALUE(TEXTSPLIT(O405,",")),0)))),0)</f>
        <v/>
      </c>
      <c r="S405">
        <f>IFERROR(L405*MAX(N405,1)/R405*IF(ISBLANK(K398),1,K398),0)</f>
        <v/>
      </c>
      <c r="AB405" s="7" t="inlineStr">
        <is>
          <t>^Warhead_Tesla_Heavy</t>
        </is>
      </c>
    </row>
    <row r="406">
      <c r="B406" s="7" t="inlineStr">
        <is>
          <t xml:space="preserve">  ↳ DragunovSniper</t>
        </is>
      </c>
      <c r="C406" s="7" t="inlineStr">
        <is>
          <t>Armament@flak</t>
        </is>
      </c>
      <c r="L406" s="6" t="n">
        <v>400000</v>
      </c>
      <c r="M406" s="6" t="n">
        <v>85</v>
      </c>
      <c r="N406" s="6" t="n">
        <v>1</v>
      </c>
      <c r="O406" s="6" t="n"/>
      <c r="P406" s="6" t="n">
        <v>5804</v>
      </c>
      <c r="Q406" s="6" t="n">
        <v>1</v>
      </c>
      <c r="R406">
        <f>M406+IF(MAX(N406-1,0)&gt;0,IF(ISBLANK(O406),5*MAX(N406-1,0),IF(ISNUMBER(O406),O406*MAX(N406-1,0),SUM(IFERROR(VALUE(TEXTSPLIT(O406,",")),0)))),0)</f>
        <v/>
      </c>
      <c r="S406">
        <f>IFERROR(L406*MAX(N406,1)/R406*IF(ISBLANK(K398),1,K398),0)</f>
        <v/>
      </c>
      <c r="AB406" s="7" t="inlineStr">
        <is>
          <t>^TankDestroyerCannon, ^RailgunWeapon, ^LightMissile, ^HeavyCannon, ^FlakWeapon</t>
        </is>
      </c>
    </row>
    <row r="407">
      <c r="B407" s="7" t="inlineStr">
        <is>
          <t xml:space="preserve">  ↳ RA2MirageGun</t>
        </is>
      </c>
      <c r="C407" s="7" t="inlineStr">
        <is>
          <t>Armament@cannon</t>
        </is>
      </c>
      <c r="L407" s="6" t="n">
        <v>24000</v>
      </c>
      <c r="M407" s="6" t="n">
        <v>39</v>
      </c>
      <c r="N407" s="6" t="n">
        <v>1</v>
      </c>
      <c r="O407" s="6" t="n"/>
      <c r="P407" s="6" t="n">
        <v>6031</v>
      </c>
      <c r="Q407" s="6" t="n">
        <v>0.75</v>
      </c>
      <c r="R407">
        <f>M407+IF(MAX(N407-1,0)&gt;0,IF(ISBLANK(O407),5*MAX(N407-1,0),IF(ISNUMBER(O407),O407*MAX(N407-1,0),SUM(IFERROR(VALUE(TEXTSPLIT(O407,",")),0)))),0)</f>
        <v/>
      </c>
      <c r="S407">
        <f>IFERROR(L407*MAX(N407,1)/R407*IF(ISBLANK(K398),1,K398),0)</f>
        <v/>
      </c>
      <c r="AB407" s="7" t="inlineStr">
        <is>
          <t>^Warhead_CannonAP_Light</t>
        </is>
      </c>
    </row>
    <row r="408">
      <c r="B408" s="7" t="inlineStr">
        <is>
          <t xml:space="preserve">  ↳ Grenade</t>
        </is>
      </c>
      <c r="C408" s="7" t="inlineStr">
        <is>
          <t>Armament@grenade</t>
        </is>
      </c>
      <c r="L408" s="6" t="n">
        <v>16000</v>
      </c>
      <c r="M408" s="6" t="n">
        <v>42</v>
      </c>
      <c r="N408" s="6" t="n">
        <v>1</v>
      </c>
      <c r="O408" s="6" t="n"/>
      <c r="P408" s="6" t="n">
        <v>6097</v>
      </c>
      <c r="Q408" s="6" t="n">
        <v>0.75</v>
      </c>
      <c r="R408">
        <f>M408+IF(MAX(N408-1,0)&gt;0,IF(ISBLANK(O408),5*MAX(N408-1,0),IF(ISNUMBER(O408),O408*MAX(N408-1,0),SUM(IFERROR(VALUE(TEXTSPLIT(O408,",")),0)))),0)</f>
        <v/>
      </c>
      <c r="S408">
        <f>IFERROR(L408*MAX(N408,1)/R408*IF(ISBLANK(K398),1,K398),0)</f>
        <v/>
      </c>
      <c r="AB408" s="7" t="inlineStr">
        <is>
          <t>^Warhead_Demolition_Light</t>
        </is>
      </c>
    </row>
    <row r="409">
      <c r="B409" s="7" t="inlineStr">
        <is>
          <t xml:space="preserve">  ↳ DRPlasmaTankWeapon</t>
        </is>
      </c>
      <c r="C409" s="7" t="inlineStr">
        <is>
          <t>Armament@plasma</t>
        </is>
      </c>
      <c r="L409" s="6" t="n">
        <v>6250</v>
      </c>
      <c r="M409" s="6" t="n">
        <v>21</v>
      </c>
      <c r="N409" s="6" t="n">
        <v>1</v>
      </c>
      <c r="O409" s="6" t="n"/>
      <c r="P409" s="6" t="n">
        <v>5120</v>
      </c>
      <c r="Q409" s="6" t="n">
        <v>1</v>
      </c>
      <c r="R409">
        <f>M409+IF(MAX(N409-1,0)&gt;0,IF(ISBLANK(O409),5*MAX(N409-1,0),IF(ISNUMBER(O409),O409*MAX(N409-1,0),SUM(IFERROR(VALUE(TEXTSPLIT(O409,",")),0)))),0)</f>
        <v/>
      </c>
      <c r="S409">
        <f>IFERROR(L409*MAX(N409,1)/R409*IF(ISBLANK(K398),1,K398),0)</f>
        <v/>
      </c>
      <c r="AB409" s="7" t="inlineStr">
        <is>
          <t>^DRPlasmaWeapon</t>
        </is>
      </c>
    </row>
    <row r="410">
      <c r="B410" s="7" t="inlineStr">
        <is>
          <t xml:space="preserve">  ↳ SWLaserG</t>
        </is>
      </c>
      <c r="C410" s="7" t="inlineStr">
        <is>
          <t>Armament@litlaser</t>
        </is>
      </c>
      <c r="L410" s="6" t="n">
        <v>2000</v>
      </c>
      <c r="M410" s="6" t="n">
        <v>30</v>
      </c>
      <c r="N410" s="6" t="n">
        <v>6</v>
      </c>
      <c r="O410" s="6" t="n"/>
      <c r="P410" s="6" t="n">
        <v>6144</v>
      </c>
      <c r="Q410" s="6" t="n">
        <v>1</v>
      </c>
      <c r="R410">
        <f>M410+IF(MAX(N410-1,0)&gt;0,IF(ISBLANK(O410),5*MAX(N410-1,0),IF(ISNUMBER(O410),O410*MAX(N410-1,0),SUM(IFERROR(VALUE(TEXTSPLIT(O410,",")),0)))),0)</f>
        <v/>
      </c>
      <c r="S410">
        <f>IFERROR(L410*MAX(N410,1)/R410*IF(ISBLANK(K398),1,K398),0)</f>
        <v/>
      </c>
      <c r="AB410" s="7" t="inlineStr">
        <is>
          <t>SWLaser</t>
        </is>
      </c>
    </row>
    <row r="411">
      <c r="B411" s="7" t="inlineStr">
        <is>
          <t xml:space="preserve">  ↳ USALaserCannonAG</t>
        </is>
      </c>
      <c r="C411" s="7" t="inlineStr">
        <is>
          <t>Armament@medlaser</t>
        </is>
      </c>
      <c r="L411" s="6" t="n">
        <v>4000</v>
      </c>
      <c r="M411" s="6" t="n">
        <v>50</v>
      </c>
      <c r="N411" s="6" t="n">
        <v>3</v>
      </c>
      <c r="O411" s="6" t="n">
        <v>6</v>
      </c>
      <c r="P411" s="6" t="n">
        <v>7168</v>
      </c>
      <c r="Q411" s="6" t="n">
        <v>1</v>
      </c>
      <c r="R411">
        <f>M411+IF(MAX(N411-1,0)&gt;0,IF(ISBLANK(O411),5*MAX(N411-1,0),IF(ISNUMBER(O411),O411*MAX(N411-1,0),SUM(IFERROR(VALUE(TEXTSPLIT(O411,",")),0)))),0)</f>
        <v/>
      </c>
      <c r="S411">
        <f>IFERROR(L411*MAX(N411,1)/R411*IF(ISBLANK(K398),1,K398),0)</f>
        <v/>
      </c>
      <c r="AB411" s="7" t="inlineStr">
        <is>
          <t>^AntiGroundMissile</t>
        </is>
      </c>
    </row>
    <row r="412">
      <c r="B412" s="7" t="inlineStr">
        <is>
          <t xml:space="preserve">  ↳ SWGreenLaserG</t>
        </is>
      </c>
      <c r="C412" s="7" t="inlineStr">
        <is>
          <t>Armament@greenlaser</t>
        </is>
      </c>
      <c r="L412" s="6" t="n">
        <v>5000</v>
      </c>
      <c r="M412" s="6" t="n">
        <v>75</v>
      </c>
      <c r="N412" s="6" t="n">
        <v>1</v>
      </c>
      <c r="O412" s="6" t="n"/>
      <c r="P412" s="6" t="n">
        <v>7168</v>
      </c>
      <c r="Q412" s="6" t="n">
        <v>1</v>
      </c>
      <c r="R412">
        <f>M412+IF(MAX(N412-1,0)&gt;0,IF(ISBLANK(O412),5*MAX(N412-1,0),IF(ISNUMBER(O412),O412*MAX(N412-1,0),SUM(IFERROR(VALUE(TEXTSPLIT(O412,",")),0)))),0)</f>
        <v/>
      </c>
      <c r="S412">
        <f>IFERROR(L412*MAX(N412,1)/R412*IF(ISBLANK(K398),1,K398),0)</f>
        <v/>
      </c>
      <c r="AB412" s="7" t="inlineStr">
        <is>
          <t>SWGreenLaser</t>
        </is>
      </c>
    </row>
    <row r="413">
      <c r="B413" s="7" t="inlineStr">
        <is>
          <t xml:space="preserve">  ↳ SWGBigRedLaserG</t>
        </is>
      </c>
      <c r="C413" s="7" t="inlineStr">
        <is>
          <t>Armament@misslaser</t>
        </is>
      </c>
      <c r="L413" s="6" t="n">
        <v>4000</v>
      </c>
      <c r="M413" s="6" t="n">
        <v>75</v>
      </c>
      <c r="N413" s="6" t="n">
        <v>1</v>
      </c>
      <c r="O413" s="6" t="n"/>
      <c r="P413" s="6" t="n">
        <v>8192</v>
      </c>
      <c r="Q413" s="6" t="n">
        <v>1</v>
      </c>
      <c r="R413">
        <f>M413+IF(MAX(N413-1,0)&gt;0,IF(ISBLANK(O413),5*MAX(N413-1,0),IF(ISNUMBER(O413),O413*MAX(N413-1,0),SUM(IFERROR(VALUE(TEXTSPLIT(O413,",")),0)))),0)</f>
        <v/>
      </c>
      <c r="S413">
        <f>IFERROR(L413*MAX(N413,1)/R413*IF(ISBLANK(K398),1,K398),0)</f>
        <v/>
      </c>
      <c r="AB413" s="7" t="inlineStr">
        <is>
          <t>SWrBigRedLaser</t>
        </is>
      </c>
    </row>
    <row r="414">
      <c r="B414" s="7" t="inlineStr">
        <is>
          <t xml:space="preserve">  ↳ BigFlamer</t>
        </is>
      </c>
      <c r="C414" s="7" t="inlineStr">
        <is>
          <t>Armament@fire</t>
        </is>
      </c>
      <c r="L414" s="6" t="n">
        <v>14000</v>
      </c>
      <c r="M414" s="6" t="n">
        <v>50</v>
      </c>
      <c r="N414" s="6" t="n">
        <v>2</v>
      </c>
      <c r="O414" s="6" t="n">
        <v>10</v>
      </c>
      <c r="P414" s="6" t="n">
        <v>2390</v>
      </c>
      <c r="Q414" s="6" t="n">
        <v>1</v>
      </c>
      <c r="R414">
        <f>M414+IF(MAX(N414-1,0)&gt;0,IF(ISBLANK(O414),5*MAX(N414-1,0),IF(ISNUMBER(O414),O414*MAX(N414-1,0),SUM(IFERROR(VALUE(TEXTSPLIT(O414,",")),0)))),0)</f>
        <v/>
      </c>
      <c r="S414">
        <f>IFERROR(L414*MAX(N414,1)/R414*IF(ISBLANK(K398),1,K398),0)</f>
        <v/>
      </c>
      <c r="AB414" s="7" t="inlineStr">
        <is>
          <t>^Warhead_Flame_Medium</t>
        </is>
      </c>
    </row>
    <row r="415">
      <c r="B415" s="7" t="inlineStr">
        <is>
          <t xml:space="preserve">  ↳ RA2RadBeamWeapon</t>
        </is>
      </c>
      <c r="C415" s="7" t="inlineStr">
        <is>
          <t>Armament@chem</t>
        </is>
      </c>
      <c r="L415" s="6" t="n">
        <v>30000</v>
      </c>
      <c r="M415" s="6" t="n">
        <v>45</v>
      </c>
      <c r="N415" s="6" t="n">
        <v>1</v>
      </c>
      <c r="O415" s="6" t="n"/>
      <c r="P415" s="6" t="n">
        <v>6444</v>
      </c>
      <c r="Q415" s="6" t="n">
        <v>1</v>
      </c>
      <c r="R415">
        <f>M415+IF(MAX(N415-1,0)&gt;0,IF(ISBLANK(O415),5*MAX(N415-1,0),IF(ISNUMBER(O415),O415*MAX(N415-1,0),SUM(IFERROR(VALUE(TEXTSPLIT(O415,",")),0)))),0)</f>
        <v/>
      </c>
      <c r="S415">
        <f>IFERROR(L415*MAX(N415,1)/R415*IF(ISBLANK(K398),1,K398),0)</f>
        <v/>
      </c>
      <c r="AB415" s="7" t="inlineStr">
        <is>
          <t>^Warhead_Chemical_Medium</t>
        </is>
      </c>
    </row>
    <row r="416">
      <c r="B416" s="7" t="inlineStr">
        <is>
          <t xml:space="preserve">  ↳ RA2RadBeamWeapon</t>
        </is>
      </c>
      <c r="C416" s="7" t="inlineStr">
        <is>
          <t>Armament@thrax</t>
        </is>
      </c>
      <c r="L416" s="6" t="n">
        <v>30000</v>
      </c>
      <c r="M416" s="6" t="n">
        <v>45</v>
      </c>
      <c r="N416" s="6" t="n">
        <v>1</v>
      </c>
      <c r="O416" s="6" t="n"/>
      <c r="P416" s="6" t="n">
        <v>6444</v>
      </c>
      <c r="Q416" s="6" t="n">
        <v>1</v>
      </c>
      <c r="R416">
        <f>M416+IF(MAX(N416-1,0)&gt;0,IF(ISBLANK(O416),5*MAX(N416-1,0),IF(ISNUMBER(O416),O416*MAX(N416-1,0),SUM(IFERROR(VALUE(TEXTSPLIT(O416,",")),0)))),0)</f>
        <v/>
      </c>
      <c r="S416">
        <f>IFERROR(L416*MAX(N416,1)/R416*IF(ISBLANK(K398),1,K398),0)</f>
        <v/>
      </c>
      <c r="AB416" s="7" t="inlineStr">
        <is>
          <t>^Warhead_Chemical_Medium</t>
        </is>
      </c>
    </row>
    <row r="417">
      <c r="B417" s="7" t="inlineStr">
        <is>
          <t xml:space="preserve">  ↳ RA2MultiHoverMissile</t>
        </is>
      </c>
      <c r="C417" s="7" t="inlineStr">
        <is>
          <t>Armament@missile</t>
        </is>
      </c>
      <c r="L417" s="6" t="n">
        <v>4000</v>
      </c>
      <c r="M417" s="6" t="n">
        <v>20</v>
      </c>
      <c r="N417" s="6" t="n">
        <v>4</v>
      </c>
      <c r="O417" s="6" t="n"/>
      <c r="P417" s="6" t="n">
        <v>6170</v>
      </c>
      <c r="Q417" s="6" t="n">
        <v>0.875</v>
      </c>
      <c r="R417">
        <f>M417+IF(MAX(N417-1,0)&gt;0,IF(ISBLANK(O417),5*MAX(N417-1,0),IF(ISNUMBER(O417),O417*MAX(N417-1,0),SUM(IFERROR(VALUE(TEXTSPLIT(O417,",")),0)))),0)</f>
        <v/>
      </c>
      <c r="S417">
        <f>IFERROR(L417*MAX(N417,1)/R417*IF(ISBLANK(K398),1,K398),0)</f>
        <v/>
      </c>
      <c r="AB417" s="7" t="inlineStr">
        <is>
          <t>^Warhead_CannonHE_Medium, ^Warhead_MissileHE_Light</t>
        </is>
      </c>
    </row>
    <row r="418">
      <c r="B418" s="7" t="inlineStr">
        <is>
          <t xml:space="preserve">  ↳ IFVChronoBeam</t>
        </is>
      </c>
      <c r="C418" s="7" t="inlineStr">
        <is>
          <t>Armament@chrono</t>
        </is>
      </c>
      <c r="M418" s="6" t="n">
        <v>1</v>
      </c>
      <c r="N418" s="6" t="n">
        <v>1</v>
      </c>
      <c r="O418" s="6" t="n"/>
      <c r="P418" s="6" t="n">
        <v>7500</v>
      </c>
      <c r="Q418" s="6" t="n">
        <v>1</v>
      </c>
      <c r="R418">
        <f>M418+IF(MAX(N418-1,0)&gt;0,IF(ISBLANK(O418),5*MAX(N418-1,0),IF(ISNUMBER(O418),O418*MAX(N418-1,0),SUM(IFERROR(VALUE(TEXTSPLIT(O418,",")),0)))),0)</f>
        <v/>
      </c>
      <c r="S418">
        <f>IFERROR(L418*MAX(N418,1)/R418*IF(ISBLANK(K398),1,K398),0)</f>
        <v/>
      </c>
      <c r="AB418" s="7" t="inlineStr">
        <is>
          <t>ChronoBeam</t>
        </is>
      </c>
    </row>
    <row r="419">
      <c r="B419" s="7" t="inlineStr">
        <is>
          <t xml:space="preserve">  ↳ IFVChronoSound</t>
        </is>
      </c>
      <c r="C419" s="7" t="inlineStr">
        <is>
          <t>Armament@chronosound</t>
        </is>
      </c>
      <c r="M419" s="6" t="n">
        <v>180</v>
      </c>
      <c r="N419" s="6" t="n">
        <v>1</v>
      </c>
      <c r="O419" s="6" t="n"/>
      <c r="P419" s="6" t="n">
        <v>8000</v>
      </c>
      <c r="Q419" s="6" t="n">
        <v>1</v>
      </c>
      <c r="R419">
        <f>M419+IF(MAX(N419-1,0)&gt;0,IF(ISBLANK(O419),5*MAX(N419-1,0),IF(ISNUMBER(O419),O419*MAX(N419-1,0),SUM(IFERROR(VALUE(TEXTSPLIT(O419,",")),0)))),0)</f>
        <v/>
      </c>
      <c r="S419">
        <f>IFERROR(L419*MAX(N419,1)/R419*IF(ISBLANK(K398),1,K398),0)</f>
        <v/>
      </c>
      <c r="AB419" s="7" t="inlineStr">
        <is>
          <t>RA2ChronoTele</t>
        </is>
      </c>
    </row>
    <row r="420">
      <c r="B420" s="7" t="inlineStr">
        <is>
          <t xml:space="preserve">  ↳ DemoTruckTargeting</t>
        </is>
      </c>
      <c r="C420" s="7" t="inlineStr">
        <is>
          <t>Armament@ivan</t>
        </is>
      </c>
      <c r="M420" s="6" t="n">
        <v>1</v>
      </c>
      <c r="N420" s="6" t="n">
        <v>1</v>
      </c>
      <c r="O420" s="6" t="n"/>
      <c r="P420" s="6" t="n">
        <v>2000</v>
      </c>
      <c r="Q420" s="6" t="n">
        <v>1</v>
      </c>
      <c r="R420">
        <f>M420+IF(MAX(N420-1,0)&gt;0,IF(ISBLANK(O420),5*MAX(N420-1,0),IF(ISNUMBER(O420),O420*MAX(N420-1,0),SUM(IFERROR(VALUE(TEXTSPLIT(O420,",")),0)))),0)</f>
        <v/>
      </c>
      <c r="S420">
        <f>IFERROR(L420*MAX(N420,1)/R420*IF(ISBLANK(K398),1,K398),0)</f>
        <v/>
      </c>
      <c r="AB420" s="7" t="inlineStr"/>
    </row>
    <row r="421">
      <c r="B421" s="7" t="inlineStr">
        <is>
          <t xml:space="preserve">  ↳ Fremen_L</t>
        </is>
      </c>
      <c r="C421" s="7" t="inlineStr">
        <is>
          <t>Armament@fremen</t>
        </is>
      </c>
      <c r="L421" s="6" t="n">
        <v>3000</v>
      </c>
      <c r="M421" s="6" t="n">
        <v>25</v>
      </c>
      <c r="N421" s="6" t="n">
        <v>1</v>
      </c>
      <c r="O421" s="6" t="n"/>
      <c r="P421" s="6" t="n">
        <v>2560</v>
      </c>
      <c r="Q421" s="6" t="n">
        <v>1</v>
      </c>
      <c r="R421">
        <f>M421+IF(MAX(N421-1,0)&gt;0,IF(ISBLANK(O421),5*MAX(N421-1,0),IF(ISNUMBER(O421),O421*MAX(N421-1,0),SUM(IFERROR(VALUE(TEXTSPLIT(O421,",")),0)))),0)</f>
        <v/>
      </c>
      <c r="S421">
        <f>IFERROR(L421*MAX(N421,1)/R421*IF(ISBLANK(K398),1,K398),0)</f>
        <v/>
      </c>
      <c r="AB421" s="7" t="inlineStr">
        <is>
          <t>M_HMG</t>
        </is>
      </c>
    </row>
    <row r="422">
      <c r="B422" s="7" t="inlineStr">
        <is>
          <t xml:space="preserve">  ↳ TSSonicZap</t>
        </is>
      </c>
      <c r="C422" s="7" t="inlineStr">
        <is>
          <t>Armament@sonic</t>
        </is>
      </c>
      <c r="L422" s="6" t="n">
        <v>5000</v>
      </c>
      <c r="M422" s="6" t="n">
        <v>60</v>
      </c>
      <c r="N422" s="6" t="n">
        <v>1</v>
      </c>
      <c r="O422" s="6" t="n"/>
      <c r="P422" s="6" t="n">
        <v>6144</v>
      </c>
      <c r="Q422" s="6" t="n">
        <v>1</v>
      </c>
      <c r="R422">
        <f>M422+IF(MAX(N422-1,0)&gt;0,IF(ISBLANK(O422),5*MAX(N422-1,0),IF(ISNUMBER(O422),O422*MAX(N422-1,0),SUM(IFERROR(VALUE(TEXTSPLIT(O422,",")),0)))),0)</f>
        <v/>
      </c>
      <c r="S422">
        <f>IFERROR(L422*MAX(N422,1)/R422*IF(ISBLANK(K398),1,K398),0)</f>
        <v/>
      </c>
      <c r="AB422" s="7" t="inlineStr"/>
    </row>
    <row r="423">
      <c r="B423" s="7" t="inlineStr">
        <is>
          <t xml:space="preserve">  ↳ MedicHeal</t>
        </is>
      </c>
      <c r="C423" s="7" t="inlineStr">
        <is>
          <t>Armament@heal</t>
        </is>
      </c>
      <c r="L423" s="6" t="n">
        <v>-3000</v>
      </c>
      <c r="M423" s="6" t="n">
        <v>10</v>
      </c>
      <c r="N423" s="6" t="n">
        <v>1</v>
      </c>
      <c r="O423" s="6" t="n"/>
      <c r="P423" s="6" t="n">
        <v>6000</v>
      </c>
      <c r="Q423" s="6" t="n">
        <v>1</v>
      </c>
      <c r="R423">
        <f>M423+IF(MAX(N423-1,0)&gt;0,IF(ISBLANK(O423),5*MAX(N423-1,0),IF(ISNUMBER(O423),O423*MAX(N423-1,0),SUM(IFERROR(VALUE(TEXTSPLIT(O423,",")),0)))),0)</f>
        <v/>
      </c>
      <c r="S423">
        <f>IFERROR(L423*MAX(N423,1)/R423*IF(ISBLANK(K398),1,K398),0)</f>
        <v/>
      </c>
      <c r="AB423" s="7" t="inlineStr">
        <is>
          <t>^HealingWeapon</t>
        </is>
      </c>
    </row>
    <row r="424">
      <c r="B424" s="7" t="inlineStr">
        <is>
          <t xml:space="preserve">  ↳ RA2HoverMissile</t>
        </is>
      </c>
      <c r="C424" s="7" t="inlineStr">
        <is>
          <t>Armament@primary</t>
        </is>
      </c>
      <c r="L424" s="6" t="n">
        <v>12000</v>
      </c>
      <c r="M424" s="6" t="n">
        <v>28</v>
      </c>
      <c r="N424" s="6" t="n">
        <v>2</v>
      </c>
      <c r="O424" s="6" t="n">
        <v>4</v>
      </c>
      <c r="P424" s="6" t="n">
        <v>5760</v>
      </c>
      <c r="Q424" s="6" t="n">
        <v>0.75</v>
      </c>
      <c r="R424">
        <f>M424+IF(MAX(N424-1,0)&gt;0,IF(ISBLANK(O424),5*MAX(N424-1,0),IF(ISNUMBER(O424),O424*MAX(N424-1,0),SUM(IFERROR(VALUE(TEXTSPLIT(O424,",")),0)))),0)</f>
        <v/>
      </c>
      <c r="S424">
        <f>IFERROR(L424*MAX(N424,1)/R424*IF(ISBLANK(K398),1,K398),0)</f>
        <v/>
      </c>
      <c r="AB424" s="7" t="inlineStr">
        <is>
          <t>^Warhead_Arrow_Light, ^Warhead_MissileAP_Light</t>
        </is>
      </c>
    </row>
    <row r="425">
      <c r="B425" s="7" t="inlineStr">
        <is>
          <t xml:space="preserve">  ↳ RA2HoverMissile_elite</t>
        </is>
      </c>
      <c r="C425" s="7" t="inlineStr">
        <is>
          <t>Armament@primaryelite</t>
        </is>
      </c>
      <c r="L425" s="6" t="n">
        <v>12000</v>
      </c>
      <c r="M425" s="6" t="n">
        <v>28</v>
      </c>
      <c r="N425" s="6" t="n">
        <v>4</v>
      </c>
      <c r="O425" s="6" t="n">
        <v>4</v>
      </c>
      <c r="P425" s="6" t="n">
        <v>6760</v>
      </c>
      <c r="Q425" s="6" t="n">
        <v>0.75</v>
      </c>
      <c r="R425">
        <f>M425+IF(MAX(N425-1,0)&gt;0,IF(ISBLANK(O425),5*MAX(N425-1,0),IF(ISNUMBER(O425),O425*MAX(N425-1,0),SUM(IFERROR(VALUE(TEXTSPLIT(O425,",")),0)))),0)</f>
        <v/>
      </c>
      <c r="S425">
        <f>IFERROR(L425*MAX(N425,1)/R425*IF(ISBLANK(K398),1,K398),0)</f>
        <v/>
      </c>
      <c r="AB425" s="7" t="inlineStr">
        <is>
          <t>^Warhead_Arrow_Light, ^Warhead_MissileAP_Light</t>
        </is>
      </c>
    </row>
    <row r="426">
      <c r="B426" s="7" t="inlineStr">
        <is>
          <t xml:space="preserve">  ↳ RA2HoverMissile_AA</t>
        </is>
      </c>
      <c r="C426" s="7" t="inlineStr">
        <is>
          <t>Armament@primaryAA</t>
        </is>
      </c>
      <c r="L426" s="6" t="n">
        <v>12000</v>
      </c>
      <c r="M426" s="6" t="n">
        <v>28</v>
      </c>
      <c r="N426" s="6" t="n">
        <v>2</v>
      </c>
      <c r="O426" s="6" t="n">
        <v>4</v>
      </c>
      <c r="P426" s="6" t="n">
        <v>8640</v>
      </c>
      <c r="Q426" s="6" t="n">
        <v>0.75</v>
      </c>
      <c r="R426">
        <f>M426+IF(MAX(N426-1,0)&gt;0,IF(ISBLANK(O426),5*MAX(N426-1,0),IF(ISNUMBER(O426),O426*MAX(N426-1,0),SUM(IFERROR(VALUE(TEXTSPLIT(O426,",")),0)))),0)</f>
        <v/>
      </c>
      <c r="S426">
        <f>IFERROR(L426*MAX(N426,1)/R426*IF(ISBLANK(K398),1,K398),0)</f>
        <v/>
      </c>
      <c r="AB426" s="7" t="inlineStr">
        <is>
          <t>^Warhead_Arrow_Light, ^Warhead_MissileAP_Light</t>
        </is>
      </c>
    </row>
    <row r="427">
      <c r="B427" s="7" t="inlineStr">
        <is>
          <t xml:space="preserve">  ↳ RA2HoverMissile_AA_elite</t>
        </is>
      </c>
      <c r="C427" s="7" t="inlineStr">
        <is>
          <t>Armament@primaryeliteAA</t>
        </is>
      </c>
      <c r="L427" s="6" t="n">
        <v>12000</v>
      </c>
      <c r="M427" s="6" t="n">
        <v>28</v>
      </c>
      <c r="N427" s="6" t="n">
        <v>4</v>
      </c>
      <c r="O427" s="6" t="n">
        <v>4</v>
      </c>
      <c r="P427" s="6" t="n">
        <v>9640</v>
      </c>
      <c r="Q427" s="6" t="n">
        <v>0.75</v>
      </c>
      <c r="R427">
        <f>M427+IF(MAX(N427-1,0)&gt;0,IF(ISBLANK(O427),5*MAX(N427-1,0),IF(ISNUMBER(O427),O427*MAX(N427-1,0),SUM(IFERROR(VALUE(TEXTSPLIT(O427,",")),0)))),0)</f>
        <v/>
      </c>
      <c r="S427">
        <f>IFERROR(L427*MAX(N427,1)/R427*IF(ISBLANK(K398),1,K398),0)</f>
        <v/>
      </c>
      <c r="AB427" s="7" t="inlineStr">
        <is>
          <t>^Warhead_Arrow_Light, ^Warhead_MissileAP_Light</t>
        </is>
      </c>
    </row>
    <row r="428">
      <c r="B428" s="7" t="inlineStr">
        <is>
          <t xml:space="preserve">  ↳ RA2ThunderboltMissile</t>
        </is>
      </c>
      <c r="C428" s="7" t="inlineStr">
        <is>
          <t>Armament@primaryThunderbolt</t>
        </is>
      </c>
      <c r="L428" s="6" t="n">
        <v>4000</v>
      </c>
      <c r="M428" s="6" t="n">
        <v>25</v>
      </c>
      <c r="N428" s="6" t="n">
        <v>1</v>
      </c>
      <c r="O428" s="6" t="n"/>
      <c r="P428" s="6" t="n">
        <v>5120</v>
      </c>
      <c r="Q428" s="6" t="n">
        <v>1</v>
      </c>
      <c r="R428">
        <f>M428+IF(MAX(N428-1,0)&gt;0,IF(ISBLANK(O428),5*MAX(N428-1,0),IF(ISNUMBER(O428),O428*MAX(N428-1,0),SUM(IFERROR(VALUE(TEXTSPLIT(O428,",")),0)))),0)</f>
        <v/>
      </c>
      <c r="S428">
        <f>IFERROR(L428*MAX(N428,1)/R428*IF(ISBLANK(K398),1,K398),0)</f>
        <v/>
      </c>
      <c r="AB428" s="7" t="inlineStr">
        <is>
          <t>^Warhead_MissileHE_Heavy, ^Warhead_MissileHE_Light</t>
        </is>
      </c>
    </row>
    <row r="429">
      <c r="B429" s="7" t="inlineStr">
        <is>
          <t xml:space="preserve">  ↳ RA2ThunderboltMissile_elite</t>
        </is>
      </c>
      <c r="C429" s="7" t="inlineStr">
        <is>
          <t>Armament@primaryeliteThunderbolt</t>
        </is>
      </c>
      <c r="L429" s="6" t="n">
        <v>4000</v>
      </c>
      <c r="M429" s="6" t="n">
        <v>25</v>
      </c>
      <c r="N429" s="6" t="n">
        <v>4</v>
      </c>
      <c r="O429" s="6" t="n"/>
      <c r="P429" s="6" t="n">
        <v>6760</v>
      </c>
      <c r="Q429" s="6" t="n">
        <v>1</v>
      </c>
      <c r="R429">
        <f>M429+IF(MAX(N429-1,0)&gt;0,IF(ISBLANK(O429),5*MAX(N429-1,0),IF(ISNUMBER(O429),O429*MAX(N429-1,0),SUM(IFERROR(VALUE(TEXTSPLIT(O429,",")),0)))),0)</f>
        <v/>
      </c>
      <c r="S429">
        <f>IFERROR(L429*MAX(N429,1)/R429*IF(ISBLANK(K398),1,K398),0)</f>
        <v/>
      </c>
      <c r="AB429" s="7" t="inlineStr">
        <is>
          <t>^Warhead_MissileHE_Heavy, ^Warhead_MissileHE_Light</t>
        </is>
      </c>
    </row>
    <row r="430">
      <c r="B430" s="7" t="inlineStr">
        <is>
          <t xml:space="preserve">  ↳ RA2ThunderboltMissile_AA</t>
        </is>
      </c>
      <c r="C430" s="7" t="inlineStr">
        <is>
          <t>Armament@primaryAAThunderbolt</t>
        </is>
      </c>
      <c r="L430" s="6" t="n">
        <v>4000</v>
      </c>
      <c r="M430" s="6" t="n">
        <v>25</v>
      </c>
      <c r="N430" s="6" t="n">
        <v>1</v>
      </c>
      <c r="O430" s="6" t="n"/>
      <c r="P430" s="6" t="n">
        <v>8640</v>
      </c>
      <c r="Q430" s="6" t="n">
        <v>1</v>
      </c>
      <c r="R430">
        <f>M430+IF(MAX(N430-1,0)&gt;0,IF(ISBLANK(O430),5*MAX(N430-1,0),IF(ISNUMBER(O430),O430*MAX(N430-1,0),SUM(IFERROR(VALUE(TEXTSPLIT(O430,",")),0)))),0)</f>
        <v/>
      </c>
      <c r="S430">
        <f>IFERROR(L430*MAX(N430,1)/R430*IF(ISBLANK(K398),1,K398),0)</f>
        <v/>
      </c>
      <c r="AB430" s="7" t="inlineStr">
        <is>
          <t>^Warhead_MissileHE_Heavy, ^Warhead_MissileHE_Light</t>
        </is>
      </c>
    </row>
    <row r="431">
      <c r="B431" s="7" t="inlineStr">
        <is>
          <t xml:space="preserve">  ↳ RA2ThunderboltMissile_AA_elite</t>
        </is>
      </c>
      <c r="C431" s="7" t="inlineStr">
        <is>
          <t>Armament@primaryeliteAAThunderbolt</t>
        </is>
      </c>
      <c r="L431" s="6" t="n">
        <v>4000</v>
      </c>
      <c r="M431" s="6" t="n">
        <v>25</v>
      </c>
      <c r="N431" s="6" t="n">
        <v>4</v>
      </c>
      <c r="O431" s="6" t="n"/>
      <c r="P431" s="6" t="n">
        <v>9640</v>
      </c>
      <c r="Q431" s="6" t="n">
        <v>1</v>
      </c>
      <c r="R431">
        <f>M431+IF(MAX(N431-1,0)&gt;0,IF(ISBLANK(O431),5*MAX(N431-1,0),IF(ISNUMBER(O431),O431*MAX(N431-1,0),SUM(IFERROR(VALUE(TEXTSPLIT(O431,",")),0)))),0)</f>
        <v/>
      </c>
      <c r="S431">
        <f>IFERROR(L431*MAX(N431,1)/R431*IF(ISBLANK(K398),1,K398),0)</f>
        <v/>
      </c>
      <c r="AB431" s="7" t="inlineStr">
        <is>
          <t>^Warhead_MissileHE_Heavy, ^Warhead_MissileHE_Light</t>
        </is>
      </c>
    </row>
    <row r="432">
      <c r="B432" s="7" t="inlineStr">
        <is>
          <t xml:space="preserve">  ↳ RA2MultiHoverMissile_elite</t>
        </is>
      </c>
      <c r="C432" s="7" t="inlineStr">
        <is>
          <t>Armament@missileelite</t>
        </is>
      </c>
      <c r="L432" s="6" t="n">
        <v>4000</v>
      </c>
      <c r="M432" s="6" t="n">
        <v>20</v>
      </c>
      <c r="N432" s="6" t="n">
        <v>4</v>
      </c>
      <c r="O432" s="6" t="n"/>
      <c r="P432" s="6" t="n">
        <v>7170</v>
      </c>
      <c r="Q432" s="6" t="n">
        <v>0.875</v>
      </c>
      <c r="R432">
        <f>M432+IF(MAX(N432-1,0)&gt;0,IF(ISBLANK(O432),5*MAX(N432-1,0),IF(ISNUMBER(O432),O432*MAX(N432-1,0),SUM(IFERROR(VALUE(TEXTSPLIT(O432,",")),0)))),0)</f>
        <v/>
      </c>
      <c r="S432">
        <f>IFERROR(L432*MAX(N432,1)/R432*IF(ISBLANK(K398),1,K398),0)</f>
        <v/>
      </c>
      <c r="AB432" s="7" t="inlineStr">
        <is>
          <t>^Warhead_CannonHE_Medium, ^Warhead_MissileHE_Light</t>
        </is>
      </c>
    </row>
    <row r="433">
      <c r="B433" s="7" t="inlineStr">
        <is>
          <t xml:space="preserve">  ↳ RA2MultiHoverMissile_AA</t>
        </is>
      </c>
      <c r="C433" s="7" t="inlineStr">
        <is>
          <t>Armament@missileAA</t>
        </is>
      </c>
      <c r="L433" s="6" t="n">
        <v>4000</v>
      </c>
      <c r="M433" s="6" t="n">
        <v>20</v>
      </c>
      <c r="N433" s="6" t="n">
        <v>4</v>
      </c>
      <c r="O433" s="6" t="n"/>
      <c r="P433" s="6" t="n">
        <v>9255</v>
      </c>
      <c r="Q433" s="6" t="n">
        <v>0.875</v>
      </c>
      <c r="R433">
        <f>M433+IF(MAX(N433-1,0)&gt;0,IF(ISBLANK(O433),5*MAX(N433-1,0),IF(ISNUMBER(O433),O433*MAX(N433-1,0),SUM(IFERROR(VALUE(TEXTSPLIT(O433,",")),0)))),0)</f>
        <v/>
      </c>
      <c r="S433">
        <f>IFERROR(L433*MAX(N433,1)/R433*IF(ISBLANK(K398),1,K398),0)</f>
        <v/>
      </c>
      <c r="AB433" s="7" t="inlineStr">
        <is>
          <t>^Warhead_CannonHE_Medium, ^Warhead_MissileHE_Light</t>
        </is>
      </c>
    </row>
    <row r="434">
      <c r="B434" s="7" t="inlineStr">
        <is>
          <t xml:space="preserve">  ↳ RA2MultiHoverMissile_AA_elite</t>
        </is>
      </c>
      <c r="C434" s="7" t="inlineStr">
        <is>
          <t>Armament@missileeliteAA</t>
        </is>
      </c>
      <c r="L434" s="6" t="n">
        <v>4000</v>
      </c>
      <c r="M434" s="6" t="n">
        <v>20</v>
      </c>
      <c r="N434" s="6" t="n">
        <v>4</v>
      </c>
      <c r="O434" s="6" t="n"/>
      <c r="P434" s="6" t="n">
        <v>10255</v>
      </c>
      <c r="Q434" s="6" t="n">
        <v>0.875</v>
      </c>
      <c r="R434">
        <f>M434+IF(MAX(N434-1,0)&gt;0,IF(ISBLANK(O434),5*MAX(N434-1,0),IF(ISNUMBER(O434),O434*MAX(N434-1,0),SUM(IFERROR(VALUE(TEXTSPLIT(O434,",")),0)))),0)</f>
        <v/>
      </c>
      <c r="S434">
        <f>IFERROR(L434*MAX(N434,1)/R434*IF(ISBLANK(K398),1,K398),0)</f>
        <v/>
      </c>
      <c r="AB434" s="7" t="inlineStr">
        <is>
          <t>^Warhead_CannonHE_Medium, ^Warhead_MissileHE_Light</t>
        </is>
      </c>
    </row>
    <row r="435">
      <c r="B435" s="7" t="inlineStr">
        <is>
          <t xml:space="preserve">  ↳ RA2MultiThunderboltMissile</t>
        </is>
      </c>
      <c r="C435" s="7" t="inlineStr">
        <is>
          <t>Armament@missileThunderbolt</t>
        </is>
      </c>
      <c r="L435" s="6" t="n">
        <v>4000</v>
      </c>
      <c r="M435" s="6" t="n">
        <v>25</v>
      </c>
      <c r="N435" s="6" t="n">
        <v>1</v>
      </c>
      <c r="O435" s="6" t="n"/>
      <c r="P435" s="6" t="n">
        <v>5120</v>
      </c>
      <c r="Q435" s="6" t="n">
        <v>1</v>
      </c>
      <c r="R435">
        <f>M435+IF(MAX(N435-1,0)&gt;0,IF(ISBLANK(O435),5*MAX(N435-1,0),IF(ISNUMBER(O435),O435*MAX(N435-1,0),SUM(IFERROR(VALUE(TEXTSPLIT(O435,",")),0)))),0)</f>
        <v/>
      </c>
      <c r="S435">
        <f>IFERROR(L435*MAX(N435,1)/R435*IF(ISBLANK(K398),1,K398),0)</f>
        <v/>
      </c>
      <c r="AB435" s="7" t="inlineStr">
        <is>
          <t>^Warhead_MissileHE_Heavy, ^Warhead_MissileHE_Light</t>
        </is>
      </c>
    </row>
    <row r="436">
      <c r="B436" s="7" t="inlineStr">
        <is>
          <t xml:space="preserve">  ↳ RA2MultiThunderboltMissile_elite</t>
        </is>
      </c>
      <c r="C436" s="7" t="inlineStr">
        <is>
          <t>Armament@missileeliteThunderbolt</t>
        </is>
      </c>
      <c r="L436" s="6" t="n">
        <v>4000</v>
      </c>
      <c r="M436" s="6" t="n">
        <v>25</v>
      </c>
      <c r="N436" s="6" t="n">
        <v>4</v>
      </c>
      <c r="O436" s="6" t="n"/>
      <c r="P436" s="6" t="n">
        <v>7170</v>
      </c>
      <c r="Q436" s="6" t="n">
        <v>1</v>
      </c>
      <c r="R436">
        <f>M436+IF(MAX(N436-1,0)&gt;0,IF(ISBLANK(O436),5*MAX(N436-1,0),IF(ISNUMBER(O436),O436*MAX(N436-1,0),SUM(IFERROR(VALUE(TEXTSPLIT(O436,",")),0)))),0)</f>
        <v/>
      </c>
      <c r="S436">
        <f>IFERROR(L436*MAX(N436,1)/R436*IF(ISBLANK(K398),1,K398),0)</f>
        <v/>
      </c>
      <c r="AB436" s="7" t="inlineStr">
        <is>
          <t>^Warhead_MissileHE_Heavy, ^Warhead_MissileHE_Light</t>
        </is>
      </c>
    </row>
    <row r="437">
      <c r="B437" s="7" t="inlineStr">
        <is>
          <t xml:space="preserve">  ↳ RA2MultiThunderboltMissile_AA</t>
        </is>
      </c>
      <c r="C437" s="7" t="inlineStr">
        <is>
          <t>Armament@missileAAThunderbolt</t>
        </is>
      </c>
      <c r="L437" s="6" t="n">
        <v>4000</v>
      </c>
      <c r="M437" s="6" t="n">
        <v>25</v>
      </c>
      <c r="N437" s="6" t="n">
        <v>1</v>
      </c>
      <c r="O437" s="6" t="n"/>
      <c r="P437" s="6" t="n">
        <v>9255</v>
      </c>
      <c r="Q437" s="6" t="n">
        <v>1</v>
      </c>
      <c r="R437">
        <f>M437+IF(MAX(N437-1,0)&gt;0,IF(ISBLANK(O437),5*MAX(N437-1,0),IF(ISNUMBER(O437),O437*MAX(N437-1,0),SUM(IFERROR(VALUE(TEXTSPLIT(O437,",")),0)))),0)</f>
        <v/>
      </c>
      <c r="S437">
        <f>IFERROR(L437*MAX(N437,1)/R437*IF(ISBLANK(K398),1,K398),0)</f>
        <v/>
      </c>
      <c r="AB437" s="7" t="inlineStr">
        <is>
          <t>^Warhead_MissileHE_Heavy, ^Warhead_MissileHE_Light</t>
        </is>
      </c>
    </row>
    <row r="438">
      <c r="B438" s="7" t="inlineStr">
        <is>
          <t xml:space="preserve">  ↳ RA2MultiThunderboltMissile_AA_elite</t>
        </is>
      </c>
      <c r="C438" s="7" t="inlineStr">
        <is>
          <t>Armament@missileeliteAAThunderbolt</t>
        </is>
      </c>
      <c r="L438" s="6" t="n">
        <v>4000</v>
      </c>
      <c r="M438" s="6" t="n">
        <v>25</v>
      </c>
      <c r="N438" s="6" t="n">
        <v>4</v>
      </c>
      <c r="O438" s="6" t="n"/>
      <c r="P438" s="6" t="n">
        <v>10255</v>
      </c>
      <c r="Q438" s="6" t="n">
        <v>1</v>
      </c>
      <c r="R438">
        <f>M438+IF(MAX(N438-1,0)&gt;0,IF(ISBLANK(O438),5*MAX(N438-1,0),IF(ISNUMBER(O438),O438*MAX(N438-1,0),SUM(IFERROR(VALUE(TEXTSPLIT(O438,",")),0)))),0)</f>
        <v/>
      </c>
      <c r="S438">
        <f>IFERROR(L438*MAX(N438,1)/R438*IF(ISBLANK(K398),1,K398),0)</f>
        <v/>
      </c>
      <c r="AB438" s="7" t="inlineStr">
        <is>
          <t>^Warhead_MissileHE_Heavy, ^Warhead_MissileHE_Light</t>
        </is>
      </c>
    </row>
    <row r="439">
      <c r="B439" s="7" t="inlineStr">
        <is>
          <t xml:space="preserve">  ↳ MedicHeal</t>
        </is>
      </c>
      <c r="C439" s="7" t="inlineStr">
        <is>
          <t>Armament@healer</t>
        </is>
      </c>
      <c r="L439" s="6" t="n">
        <v>-3000</v>
      </c>
      <c r="M439" s="6" t="n">
        <v>10</v>
      </c>
      <c r="N439" s="6" t="n">
        <v>1</v>
      </c>
      <c r="O439" s="6" t="n"/>
      <c r="P439" s="6" t="n">
        <v>6000</v>
      </c>
      <c r="Q439" s="6" t="n">
        <v>1</v>
      </c>
      <c r="R439">
        <f>M439+IF(MAX(N439-1,0)&gt;0,IF(ISBLANK(O439),5*MAX(N439-1,0),IF(ISNUMBER(O439),O439*MAX(N439-1,0),SUM(IFERROR(VALUE(TEXTSPLIT(O439,",")),0)))),0)</f>
        <v/>
      </c>
      <c r="S439">
        <f>IFERROR(L439*MAX(N439,1)/R439*IF(ISBLANK(K398),1,K398),0)</f>
        <v/>
      </c>
      <c r="AB439" s="7" t="inlineStr">
        <is>
          <t>^HealingWeapon</t>
        </is>
      </c>
    </row>
    <row r="440">
      <c r="B440" s="7" t="inlineStr">
        <is>
          <t xml:space="preserve">  ↳ RA2AWP</t>
        </is>
      </c>
      <c r="C440" s="7" t="inlineStr">
        <is>
          <t>Armament@ra1_allies_alliedsniper</t>
        </is>
      </c>
      <c r="L440" s="6" t="n">
        <v>44000</v>
      </c>
      <c r="M440" s="6" t="n">
        <v>54</v>
      </c>
      <c r="N440" s="6" t="n">
        <v>1</v>
      </c>
      <c r="O440" s="6" t="n"/>
      <c r="P440" s="6" t="n">
        <v>10000</v>
      </c>
      <c r="Q440" s="6" t="n">
        <v>0.75</v>
      </c>
      <c r="R440">
        <f>M440+IF(MAX(N440-1,0)&gt;0,IF(ISBLANK(O440),5*MAX(N440-1,0),IF(ISNUMBER(O440),O440*MAX(N440-1,0),SUM(IFERROR(VALUE(TEXTSPLIT(O440,",")),0)))),0)</f>
        <v/>
      </c>
      <c r="S440">
        <f>IFERROR(L440*MAX(N440,1)/R440*IF(ISBLANK(K398),1,K398),0)</f>
        <v/>
      </c>
      <c r="AB440" s="7" t="inlineStr">
        <is>
          <t>^Warhead_Sniper_Light</t>
        </is>
      </c>
    </row>
    <row r="441">
      <c r="A441" t="inlineStr">
        <is>
          <t>redalert2mod</t>
        </is>
      </c>
      <c r="B441" t="inlineStr">
        <is>
          <t>futuretech_scoutdroid</t>
        </is>
      </c>
      <c r="C441" t="inlineStr">
        <is>
          <t>Scout Droid</t>
        </is>
      </c>
      <c r="D441" s="6" t="inlineStr">
        <is>
          <t>ScoutVehicle</t>
        </is>
      </c>
      <c r="E441" s="6" t="n">
        <v>30000</v>
      </c>
      <c r="F441" s="6" t="n">
        <v>70</v>
      </c>
      <c r="G441" t="inlineStr">
        <is>
          <t>None</t>
        </is>
      </c>
      <c r="H441" s="6" t="n">
        <v>0.6322</v>
      </c>
      <c r="I441" s="6" t="n">
        <v>1</v>
      </c>
      <c r="J441" s="6" t="n">
        <v>1</v>
      </c>
      <c r="P441">
        <f>MAX(P442,P443)</f>
        <v/>
      </c>
      <c r="S441">
        <f>S442+S443</f>
        <v/>
      </c>
      <c r="T441">
        <f>(E441/100000+F441/100+(P441/1000)*J441/5+S441/200)*200*I441*H441</f>
        <v/>
      </c>
      <c r="U441">
        <f>((E441*F441/25000)+((P441/1000)*J441*S441/2.5))*I441*H441</f>
        <v/>
      </c>
      <c r="V441">
        <f>(E441*F441*(P441/1000)*J441*S441*I441*H441)/12500000</f>
        <v/>
      </c>
      <c r="W441">
        <f>IFERROR((((E441/20000)+(F441/60)+(S441/60)+((P441/5000)*J441))*100/4+(((E441/20000)*(F441/60))+(((P441/5000)*J441)*(S441/60)))*100/2+((E441/20000)*(F441/60)*((P441/5000)*J441)*(S441/60))*100)*(H441/1.0)/3,"")</f>
        <v/>
      </c>
      <c r="X441" s="6" t="n">
        <v>200</v>
      </c>
      <c r="Y441">
        <f>IFERROR(W441-X441,"")</f>
        <v/>
      </c>
      <c r="Z441">
        <f>IFERROR(ABS(Y441)/MAX(X441,1),"")</f>
        <v/>
      </c>
      <c r="AA441">
        <f>IFERROR(ROUND(((3*X441-(((E441/20000)+(F441/60)+(S441/60))*100/4+((E441/20000)*(F441/60))*100/2)*(H441/1.0))/(100/4+((S441/60))*100/2+((E441/20000)*(F441/60)*(S441/60))*100)*(H441/1.0)*5000)/J441,-1),"")</f>
        <v/>
      </c>
    </row>
    <row r="442">
      <c r="B442" s="7" t="inlineStr">
        <is>
          <t xml:space="preserve">  ↳ Future_Wheel_MG</t>
        </is>
      </c>
      <c r="C442" s="7" t="inlineStr">
        <is>
          <t>Armament@PRIMARY</t>
        </is>
      </c>
      <c r="L442" s="6" t="n">
        <v>4000</v>
      </c>
      <c r="M442" s="6" t="n">
        <v>40</v>
      </c>
      <c r="N442" s="6" t="n">
        <v>4</v>
      </c>
      <c r="O442" s="6" t="n">
        <v>2</v>
      </c>
      <c r="P442" s="6" t="n">
        <v>5806</v>
      </c>
      <c r="Q442" s="6" t="n">
        <v>0.875</v>
      </c>
      <c r="R442">
        <f>M442+IF(MAX(N442-1,0)&gt;0,IF(ISBLANK(O442),5*MAX(N442-1,0),IF(ISNUMBER(O442),O442*MAX(N442-1,0),SUM(IFERROR(VALUE(TEXTSPLIT(O442,",")),0)))),0)</f>
        <v/>
      </c>
      <c r="S442">
        <f>IFERROR(L442*MAX(N442,1)/R442*IF(ISBLANK(K441),1,K441),0)</f>
        <v/>
      </c>
      <c r="AB442" s="7" t="inlineStr">
        <is>
          <t>^Warhead_Bullet_Light, ^Warhead_Bullet_Medium</t>
        </is>
      </c>
    </row>
    <row r="443">
      <c r="B443" s="7" t="inlineStr">
        <is>
          <t xml:space="preserve">  ↳ Future_Wheel_MG_elite</t>
        </is>
      </c>
      <c r="C443" s="7" t="inlineStr">
        <is>
          <t>Armament@ELITE</t>
        </is>
      </c>
      <c r="L443" s="6" t="n">
        <v>4000</v>
      </c>
      <c r="M443" s="6" t="n">
        <v>25</v>
      </c>
      <c r="N443" s="6" t="n">
        <v>8</v>
      </c>
      <c r="O443" s="6" t="n">
        <v>2</v>
      </c>
      <c r="P443" s="6" t="n">
        <v>6806</v>
      </c>
      <c r="Q443" s="6" t="n">
        <v>0.875</v>
      </c>
      <c r="R443">
        <f>M443+IF(MAX(N443-1,0)&gt;0,IF(ISBLANK(O443),5*MAX(N443-1,0),IF(ISNUMBER(O443),O443*MAX(N443-1,0),SUM(IFERROR(VALUE(TEXTSPLIT(O443,",")),0)))),0)</f>
        <v/>
      </c>
      <c r="S443">
        <f>IFERROR(L443*MAX(N443,1)/R443*IF(ISBLANK(K441),1,K441),0)</f>
        <v/>
      </c>
      <c r="AB443" s="7" t="inlineStr">
        <is>
          <t>^Warhead_Bullet_Light, ^Warhead_Bullet_Medium</t>
        </is>
      </c>
    </row>
    <row r="444">
      <c r="A444" t="inlineStr">
        <is>
          <t>redalert2mod</t>
        </is>
      </c>
      <c r="B444" t="inlineStr">
        <is>
          <t>tkm_as42</t>
        </is>
      </c>
      <c r="C444" t="inlineStr">
        <is>
          <t>TKM AS42</t>
        </is>
      </c>
      <c r="D444" s="6" t="inlineStr">
        <is>
          <t>ScoutVehicle</t>
        </is>
      </c>
      <c r="E444" s="6" t="n">
        <v>27500</v>
      </c>
      <c r="F444" s="6" t="n">
        <v>150</v>
      </c>
      <c r="G444" t="inlineStr">
        <is>
          <t>Scout</t>
        </is>
      </c>
      <c r="H444" s="6" t="n">
        <v>0.9016</v>
      </c>
      <c r="I444" s="6" t="n">
        <v>1</v>
      </c>
      <c r="J444" s="6" t="n">
        <v>1</v>
      </c>
      <c r="P444">
        <f>MAX(P445,P446,P447,P448)</f>
        <v/>
      </c>
      <c r="S444">
        <f>S445+S446+S447+S448</f>
        <v/>
      </c>
      <c r="T444">
        <f>(E444/100000+F444/100+(P444/1000)*J444/5+S444/200)*200*I444*H444</f>
        <v/>
      </c>
      <c r="U444">
        <f>((E444*F444/25000)+((P444/1000)*J444*S444/2.5))*I444*H444</f>
        <v/>
      </c>
      <c r="V444">
        <f>(E444*F444*(P444/1000)*J444*S444*I444*H444)/12500000</f>
        <v/>
      </c>
      <c r="W444">
        <f>IFERROR((((E444/30000)+(F444/200)+(S444/450)+((P444/4500)*J444))*300/4+(((E444/30000)*(F444/200))+(((P444/4500)*J444)*(S444/450)))*300/2+((E444/30000)*(F444/200)*((P444/4500)*J444)*(S444/450))*300)*(H444/1.0)/3,"")</f>
        <v/>
      </c>
      <c r="X444" s="6" t="n">
        <v>400</v>
      </c>
      <c r="Y444">
        <f>IFERROR(W444-X444,"")</f>
        <v/>
      </c>
      <c r="Z444">
        <f>IFERROR(ABS(Y444)/MAX(X444,1),"")</f>
        <v/>
      </c>
      <c r="AA444">
        <f>IFERROR(ROUND(((3*X444-(((E444/30000)+(F444/200)+(S444/450))*300/4+((E444/30000)*(F444/200))*300/2)*(H444/1.0))/(300/4+((S444/450))*300/2+((E444/30000)*(F444/200)*(S444/450))*300)*(H444/1.0)*4500)/J444,-1),"")</f>
        <v/>
      </c>
    </row>
    <row r="445">
      <c r="B445" s="7" t="inlineStr">
        <is>
          <t xml:space="preserve">  ↳ as42rockets</t>
        </is>
      </c>
      <c r="C445" s="7" t="inlineStr">
        <is>
          <t>Armament@Missiles</t>
        </is>
      </c>
      <c r="L445" s="6" t="n">
        <v>20000</v>
      </c>
      <c r="M445" s="6" t="n">
        <v>30</v>
      </c>
      <c r="N445" s="6" t="n">
        <v>1</v>
      </c>
      <c r="O445" s="6" t="n"/>
      <c r="P445" s="6" t="n">
        <v>6379</v>
      </c>
      <c r="Q445" s="6" t="n">
        <v>0.75</v>
      </c>
      <c r="R445">
        <f>M445+IF(MAX(N445-1,0)&gt;0,IF(ISBLANK(O445),5*MAX(N445-1,0),IF(ISNUMBER(O445),O445*MAX(N445-1,0),SUM(IFERROR(VALUE(TEXTSPLIT(O445,",")),0)))),0)</f>
        <v/>
      </c>
      <c r="S445">
        <f>IFERROR(L445*MAX(N445,1)/R445*IF(ISBLANK(K444),1,K444),0)</f>
        <v/>
      </c>
      <c r="AB445" s="7" t="inlineStr">
        <is>
          <t>^Warhead_MissileAP_Light</t>
        </is>
      </c>
    </row>
    <row r="446">
      <c r="B446" s="7" t="inlineStr">
        <is>
          <t xml:space="preserve">  ↳ tkmcryorockets</t>
        </is>
      </c>
      <c r="C446" s="7" t="inlineStr">
        <is>
          <t>Armament@PRIMARYNATO</t>
        </is>
      </c>
      <c r="L446" s="6" t="n">
        <v>18000</v>
      </c>
      <c r="M446" s="6" t="n">
        <v>64</v>
      </c>
      <c r="N446" s="6" t="n">
        <v>1</v>
      </c>
      <c r="O446" s="6" t="n"/>
      <c r="P446" s="6" t="n">
        <v>6214</v>
      </c>
      <c r="Q446" s="6" t="n">
        <v>0.75</v>
      </c>
      <c r="R446">
        <f>M446+IF(MAX(N446-1,0)&gt;0,IF(ISBLANK(O446),5*MAX(N446-1,0),IF(ISNUMBER(O446),O446*MAX(N446-1,0),SUM(IFERROR(VALUE(TEXTSPLIT(O446,",")),0)))),0)</f>
        <v/>
      </c>
      <c r="S446">
        <f>IFERROR(L446*MAX(N446,1)/R446*IF(ISBLANK(K444),1,K444),0)</f>
        <v/>
      </c>
      <c r="AB446" s="7" t="inlineStr">
        <is>
          <t>^Warhead_MissileAP_Light</t>
        </is>
      </c>
    </row>
    <row r="447">
      <c r="B447" s="7" t="inlineStr">
        <is>
          <t xml:space="preserve">  ↳ tkmtwinrockets</t>
        </is>
      </c>
      <c r="C447" s="7" t="inlineStr">
        <is>
          <t>Armament@PRIMARYBEREZKA</t>
        </is>
      </c>
      <c r="L447" s="6" t="n">
        <v>18000</v>
      </c>
      <c r="M447" s="6" t="n">
        <v>64</v>
      </c>
      <c r="N447" s="6" t="n">
        <v>2</v>
      </c>
      <c r="O447" s="6" t="n"/>
      <c r="P447" s="6" t="n">
        <v>7214</v>
      </c>
      <c r="Q447" s="6" t="n">
        <v>0.75</v>
      </c>
      <c r="R447">
        <f>M447+IF(MAX(N447-1,0)&gt;0,IF(ISBLANK(O447),5*MAX(N447-1,0),IF(ISNUMBER(O447),O447*MAX(N447-1,0),SUM(IFERROR(VALUE(TEXTSPLIT(O447,",")),0)))),0)</f>
        <v/>
      </c>
      <c r="S447">
        <f>IFERROR(L447*MAX(N447,1)/R447*IF(ISBLANK(K444),1,K444),0)</f>
        <v/>
      </c>
      <c r="AB447" s="7" t="inlineStr">
        <is>
          <t>^Warhead_MissileAP_Light</t>
        </is>
      </c>
    </row>
    <row r="448">
      <c r="B448" s="7" t="inlineStr">
        <is>
          <t xml:space="preserve">  ↳ tkmfirerockets</t>
        </is>
      </c>
      <c r="C448" s="7" t="inlineStr">
        <is>
          <t>Armament@PRIMARYTITAN</t>
        </is>
      </c>
      <c r="L448" s="6" t="n">
        <v>22000</v>
      </c>
      <c r="M448" s="6" t="n">
        <v>64</v>
      </c>
      <c r="N448" s="6" t="n">
        <v>1</v>
      </c>
      <c r="O448" s="6" t="n"/>
      <c r="P448" s="6" t="n">
        <v>6214</v>
      </c>
      <c r="Q448" s="6" t="n">
        <v>0.75</v>
      </c>
      <c r="R448">
        <f>M448+IF(MAX(N448-1,0)&gt;0,IF(ISBLANK(O448),5*MAX(N448-1,0),IF(ISNUMBER(O448),O448*MAX(N448-1,0),SUM(IFERROR(VALUE(TEXTSPLIT(O448,",")),0)))),0)</f>
        <v/>
      </c>
      <c r="S448">
        <f>IFERROR(L448*MAX(N448,1)/R448*IF(ISBLANK(K444),1,K444),0)</f>
        <v/>
      </c>
      <c r="AB448" s="7" t="inlineStr">
        <is>
          <t>^Warhead_MissileAP_Light, ^Warhead_Flame_Light</t>
        </is>
      </c>
    </row>
    <row r="449">
      <c r="A449" t="inlineStr">
        <is>
          <t>redalert2mod</t>
        </is>
      </c>
      <c r="B449" t="inlineStr">
        <is>
          <t>tkm_technical</t>
        </is>
      </c>
      <c r="C449" t="inlineStr">
        <is>
          <t>TKM Technical</t>
        </is>
      </c>
      <c r="D449" s="6" t="inlineStr">
        <is>
          <t>ScoutVehicle</t>
        </is>
      </c>
      <c r="E449" s="6" t="n">
        <v>27500</v>
      </c>
      <c r="F449" s="6" t="n">
        <v>175</v>
      </c>
      <c r="G449" t="inlineStr">
        <is>
          <t>Scout</t>
        </is>
      </c>
      <c r="H449" s="6" t="n">
        <v>0.9016</v>
      </c>
      <c r="I449" s="6" t="n">
        <v>1</v>
      </c>
      <c r="J449" s="6" t="n">
        <v>1</v>
      </c>
      <c r="P449">
        <f>MAX(P450,P451)</f>
        <v/>
      </c>
      <c r="S449">
        <f>S450+S451</f>
        <v/>
      </c>
      <c r="T449">
        <f>(E449/100000+F449/100+(P449/1000)*J449/5+S449/200)*200*I449*H449</f>
        <v/>
      </c>
      <c r="U449">
        <f>((E449*F449/25000)+((P449/1000)*J449*S449/2.5))*I449*H449</f>
        <v/>
      </c>
      <c r="V449">
        <f>(E449*F449*(P449/1000)*J449*S449*I449*H449)/12500000</f>
        <v/>
      </c>
      <c r="W449">
        <f>IFERROR((((E449/30000)+(F449/200)+(S449/450)+((P449/4500)*J449))*300/4+(((E449/30000)*(F449/200))+(((P449/4500)*J449)*(S449/450)))*300/2+((E449/30000)*(F449/200)*((P449/4500)*J449)*(S449/450))*300)*(H449/1.0)/3,"")</f>
        <v/>
      </c>
      <c r="X449" s="6" t="n">
        <v>400</v>
      </c>
      <c r="Y449">
        <f>IFERROR(W449-X449,"")</f>
        <v/>
      </c>
      <c r="Z449">
        <f>IFERROR(ABS(Y449)/MAX(X449,1),"")</f>
        <v/>
      </c>
      <c r="AA449">
        <f>IFERROR(ROUND(((3*X449-(((E449/30000)+(F449/200)+(S449/450))*300/4+((E449/30000)*(F449/200))*300/2)*(H449/1.0))/(300/4+((S449/450))*300/2+((E449/30000)*(F449/200)*(S449/450))*300)*(H449/1.0)*4500)/J449,-1),"")</f>
        <v/>
      </c>
    </row>
    <row r="450">
      <c r="B450" s="7" t="inlineStr">
        <is>
          <t xml:space="preserve">  ↳ tkmtechmg</t>
        </is>
      </c>
      <c r="C450" s="7" t="inlineStr">
        <is>
          <t>Armament</t>
        </is>
      </c>
      <c r="L450" s="6" t="n">
        <v>4000</v>
      </c>
      <c r="M450" s="6" t="n">
        <v>6</v>
      </c>
      <c r="N450" s="6" t="n">
        <v>1</v>
      </c>
      <c r="O450" s="6" t="n"/>
      <c r="P450" s="6" t="n">
        <v>4153</v>
      </c>
      <c r="Q450" s="6" t="n">
        <v>1</v>
      </c>
      <c r="R450">
        <f>M450+IF(MAX(N450-1,0)&gt;0,IF(ISBLANK(O450),5*MAX(N450-1,0),IF(ISNUMBER(O450),O450*MAX(N450-1,0),SUM(IFERROR(VALUE(TEXTSPLIT(O450,",")),0)))),0)</f>
        <v/>
      </c>
      <c r="S450">
        <f>IFERROR(L450*MAX(N450,1)/R450*IF(ISBLANK(K449),1,K449),0)</f>
        <v/>
      </c>
      <c r="AB450" s="7" t="inlineStr">
        <is>
          <t>^Warhead_Bullet_Medium</t>
        </is>
      </c>
    </row>
    <row r="451">
      <c r="B451" s="7" t="inlineStr">
        <is>
          <t xml:space="preserve">  ↳ tkmtechnicalmgap</t>
        </is>
      </c>
      <c r="C451" s="7" t="inlineStr">
        <is>
          <t>Armament@PRIMARYNATO</t>
        </is>
      </c>
      <c r="L451" s="6" t="n">
        <v>8000</v>
      </c>
      <c r="M451" s="6" t="n">
        <v>9</v>
      </c>
      <c r="N451" s="6" t="n">
        <v>3</v>
      </c>
      <c r="O451" s="6" t="n">
        <v>6</v>
      </c>
      <c r="P451" s="6" t="n">
        <v>4792</v>
      </c>
      <c r="Q451" s="6" t="n">
        <v>0.75</v>
      </c>
      <c r="R451">
        <f>M451+IF(MAX(N451-1,0)&gt;0,IF(ISBLANK(O451),5*MAX(N451-1,0),IF(ISNUMBER(O451),O451*MAX(N451-1,0),SUM(IFERROR(VALUE(TEXTSPLIT(O451,",")),0)))),0)</f>
        <v/>
      </c>
      <c r="S451">
        <f>IFERROR(L451*MAX(N451,1)/R451*IF(ISBLANK(K449),1,K449),0)</f>
        <v/>
      </c>
      <c r="AB451" s="7" t="inlineStr">
        <is>
          <t>^Warhead_Bullet_Light, ^Warhead_Demolition_Light</t>
        </is>
      </c>
    </row>
    <row r="452">
      <c r="A452" t="inlineStr">
        <is>
          <t>d2k</t>
        </is>
      </c>
      <c r="B452" t="inlineStr">
        <is>
          <t>ordos_leech</t>
        </is>
      </c>
      <c r="C452" t="inlineStr">
        <is>
          <t>Leech</t>
        </is>
      </c>
      <c r="D452" s="6" t="inlineStr">
        <is>
          <t>ScoutVehicle</t>
        </is>
      </c>
      <c r="E452" s="6" t="n">
        <v>50000</v>
      </c>
      <c r="F452" s="6" t="n">
        <v>150</v>
      </c>
      <c r="G452" t="inlineStr">
        <is>
          <t>Scout</t>
        </is>
      </c>
      <c r="H452" s="6" t="n">
        <v>1</v>
      </c>
      <c r="I452" s="6" t="n">
        <v>1</v>
      </c>
      <c r="J452" s="6" t="n">
        <v>1</v>
      </c>
      <c r="P452">
        <f>MAX(P453)</f>
        <v/>
      </c>
      <c r="S452">
        <f>S453</f>
        <v/>
      </c>
      <c r="T452">
        <f>(E452/100000+F452/100+(P452/1000)*J452/5+S452/200)*200*I452*H452</f>
        <v/>
      </c>
      <c r="U452">
        <f>((E452*F452/25000)+((P452/1000)*J452*S452/2.5))*I452*H452</f>
        <v/>
      </c>
      <c r="V452">
        <f>(E452*F452*(P452/1000)*J452*S452*I452*H452)/12500000</f>
        <v/>
      </c>
      <c r="W452">
        <f>(T452+U452+V452)/3</f>
        <v/>
      </c>
      <c r="X452" s="6" t="n">
        <v>1100</v>
      </c>
      <c r="Y452">
        <f>IFERROR(W452-X452,"")</f>
        <v/>
      </c>
      <c r="Z452">
        <f>IFERROR(ABS(Y452)/MAX(X452,1),"")</f>
        <v/>
      </c>
      <c r="AA452">
        <f>IFERROR((X452-(((E452/100000+F452/100+S452/200)*200*I452*H452)+((E452*F452/25000)*I452*H452))/3)/(((J452/5)*200*I452*H452)+((J452*S452/2.5)*I452*H452)+((E452*F452*J452*S452*I452*H452)/12500000))/3*1000,"")</f>
        <v/>
      </c>
    </row>
    <row r="453">
      <c r="B453" s="7" t="inlineStr">
        <is>
          <t xml:space="preserve">  ↳ LeechJump</t>
        </is>
      </c>
      <c r="C453" s="7" t="inlineStr">
        <is>
          <t>Armament@PRIMARY</t>
        </is>
      </c>
      <c r="L453" t="n">
        <v>100000</v>
      </c>
      <c r="M453" s="6" t="n">
        <v>30</v>
      </c>
      <c r="N453" s="6" t="n">
        <v>1</v>
      </c>
      <c r="O453" s="6" t="n"/>
      <c r="P453" s="6" t="n">
        <v>3000</v>
      </c>
      <c r="Q453" s="6" t="n">
        <v>1</v>
      </c>
      <c r="R453">
        <f>M453+IF(MAX(N453-1,0)&gt;0,IF(ISBLANK(O453),5*MAX(N453-1,0),IF(ISNUMBER(O453),O453*MAX(N453-1,0),SUM(IFERROR(VALUE(TEXTSPLIT(O453,",")),0)))),0)</f>
        <v/>
      </c>
      <c r="S453">
        <f>IFERROR(L453*MAX(N453,1)/R453*IF(ISBLANK(K452),1,K452),0)</f>
        <v/>
      </c>
      <c r="AB453" s="7" t="inlineStr"/>
    </row>
    <row r="454">
      <c r="A454" t="inlineStr">
        <is>
          <t>d2k</t>
        </is>
      </c>
      <c r="B454" t="inlineStr">
        <is>
          <t>ordos_raider</t>
        </is>
      </c>
      <c r="C454" t="inlineStr">
        <is>
          <t>Ordos Raider</t>
        </is>
      </c>
      <c r="D454" s="6" t="inlineStr">
        <is>
          <t>ScoutVehicle</t>
        </is>
      </c>
      <c r="E454" s="6" t="n">
        <v>60000</v>
      </c>
      <c r="F454" s="6" t="n">
        <v>180</v>
      </c>
      <c r="G454" t="inlineStr">
        <is>
          <t>Scout</t>
        </is>
      </c>
      <c r="H454" s="6" t="n">
        <v>1</v>
      </c>
      <c r="I454" s="6" t="n">
        <v>1.25</v>
      </c>
      <c r="J454" s="6" t="n">
        <v>1</v>
      </c>
      <c r="P454">
        <f>MAX(P455,P456)</f>
        <v/>
      </c>
      <c r="S454">
        <f>S455+S456</f>
        <v/>
      </c>
      <c r="T454">
        <f>(E454/100000+F454/100+(P454/1000)*J454/5+S454/200)*200*I454*H454</f>
        <v/>
      </c>
      <c r="U454">
        <f>((E454*F454/25000)+((P454/1000)*J454*S454/2.5))*I454*H454</f>
        <v/>
      </c>
      <c r="V454">
        <f>(E454*F454*(P454/1000)*J454*S454*I454*H454)/12500000</f>
        <v/>
      </c>
      <c r="W454">
        <f>IFERROR((((E454/30000)+(F454/200)+(S454/450)+((P454/4500)*J454))*300/4+(((E454/30000)*(F454/200))+(((P454/4500)*J454)*(S454/450)))*300/2+((E454/30000)*(F454/200)*((P454/4500)*J454)*(S454/450))*300)*(H454/1.0)/3,"")</f>
        <v/>
      </c>
      <c r="X454" s="6" t="n">
        <v>1200</v>
      </c>
      <c r="Y454">
        <f>IFERROR(W454-X454,"")</f>
        <v/>
      </c>
      <c r="Z454">
        <f>IFERROR(ABS(Y454)/MAX(X454,1),"")</f>
        <v/>
      </c>
      <c r="AA454">
        <f>IFERROR(ROUND(((3*X454-(((E454/30000)+(F454/200)+(S454/450))*300/4+((E454/30000)*(F454/200))*300/2)*(H454/1.0))/(300/4+((S454/450))*300/2+((E454/30000)*(F454/200)*(S454/450))*300)*(H454/1.0)*4500)/J454,-1),"")</f>
        <v/>
      </c>
    </row>
    <row r="455">
      <c r="B455" s="7" t="inlineStr">
        <is>
          <t xml:space="preserve">  ↳ HMGo</t>
        </is>
      </c>
      <c r="C455" s="7" t="inlineStr">
        <is>
          <t>Armament@damage</t>
        </is>
      </c>
      <c r="L455" s="6" t="n">
        <v>4000</v>
      </c>
      <c r="M455" s="6" t="n">
        <v>8</v>
      </c>
      <c r="N455" s="6" t="n">
        <v>9</v>
      </c>
      <c r="O455" s="6" t="n">
        <v>2</v>
      </c>
      <c r="P455" s="6" t="n">
        <v>6000</v>
      </c>
      <c r="Q455" s="6" t="n">
        <v>0.75</v>
      </c>
      <c r="R455">
        <f>M455+IF(MAX(N455-1,0)&gt;0,IF(ISBLANK(O455),5*MAX(N455-1,0),IF(ISNUMBER(O455),O455*MAX(N455-1,0),SUM(IFERROR(VALUE(TEXTSPLIT(O455,",")),0)))),0)</f>
        <v/>
      </c>
      <c r="S455">
        <f>IFERROR(L455*MAX(N455,1)/R455*IF(ISBLANK(K454),1,K454),0)</f>
        <v/>
      </c>
      <c r="AB455" s="7" t="inlineStr">
        <is>
          <t>^Warhead_Bullet_Light</t>
        </is>
      </c>
    </row>
    <row r="456">
      <c r="B456" s="7" t="inlineStr">
        <is>
          <t xml:space="preserve">  ↳ HMGo_upgrade</t>
        </is>
      </c>
      <c r="C456" s="7" t="inlineStr">
        <is>
          <t>Armament@damageLaser</t>
        </is>
      </c>
      <c r="L456" s="6" t="n">
        <v>6000</v>
      </c>
      <c r="M456" s="6" t="n">
        <v>8</v>
      </c>
      <c r="N456" s="6" t="n">
        <v>9</v>
      </c>
      <c r="O456" s="6" t="n">
        <v>2</v>
      </c>
      <c r="P456" s="6" t="n">
        <v>6000</v>
      </c>
      <c r="Q456" s="6" t="n">
        <v>1</v>
      </c>
      <c r="R456">
        <f>M456+IF(MAX(N456-1,0)&gt;0,IF(ISBLANK(O456),5*MAX(N456-1,0),IF(ISNUMBER(O456),O456*MAX(N456-1,0),SUM(IFERROR(VALUE(TEXTSPLIT(O456,",")),0)))),0)</f>
        <v/>
      </c>
      <c r="S456">
        <f>IFERROR(L456*MAX(N456,1)/R456*IF(ISBLANK(K454),1,K454),0)</f>
        <v/>
      </c>
      <c r="AB456" s="7" t="inlineStr">
        <is>
          <t>^Warhead_Laser_Heavy, ^Warhead_Bullet_Medium, ^Warhead_Bullet_Light</t>
        </is>
      </c>
    </row>
    <row r="457">
      <c r="A457" t="inlineStr">
        <is>
          <t>d2k</t>
        </is>
      </c>
      <c r="B457" t="inlineStr">
        <is>
          <t>ordos_stealthraider</t>
        </is>
      </c>
      <c r="C457" t="inlineStr">
        <is>
          <t>Stealth Raider</t>
        </is>
      </c>
      <c r="D457" s="6" t="inlineStr">
        <is>
          <t>ScoutVehicle</t>
        </is>
      </c>
      <c r="E457" s="6" t="n">
        <v>60000</v>
      </c>
      <c r="F457" s="6" t="n">
        <v>180</v>
      </c>
      <c r="G457" t="inlineStr">
        <is>
          <t>Scout</t>
        </is>
      </c>
      <c r="H457" s="6" t="n">
        <v>1</v>
      </c>
      <c r="I457" s="6" t="n">
        <v>1.25</v>
      </c>
      <c r="J457" s="6" t="n">
        <v>1.25</v>
      </c>
      <c r="P457">
        <f>MAX(P458,P459)</f>
        <v/>
      </c>
      <c r="S457">
        <f>S458+S459</f>
        <v/>
      </c>
      <c r="T457">
        <f>(E457/100000+F457/100+(P457/1000)*J457/5+S457/200)*200*I457*H457</f>
        <v/>
      </c>
      <c r="U457">
        <f>((E457*F457/25000)+((P457/1000)*J457*S457/2.5))*I457*H457</f>
        <v/>
      </c>
      <c r="V457">
        <f>(E457*F457*(P457/1000)*J457*S457*I457*H457)/12500000</f>
        <v/>
      </c>
      <c r="W457">
        <f>IFERROR((((E457/30000)+(F457/200)+(S457/450)+((P457/4500)*J457))*300/4+(((E457/30000)*(F457/200))+(((P457/4500)*J457)*(S457/450)))*300/2+((E457/30000)*(F457/200)*((P457/4500)*J457)*(S457/450))*300)*(H457/1.0)/3,"")</f>
        <v/>
      </c>
      <c r="X457" s="6" t="n">
        <v>1300</v>
      </c>
      <c r="Y457">
        <f>IFERROR(W457-X457,"")</f>
        <v/>
      </c>
      <c r="Z457">
        <f>IFERROR(ABS(Y457)/MAX(X457,1),"")</f>
        <v/>
      </c>
      <c r="AA457">
        <f>IFERROR(ROUND(((3*X457-(((E457/30000)+(F457/200)+(S457/450))*300/4+((E457/30000)*(F457/200))*300/2)*(H457/1.0))/(300/4+((S457/450))*300/2+((E457/30000)*(F457/200)*(S457/450))*300)*(H457/1.0)*4500)/J457,-1),"")</f>
        <v/>
      </c>
    </row>
    <row r="458">
      <c r="B458" s="7" t="inlineStr">
        <is>
          <t xml:space="preserve">  ↳ HMGstealth</t>
        </is>
      </c>
      <c r="C458" s="7" t="inlineStr">
        <is>
          <t>Armament@damage</t>
        </is>
      </c>
      <c r="L458" s="6" t="n">
        <v>4000</v>
      </c>
      <c r="M458" s="6" t="n">
        <v>33</v>
      </c>
      <c r="N458" s="6" t="n">
        <v>4</v>
      </c>
      <c r="O458" s="6" t="n">
        <v>2</v>
      </c>
      <c r="P458" s="6" t="n">
        <v>4857</v>
      </c>
      <c r="Q458" s="6" t="n">
        <v>0.875</v>
      </c>
      <c r="R458">
        <f>M458+IF(MAX(N458-1,0)&gt;0,IF(ISBLANK(O458),5*MAX(N458-1,0),IF(ISNUMBER(O458),O458*MAX(N458-1,0),SUM(IFERROR(VALUE(TEXTSPLIT(O458,",")),0)))),0)</f>
        <v/>
      </c>
      <c r="S458">
        <f>IFERROR(L458*MAX(N458,1)/R458*IF(ISBLANK(K457),1,K457),0)</f>
        <v/>
      </c>
      <c r="AB458" s="7" t="inlineStr">
        <is>
          <t>^Warhead_Bullet_Light, ^Warhead_Bullet_Medium</t>
        </is>
      </c>
    </row>
    <row r="459">
      <c r="B459" s="7" t="inlineStr">
        <is>
          <t xml:space="preserve">  ↳ HMGstealth_upgrade</t>
        </is>
      </c>
      <c r="C459" s="7" t="inlineStr">
        <is>
          <t>Armament@damageLaser</t>
        </is>
      </c>
      <c r="L459" s="6" t="n">
        <v>6000</v>
      </c>
      <c r="M459" s="6" t="n">
        <v>33</v>
      </c>
      <c r="N459" s="6" t="n">
        <v>4</v>
      </c>
      <c r="O459" s="6" t="n">
        <v>2</v>
      </c>
      <c r="P459" s="6" t="n">
        <v>4857</v>
      </c>
      <c r="Q459" s="6" t="n">
        <v>1</v>
      </c>
      <c r="R459">
        <f>M459+IF(MAX(N459-1,0)&gt;0,IF(ISBLANK(O459),5*MAX(N459-1,0),IF(ISNUMBER(O459),O459*MAX(N459-1,0),SUM(IFERROR(VALUE(TEXTSPLIT(O459,",")),0)))),0)</f>
        <v/>
      </c>
      <c r="S459">
        <f>IFERROR(L459*MAX(N459,1)/R459*IF(ISBLANK(K457),1,K457),0)</f>
        <v/>
      </c>
      <c r="AB459" s="7" t="inlineStr">
        <is>
          <t>^Warhead_Laser_Heavy, ^Warhead_Bullet_Light, ^Warhead_Bullet_Medium</t>
        </is>
      </c>
    </row>
    <row r="460">
      <c r="A460" t="inlineStr">
        <is>
          <t>starcraft</t>
        </is>
      </c>
      <c r="B460" t="inlineStr">
        <is>
          <t>protoss_positron</t>
        </is>
      </c>
      <c r="C460" t="inlineStr">
        <is>
          <t>Positron</t>
        </is>
      </c>
      <c r="D460" s="6" t="inlineStr">
        <is>
          <t>ScoutVehicle</t>
        </is>
      </c>
      <c r="E460" s="6" t="n">
        <v>60000</v>
      </c>
      <c r="F460" s="6" t="n">
        <v>120</v>
      </c>
      <c r="G460" t="inlineStr">
        <is>
          <t>Scout</t>
        </is>
      </c>
      <c r="H460" s="6" t="n">
        <v>1</v>
      </c>
      <c r="I460" s="6" t="n">
        <v>0.5</v>
      </c>
      <c r="J460" s="6" t="n">
        <v>2</v>
      </c>
      <c r="K460" t="n">
        <v>0.005</v>
      </c>
      <c r="P460">
        <f>MAX(P461)</f>
        <v/>
      </c>
      <c r="S460">
        <f>S461</f>
        <v/>
      </c>
      <c r="T460">
        <f>(E460/100000+F460/100+(P460/1000)*J460/5+S460/200)*200*I460*H460</f>
        <v/>
      </c>
      <c r="U460">
        <f>((E460*F460/25000)+((P460/1000)*J460*S460/2.5))*I460*H460</f>
        <v/>
      </c>
      <c r="V460">
        <f>(E460*F460*(P460/1000)*J460*S460*I460*H460)/12500000</f>
        <v/>
      </c>
      <c r="W460">
        <f>IFERROR((((E460/30000)+(F460/200)+(S460/450)+((P460/4500)*J460))*300/4+(((E460/30000)*(F460/200))+(((P460/4500)*J460)*(S460/450)))*300/2+((E460/30000)*(F460/200)*((P460/4500)*J460)*(S460/450))*300)*(H460/1.0)/3,"")</f>
        <v/>
      </c>
      <c r="X460" s="6" t="n">
        <v>1200</v>
      </c>
      <c r="Y460">
        <f>IFERROR(W460-X460,"")</f>
        <v/>
      </c>
      <c r="Z460">
        <f>IFERROR(ABS(Y460)/MAX(X460,1),"")</f>
        <v/>
      </c>
      <c r="AA460">
        <f>IFERROR(ROUND(((3*X460-(((E460/30000)+(F460/200)+(S460/450))*300/4+((E460/30000)*(F460/200))*300/2)*(H460/1.0))/(300/4+((S460/450))*300/2+((E460/30000)*(F460/200)*(S460/450))*300)*(H460/1.0)*4500)/J460,-1),"")</f>
        <v/>
      </c>
    </row>
    <row r="461">
      <c r="B461" s="7" t="inlineStr">
        <is>
          <t xml:space="preserve">  ↳ PositronGrenade</t>
        </is>
      </c>
      <c r="C461" s="7" t="inlineStr">
        <is>
          <t>Armament</t>
        </is>
      </c>
      <c r="L461" s="6" t="n">
        <v>40000</v>
      </c>
      <c r="M461" s="6" t="n">
        <v>30</v>
      </c>
      <c r="N461" s="6" t="n">
        <v>1</v>
      </c>
      <c r="O461" s="6" t="n"/>
      <c r="P461" s="6" t="n">
        <v>5044</v>
      </c>
      <c r="Q461" s="6" t="n">
        <v>1</v>
      </c>
      <c r="R461">
        <f>M461+IF(MAX(N461-1,0)&gt;0,IF(ISBLANK(O461),5*MAX(N461-1,0),IF(ISNUMBER(O461),O461*MAX(N461-1,0),SUM(IFERROR(VALUE(TEXTSPLIT(O461,",")),0)))),0)</f>
        <v/>
      </c>
      <c r="S461">
        <f>IFERROR(L461*MAX(N461,1)/R461*IF(ISBLANK(K460),1,K460),0)</f>
        <v/>
      </c>
      <c r="AB461" s="7" t="inlineStr">
        <is>
          <t>^Warhead_CannonHE_Medium</t>
        </is>
      </c>
    </row>
    <row r="462">
      <c r="A462" s="4" t="inlineStr">
        <is>
          <t>FireSupport</t>
        </is>
      </c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  <c r="AB462" s="5" t="n"/>
    </row>
    <row r="463">
      <c r="A463" t="inlineStr">
        <is>
          <t>tiberiandawn</t>
        </is>
      </c>
      <c r="B463" t="inlineStr">
        <is>
          <t>td_gdi_exosuit</t>
        </is>
      </c>
      <c r="C463" t="inlineStr">
        <is>
          <t>Exosuit</t>
        </is>
      </c>
      <c r="D463" s="6" t="inlineStr">
        <is>
          <t>FireSupport</t>
        </is>
      </c>
      <c r="E463" s="6" t="n">
        <v>50000</v>
      </c>
      <c r="F463" s="6" t="n">
        <v>100</v>
      </c>
      <c r="G463" t="inlineStr">
        <is>
          <t>Light</t>
        </is>
      </c>
      <c r="H463" s="6" t="n">
        <v>0.3793</v>
      </c>
      <c r="I463" s="6" t="n">
        <v>1</v>
      </c>
      <c r="J463" s="6" t="n">
        <v>1</v>
      </c>
      <c r="K463" t="n">
        <v>0.012</v>
      </c>
      <c r="P463">
        <f>MAX(P464)</f>
        <v/>
      </c>
      <c r="S463">
        <f>S464</f>
        <v/>
      </c>
      <c r="T463">
        <f>(E463/100000+F463/100+(P463/1000)*J463/5+S463/200)*200*I463*H463</f>
        <v/>
      </c>
      <c r="U463">
        <f>((E463*F463/25000)+((P463/1000)*J463*S463/2.5))*I463*H463</f>
        <v/>
      </c>
      <c r="V463">
        <f>(E463*F463*(P463/1000)*J463*S463*I463*H463)/12500000</f>
        <v/>
      </c>
      <c r="W463">
        <f>IFERROR((((E463/120000)+(F463/90)+(S463/2100)+((P463/10000)*J463))*1400/4+(((E463/120000)*(F463/90))+(((P463/10000)*J463)*(S463/2100)))*1400/2+((E463/120000)*(F463/90)*((P463/10000)*J463)*(S463/2100))*1400)*(H463/0.6735)/3,"")</f>
        <v/>
      </c>
      <c r="X463" s="6" t="n">
        <v>1200</v>
      </c>
      <c r="Y463">
        <f>IFERROR(W463-X463,"")</f>
        <v/>
      </c>
      <c r="Z463">
        <f>IFERROR(ABS(Y463)/MAX(X463,1),"")</f>
        <v/>
      </c>
      <c r="AA463">
        <f>IFERROR(ROUND(((3*X463-(((E463/120000)+(F463/90)+(S463/2100))*1400/4+((E463/120000)*(F463/90))*1400/2)*(H463/0.6735))/(1400/4+((S463/2100))*1400/2+((E463/120000)*(F463/90)*(S463/2100))*1400)*(H463/0.6735)*10000)/J463,-1),"")</f>
        <v/>
      </c>
    </row>
    <row r="464">
      <c r="B464" s="7" t="inlineStr">
        <is>
          <t xml:space="preserve">  ↳ ExosuitRailgun</t>
        </is>
      </c>
      <c r="C464" s="7" t="inlineStr">
        <is>
          <t>Armament@Railgun</t>
        </is>
      </c>
      <c r="L464" s="6" t="n">
        <v>20000</v>
      </c>
      <c r="M464" s="6" t="n">
        <v>75</v>
      </c>
      <c r="N464" s="6" t="n">
        <v>2</v>
      </c>
      <c r="O464" s="6" t="n">
        <v>5</v>
      </c>
      <c r="P464" s="6" t="n">
        <v>6806</v>
      </c>
      <c r="Q464" s="6" t="n">
        <v>1.25</v>
      </c>
      <c r="R464">
        <f>M464+IF(MAX(N464-1,0)&gt;0,IF(ISBLANK(O464),5*MAX(N464-1,0),IF(ISNUMBER(O464),O464*MAX(N464-1,0),SUM(IFERROR(VALUE(TEXTSPLIT(O464,",")),0)))),0)</f>
        <v/>
      </c>
      <c r="S464">
        <f>IFERROR(L464*MAX(N464,1)/R464*IF(ISBLANK(K463),1,K463),0)</f>
        <v/>
      </c>
      <c r="AB464" s="7" t="inlineStr">
        <is>
          <t>^Warhead_Railgun_Heavy</t>
        </is>
      </c>
    </row>
    <row r="465">
      <c r="A465" t="inlineStr">
        <is>
          <t>tiberiandawn</t>
        </is>
      </c>
      <c r="B465" t="inlineStr">
        <is>
          <t>td_nod_ssmlauncher</t>
        </is>
      </c>
      <c r="C465" t="inlineStr">
        <is>
          <t>SSM Launcher</t>
        </is>
      </c>
      <c r="D465" s="6" t="inlineStr">
        <is>
          <t>FireSupport</t>
        </is>
      </c>
      <c r="E465" s="6" t="n">
        <v>20000</v>
      </c>
      <c r="F465" s="6" t="n">
        <v>100</v>
      </c>
      <c r="G465" t="inlineStr">
        <is>
          <t>Light</t>
        </is>
      </c>
      <c r="H465" s="6" t="n">
        <v>0.75</v>
      </c>
      <c r="I465" s="6" t="n">
        <v>1</v>
      </c>
      <c r="J465" s="6" t="n">
        <v>1</v>
      </c>
      <c r="P465">
        <f>MAX(P466)</f>
        <v/>
      </c>
      <c r="S465">
        <f>S466</f>
        <v/>
      </c>
      <c r="T465">
        <f>(E465/100000+F465/100+(P465/1000)*J465/5+S465/200)*200*I465*H465</f>
        <v/>
      </c>
      <c r="U465">
        <f>((E465*F465/25000)+((P465/1000)*J465*S465/2.5))*I465*H465</f>
        <v/>
      </c>
      <c r="V465">
        <f>(E465*F465*(P465/1000)*J465*S465*I465*H465)/12500000</f>
        <v/>
      </c>
      <c r="W465">
        <f>IFERROR((((E465/120000)+(F465/90)+(S465/2100)+((P465/10000)*J465))*1400/4+(((E465/120000)*(F465/90))+(((P465/10000)*J465)*(S465/2100)))*1400/2+((E465/120000)*(F465/90)*((P465/10000)*J465)*(S465/2100))*1400)*(H465/0.6735)/3,"")</f>
        <v/>
      </c>
      <c r="X465" s="6" t="n">
        <v>800</v>
      </c>
      <c r="Y465">
        <f>IFERROR(W465-X465,"")</f>
        <v/>
      </c>
      <c r="Z465">
        <f>IFERROR(ABS(Y465)/MAX(X465,1),"")</f>
        <v/>
      </c>
      <c r="AA465">
        <f>IFERROR(ROUND(((3*X465-(((E465/120000)+(F465/90)+(S465/2100))*1400/4+((E465/120000)*(F465/90))*1400/2)*(H465/0.6735))/(1400/4+((S465/2100))*1400/2+((E465/120000)*(F465/90)*(S465/2100))*1400)*(H465/0.6735)*10000)/J465,-1),"")</f>
        <v/>
      </c>
    </row>
    <row r="466">
      <c r="B466" s="7" t="inlineStr">
        <is>
          <t xml:space="preserve">  ↳ HonestJohn</t>
        </is>
      </c>
      <c r="C466" s="7" t="inlineStr">
        <is>
          <t>Armament</t>
        </is>
      </c>
      <c r="L466" s="6" t="n">
        <v>50000</v>
      </c>
      <c r="M466" s="6" t="n">
        <v>225</v>
      </c>
      <c r="N466" s="6" t="n">
        <v>2</v>
      </c>
      <c r="O466" s="6" t="n">
        <v>25</v>
      </c>
      <c r="P466" s="6" t="n">
        <v>8940</v>
      </c>
      <c r="Q466" s="6" t="n">
        <v>1.25</v>
      </c>
      <c r="R466">
        <f>M466+IF(MAX(N466-1,0)&gt;0,IF(ISBLANK(O466),5*MAX(N466-1,0),IF(ISNUMBER(O466),O466*MAX(N466-1,0),SUM(IFERROR(VALUE(TEXTSPLIT(O466,",")),0)))),0)</f>
        <v/>
      </c>
      <c r="S466">
        <f>IFERROR(L466*MAX(N466,1)/R466*IF(ISBLANK(K465),1,K465),0)</f>
        <v/>
      </c>
      <c r="AB466" s="7" t="inlineStr">
        <is>
          <t>^Warhead_MissileFire_Heavy</t>
        </is>
      </c>
    </row>
    <row r="467">
      <c r="A467" t="inlineStr">
        <is>
          <t>redalert</t>
        </is>
      </c>
      <c r="B467" t="inlineStr">
        <is>
          <t>japan_nanodronebuggy</t>
        </is>
      </c>
      <c r="C467" t="inlineStr">
        <is>
          <t>Nanodrone Buggy</t>
        </is>
      </c>
      <c r="D467" s="6" t="inlineStr">
        <is>
          <t>FireSupport</t>
        </is>
      </c>
      <c r="E467" s="6" t="n">
        <v>37500</v>
      </c>
      <c r="F467" s="6" t="n">
        <v>77</v>
      </c>
      <c r="G467" t="inlineStr">
        <is>
          <t>Light</t>
        </is>
      </c>
      <c r="H467" s="6" t="n">
        <v>1</v>
      </c>
      <c r="I467" s="6" t="n">
        <v>1</v>
      </c>
      <c r="J467" s="6" t="n">
        <v>1.25</v>
      </c>
      <c r="K467" t="n">
        <v>0.0033</v>
      </c>
      <c r="P467">
        <f>MAX(P468)</f>
        <v/>
      </c>
      <c r="S467">
        <f>S468</f>
        <v/>
      </c>
      <c r="T467">
        <f>(E467/100000+F467/100+(P467/1000)*J467/5+S467/200)*200*I467*H467</f>
        <v/>
      </c>
      <c r="U467">
        <f>((E467*F467/25000)+((P467/1000)*J467*S467/2.5))*I467*H467</f>
        <v/>
      </c>
      <c r="V467">
        <f>(E467*F467*(P467/1000)*J467*S467*I467*H467)/12500000</f>
        <v/>
      </c>
      <c r="W467">
        <f>IFERROR((((E467/120000)+(F467/90)+(S467/2100)+((P467/10000)*J467))*1400/4+(((E467/120000)*(F467/90))+(((P467/10000)*J467)*(S467/2100)))*1400/2+((E467/120000)*(F467/90)*((P467/10000)*J467)*(S467/2100))*1400)*(H467/0.6735)/3,"")</f>
        <v/>
      </c>
      <c r="X467" s="6" t="n">
        <v>1200</v>
      </c>
      <c r="Y467">
        <f>IFERROR(W467-X467,"")</f>
        <v/>
      </c>
      <c r="Z467">
        <f>IFERROR(ABS(Y467)/MAX(X467,1),"")</f>
        <v/>
      </c>
      <c r="AA467">
        <f>IFERROR(ROUND(((3*X467-(((E467/120000)+(F467/90)+(S467/2100))*1400/4+((E467/120000)*(F467/90))*1400/2)*(H467/0.6735))/(1400/4+((S467/2100))*1400/2+((E467/120000)*(F467/90)*(S467/2100))*1400)*(H467/0.6735)*10000)/J467,-1),"")</f>
        <v/>
      </c>
    </row>
    <row r="468">
      <c r="B468" s="7" t="inlineStr">
        <is>
          <t xml:space="preserve">  ↳ NanoArtilleryAG</t>
        </is>
      </c>
      <c r="C468" s="7" t="inlineStr">
        <is>
          <t>Armament</t>
        </is>
      </c>
      <c r="L468" s="6" t="n">
        <v>23331</v>
      </c>
      <c r="M468" s="6" t="n">
        <v>77</v>
      </c>
      <c r="N468" s="6" t="n">
        <v>1</v>
      </c>
      <c r="O468" s="6" t="n"/>
      <c r="P468" s="6" t="n">
        <v>7777</v>
      </c>
      <c r="Q468" s="6" t="n">
        <v>1</v>
      </c>
      <c r="R468">
        <f>M468+IF(MAX(N468-1,0)&gt;0,IF(ISBLANK(O468),5*MAX(N468-1,0),IF(ISNUMBER(O468),O468*MAX(N468-1,0),SUM(IFERROR(VALUE(TEXTSPLIT(O468,",")),0)))),0)</f>
        <v/>
      </c>
      <c r="S468">
        <f>IFERROR(L468*MAX(N468,1)/R468*IF(ISBLANK(K467),1,K467),0)</f>
        <v/>
      </c>
      <c r="AB468" s="7" t="inlineStr">
        <is>
          <t>^HeavyCannon, ^ShrapnelWeapon, ^Grenade</t>
        </is>
      </c>
    </row>
    <row r="469">
      <c r="A469" t="inlineStr">
        <is>
          <t>redalert</t>
        </is>
      </c>
      <c r="B469" t="inlineStr">
        <is>
          <t>japan_waveforcetank</t>
        </is>
      </c>
      <c r="C469" t="inlineStr">
        <is>
          <t>Waveforce Tank</t>
        </is>
      </c>
      <c r="D469" s="6" t="inlineStr">
        <is>
          <t>FireSupport</t>
        </is>
      </c>
      <c r="E469" s="6" t="n">
        <v>60000</v>
      </c>
      <c r="F469" s="6" t="n">
        <v>60</v>
      </c>
      <c r="G469" t="inlineStr">
        <is>
          <t>Light</t>
        </is>
      </c>
      <c r="H469" s="6" t="n">
        <v>1</v>
      </c>
      <c r="I469" s="6" t="n">
        <v>1</v>
      </c>
      <c r="J469" s="6" t="n">
        <v>1</v>
      </c>
      <c r="P469">
        <f>MAX(P470,P471,P472,P473)</f>
        <v/>
      </c>
      <c r="S469">
        <f>S470+S471+S472+S473</f>
        <v/>
      </c>
      <c r="T469">
        <f>(E469/100000+F469/100+(P469/1000)*J469/5+S469/200)*200*I469*H469</f>
        <v/>
      </c>
      <c r="U469">
        <f>((E469*F469/25000)+((P469/1000)*J469*S469/2.5))*I469*H469</f>
        <v/>
      </c>
      <c r="V469">
        <f>(E469*F469*(P469/1000)*J469*S469*I469*H469)/12500000</f>
        <v/>
      </c>
      <c r="W469">
        <f>IFERROR((((E469/120000)+(F469/90)+(S469/2100)+((P469/10000)*J469))*1400/4+(((E469/120000)*(F469/90))+(((P469/10000)*J469)*(S469/2100)))*1400/2+((E469/120000)*(F469/90)*((P469/10000)*J469)*(S469/2100))*1400)*(H469/0.6735)/3,"")</f>
        <v/>
      </c>
      <c r="X469" s="6" t="n">
        <v>1800</v>
      </c>
      <c r="Y469">
        <f>IFERROR(W469-X469,"")</f>
        <v/>
      </c>
      <c r="Z469">
        <f>IFERROR(ABS(Y469)/MAX(X469,1),"")</f>
        <v/>
      </c>
      <c r="AA469">
        <f>IFERROR(ROUND(((3*X469-(((E469/120000)+(F469/90)+(S469/2100))*1400/4+((E469/120000)*(F469/90))*1400/2)*(H469/0.6735))/(1400/4+((S469/2100))*1400/2+((E469/120000)*(F469/90)*(S469/2100))*1400)*(H469/0.6735)*10000)/J469,-1),"")</f>
        <v/>
      </c>
    </row>
    <row r="470">
      <c r="B470" s="7" t="inlineStr">
        <is>
          <t xml:space="preserve">  ↳ WaveforceCannon</t>
        </is>
      </c>
      <c r="C470" s="7" t="inlineStr">
        <is>
          <t>Armament</t>
        </is>
      </c>
      <c r="L470" s="6" t="n">
        <v>20000</v>
      </c>
      <c r="M470" s="6" t="n">
        <v>60</v>
      </c>
      <c r="N470" s="6" t="n">
        <v>1</v>
      </c>
      <c r="O470" s="6" t="n"/>
      <c r="P470" s="6" t="n">
        <v>9343</v>
      </c>
      <c r="Q470" s="6" t="n">
        <v>1.25</v>
      </c>
      <c r="R470">
        <f>M470+IF(MAX(N470-1,0)&gt;0,IF(ISBLANK(O470),5*MAX(N470-1,0),IF(ISNUMBER(O470),O470*MAX(N470-1,0),SUM(IFERROR(VALUE(TEXTSPLIT(O470,",")),0)))),0)</f>
        <v/>
      </c>
      <c r="S470">
        <f>IFERROR(L470*MAX(N470,1)/R470*IF(ISBLANK(K469),1,K469),0)</f>
        <v/>
      </c>
      <c r="AB470" s="7" t="inlineStr">
        <is>
          <t>^Warhead_MissileHE_Heavy, ^Warhead_Railgun_Heavy</t>
        </is>
      </c>
    </row>
    <row r="471">
      <c r="B471" s="7" t="inlineStr">
        <is>
          <t xml:space="preserve">  ↳ WaveforceCannonChargedLaser</t>
        </is>
      </c>
      <c r="C471" s="7" t="inlineStr">
        <is>
          <t>Armament@Upgrade1</t>
        </is>
      </c>
      <c r="L471" s="6" t="n">
        <v>20000</v>
      </c>
      <c r="M471" s="6" t="n">
        <v>120</v>
      </c>
      <c r="N471" s="6" t="n">
        <v>1</v>
      </c>
      <c r="O471" s="6" t="n"/>
      <c r="P471" s="6" t="n">
        <v>9343</v>
      </c>
      <c r="Q471" s="6" t="n">
        <v>1.25</v>
      </c>
      <c r="R471">
        <f>M471+IF(MAX(N471-1,0)&gt;0,IF(ISBLANK(O471),5*MAX(N471-1,0),IF(ISNUMBER(O471),O471*MAX(N471-1,0),SUM(IFERROR(VALUE(TEXTSPLIT(O471,",")),0)))),0)</f>
        <v/>
      </c>
      <c r="S471">
        <f>IFERROR(L471*MAX(N471,1)/R471*IF(ISBLANK(K469),1,K469),0)</f>
        <v/>
      </c>
      <c r="AB471" s="7" t="inlineStr">
        <is>
          <t>^Warhead_MissileHE_Heavy, ^Warhead_Railgun_Heavy</t>
        </is>
      </c>
    </row>
    <row r="472">
      <c r="B472" s="7" t="inlineStr">
        <is>
          <t xml:space="preserve">  ↳ WaveforceCannonDistortedBeam1</t>
        </is>
      </c>
      <c r="C472" s="7" t="inlineStr">
        <is>
          <t>Armament@Upgrade2</t>
        </is>
      </c>
      <c r="L472" s="6" t="n">
        <v>20000</v>
      </c>
      <c r="M472" s="6" t="n">
        <v>120</v>
      </c>
      <c r="N472" s="6" t="n">
        <v>1</v>
      </c>
      <c r="O472" s="6" t="n"/>
      <c r="P472" s="6" t="n">
        <v>9343</v>
      </c>
      <c r="Q472" s="6" t="n">
        <v>1</v>
      </c>
      <c r="R472">
        <f>M472+IF(MAX(N472-1,0)&gt;0,IF(ISBLANK(O472),5*MAX(N472-1,0),IF(ISNUMBER(O472),O472*MAX(N472-1,0),SUM(IFERROR(VALUE(TEXTSPLIT(O472,",")),0)))),0)</f>
        <v/>
      </c>
      <c r="S472">
        <f>IFERROR(L472*MAX(N472,1)/R472*IF(ISBLANK(K469),1,K469),0)</f>
        <v/>
      </c>
      <c r="AB472" s="7" t="inlineStr">
        <is>
          <t>^TeslaWeapon, ^HeavyCannon</t>
        </is>
      </c>
    </row>
    <row r="473">
      <c r="B473" s="7" t="inlineStr">
        <is>
          <t xml:space="preserve">  ↳ WaveforceCannonDistortedBeam2</t>
        </is>
      </c>
      <c r="C473" s="7" t="inlineStr">
        <is>
          <t>Armament@Upgrade3</t>
        </is>
      </c>
      <c r="L473" s="6" t="n">
        <v>20000</v>
      </c>
      <c r="M473" s="6" t="n">
        <v>120</v>
      </c>
      <c r="N473" s="6" t="n">
        <v>1</v>
      </c>
      <c r="O473" s="6" t="n"/>
      <c r="P473" s="6" t="n">
        <v>9343</v>
      </c>
      <c r="Q473" s="6" t="n">
        <v>1.25</v>
      </c>
      <c r="R473">
        <f>M473+IF(MAX(N473-1,0)&gt;0,IF(ISBLANK(O473),5*MAX(N473-1,0),IF(ISNUMBER(O473),O473*MAX(N473-1,0),SUM(IFERROR(VALUE(TEXTSPLIT(O473,",")),0)))),0)</f>
        <v/>
      </c>
      <c r="S473">
        <f>IFERROR(L473*MAX(N473,1)/R473*IF(ISBLANK(K469),1,K469),0)</f>
        <v/>
      </c>
      <c r="AB473" s="7" t="inlineStr">
        <is>
          <t>^Warhead_Chemical_Heavy, ^Warhead_Flame_Heavy</t>
        </is>
      </c>
    </row>
    <row r="474">
      <c r="A474" t="inlineStr">
        <is>
          <t>redalert</t>
        </is>
      </c>
      <c r="B474" t="inlineStr">
        <is>
          <t>ra1_soviets_heatraytank</t>
        </is>
      </c>
      <c r="C474" t="inlineStr">
        <is>
          <t>Heatray Tank</t>
        </is>
      </c>
      <c r="D474" s="6" t="inlineStr">
        <is>
          <t>FireSupport</t>
        </is>
      </c>
      <c r="E474" s="6" t="n">
        <v>60000</v>
      </c>
      <c r="F474" s="6" t="n">
        <v>60</v>
      </c>
      <c r="G474" t="inlineStr">
        <is>
          <t>Light</t>
        </is>
      </c>
      <c r="H474" s="6" t="n">
        <v>1</v>
      </c>
      <c r="I474" s="6" t="n">
        <v>1</v>
      </c>
      <c r="J474" s="6" t="n">
        <v>1</v>
      </c>
      <c r="K474" t="n">
        <v>0.0025</v>
      </c>
      <c r="P474">
        <f>MAX(P475,P476,P477,P478)</f>
        <v/>
      </c>
      <c r="S474">
        <f>S475+S476+S477+S478</f>
        <v/>
      </c>
      <c r="T474">
        <f>(E474/100000+F474/100+(P474/1000)*J474/5+S474/200)*200*I474*H474</f>
        <v/>
      </c>
      <c r="U474">
        <f>((E474*F474/25000)+((P474/1000)*J474*S474/2.5))*I474*H474</f>
        <v/>
      </c>
      <c r="V474">
        <f>(E474*F474*(P474/1000)*J474*S474*I474*H474)/12500000</f>
        <v/>
      </c>
      <c r="W474">
        <f>IFERROR((((E474/120000)+(F474/90)+(S474/2100)+((P474/10000)*J474))*1400/4+(((E474/120000)*(F474/90))+(((P474/10000)*J474)*(S474/2100)))*1400/2+((E474/120000)*(F474/90)*((P474/10000)*J474)*(S474/2100))*1400)*(H474/0.6735)/3,"")</f>
        <v/>
      </c>
      <c r="X474" s="6" t="n">
        <v>1900</v>
      </c>
      <c r="Y474">
        <f>IFERROR(W474-X474,"")</f>
        <v/>
      </c>
      <c r="Z474">
        <f>IFERROR(ABS(Y474)/MAX(X474,1),"")</f>
        <v/>
      </c>
      <c r="AA474">
        <f>IFERROR(ROUND(((3*X474-(((E474/120000)+(F474/90)+(S474/2100))*1400/4+((E474/120000)*(F474/90))*1400/2)*(H474/0.6735))/(1400/4+((S474/2100))*1400/2+((E474/120000)*(F474/90)*(S474/2100))*1400)*(H474/0.6735)*10000)/J474,-1),"")</f>
        <v/>
      </c>
    </row>
    <row r="475">
      <c r="B475" s="7" t="inlineStr">
        <is>
          <t xml:space="preserve">  ↳ HeatRayBeam1</t>
        </is>
      </c>
      <c r="C475" s="7" t="inlineStr">
        <is>
          <t>Armament@1</t>
        </is>
      </c>
      <c r="L475" s="6" t="n">
        <v>6000</v>
      </c>
      <c r="M475" s="6" t="n">
        <v>8</v>
      </c>
      <c r="N475" s="6" t="n">
        <v>1</v>
      </c>
      <c r="O475" s="6" t="n"/>
      <c r="P475" s="6" t="n">
        <v>8212</v>
      </c>
      <c r="Q475" s="6" t="n">
        <v>1.25</v>
      </c>
      <c r="R475">
        <f>M475+IF(MAX(N475-1,0)&gt;0,IF(ISBLANK(O475),5*MAX(N475-1,0),IF(ISNUMBER(O475),O475*MAX(N475-1,0),SUM(IFERROR(VALUE(TEXTSPLIT(O475,",")),0)))),0)</f>
        <v/>
      </c>
      <c r="S475">
        <f>IFERROR(L475*MAX(N475,1)/R475*IF(ISBLANK(K474),1,K474),0)</f>
        <v/>
      </c>
      <c r="AB475" s="7" t="inlineStr">
        <is>
          <t>^Warhead_Inferno_Heavy</t>
        </is>
      </c>
    </row>
    <row r="476">
      <c r="B476" s="7" t="inlineStr">
        <is>
          <t xml:space="preserve">  ↳ HeatRayBeam2</t>
        </is>
      </c>
      <c r="C476" s="7" t="inlineStr">
        <is>
          <t>Armament@2</t>
        </is>
      </c>
      <c r="L476" s="6" t="n">
        <v>6000</v>
      </c>
      <c r="M476" s="6" t="n">
        <v>8</v>
      </c>
      <c r="N476" s="6" t="n">
        <v>1</v>
      </c>
      <c r="O476" s="6" t="n"/>
      <c r="P476" s="6" t="n">
        <v>8212</v>
      </c>
      <c r="Q476" s="6" t="n">
        <v>1.25</v>
      </c>
      <c r="R476">
        <f>M476+IF(MAX(N476-1,0)&gt;0,IF(ISBLANK(O476),5*MAX(N476-1,0),IF(ISNUMBER(O476),O476*MAX(N476-1,0),SUM(IFERROR(VALUE(TEXTSPLIT(O476,",")),0)))),0)</f>
        <v/>
      </c>
      <c r="S476">
        <f>IFERROR(L476*MAX(N476,1)/R476*IF(ISBLANK(K474),1,K474),0)</f>
        <v/>
      </c>
      <c r="AB476" s="7" t="inlineStr">
        <is>
          <t>^Warhead_Inferno_Heavy</t>
        </is>
      </c>
    </row>
    <row r="477">
      <c r="B477" s="7" t="inlineStr">
        <is>
          <t xml:space="preserve">  ↳ HeatRayBeam3</t>
        </is>
      </c>
      <c r="C477" s="7" t="inlineStr">
        <is>
          <t>Armament@3</t>
        </is>
      </c>
      <c r="L477" s="6" t="n">
        <v>6000</v>
      </c>
      <c r="M477" s="6" t="n">
        <v>8</v>
      </c>
      <c r="N477" s="6" t="n">
        <v>1</v>
      </c>
      <c r="O477" s="6" t="n"/>
      <c r="P477" s="6" t="n">
        <v>8212</v>
      </c>
      <c r="Q477" s="6" t="n">
        <v>1.25</v>
      </c>
      <c r="R477">
        <f>M477+IF(MAX(N477-1,0)&gt;0,IF(ISBLANK(O477),5*MAX(N477-1,0),IF(ISNUMBER(O477),O477*MAX(N477-1,0),SUM(IFERROR(VALUE(TEXTSPLIT(O477,",")),0)))),0)</f>
        <v/>
      </c>
      <c r="S477">
        <f>IFERROR(L477*MAX(N477,1)/R477*IF(ISBLANK(K474),1,K474),0)</f>
        <v/>
      </c>
      <c r="AB477" s="7" t="inlineStr">
        <is>
          <t>^Warhead_Inferno_Heavy</t>
        </is>
      </c>
    </row>
    <row r="478">
      <c r="B478" s="7" t="inlineStr">
        <is>
          <t xml:space="preserve">  ↳ HeatRayBeam4</t>
        </is>
      </c>
      <c r="C478" s="7" t="inlineStr">
        <is>
          <t>Armament@4</t>
        </is>
      </c>
      <c r="L478" s="6" t="n">
        <v>6000</v>
      </c>
      <c r="M478" s="6" t="n">
        <v>8</v>
      </c>
      <c r="N478" s="6" t="n">
        <v>1</v>
      </c>
      <c r="O478" s="6" t="n"/>
      <c r="P478" s="6" t="n">
        <v>8212</v>
      </c>
      <c r="Q478" s="6" t="n">
        <v>1.25</v>
      </c>
      <c r="R478">
        <f>M478+IF(MAX(N478-1,0)&gt;0,IF(ISBLANK(O478),5*MAX(N478-1,0),IF(ISNUMBER(O478),O478*MAX(N478-1,0),SUM(IFERROR(VALUE(TEXTSPLIT(O478,",")),0)))),0)</f>
        <v/>
      </c>
      <c r="S478">
        <f>IFERROR(L478*MAX(N478,1)/R478*IF(ISBLANK(K474),1,K474),0)</f>
        <v/>
      </c>
      <c r="AB478" s="7" t="inlineStr">
        <is>
          <t>^Warhead_Inferno_Heavy</t>
        </is>
      </c>
    </row>
    <row r="479">
      <c r="A479" t="inlineStr">
        <is>
          <t>redalert</t>
        </is>
      </c>
      <c r="B479" t="inlineStr">
        <is>
          <t>ra1_soviets_teslatank</t>
        </is>
      </c>
      <c r="C479" t="inlineStr">
        <is>
          <t>Tesla Tank</t>
        </is>
      </c>
      <c r="D479" s="6" t="inlineStr">
        <is>
          <t>FireSupport</t>
        </is>
      </c>
      <c r="E479" s="6" t="n">
        <v>40000</v>
      </c>
      <c r="F479" s="6" t="n">
        <v>80</v>
      </c>
      <c r="G479" t="inlineStr">
        <is>
          <t>Light</t>
        </is>
      </c>
      <c r="H479" s="6" t="n">
        <v>0.7020999999999999</v>
      </c>
      <c r="I479" s="6" t="n">
        <v>1</v>
      </c>
      <c r="J479" s="6" t="n">
        <v>1</v>
      </c>
      <c r="P479">
        <f>MAX(P480,P481,P482)</f>
        <v/>
      </c>
      <c r="S479">
        <f>S480+S481+S482</f>
        <v/>
      </c>
      <c r="T479">
        <f>(E479/100000+F479/100+(P479/1000)*J479/5+S479/200)*200*I479*H479</f>
        <v/>
      </c>
      <c r="U479">
        <f>((E479*F479/25000)+((P479/1000)*J479*S479/2.5))*I479*H479</f>
        <v/>
      </c>
      <c r="V479">
        <f>(E479*F479*(P479/1000)*J479*S479*I479*H479)/12500000</f>
        <v/>
      </c>
      <c r="W479">
        <f>IFERROR((((E479/120000)+(F479/90)+(S479/2100)+((P479/10000)*J479))*1400/4+(((E479/120000)*(F479/90))+(((P479/10000)*J479)*(S479/2100)))*1400/2+((E479/120000)*(F479/90)*((P479/10000)*J479)*(S479/2100))*1400)*(H479/0.6735)/3,"")</f>
        <v/>
      </c>
      <c r="X479" s="6" t="n">
        <v>1700</v>
      </c>
      <c r="Y479">
        <f>IFERROR(W479-X479,"")</f>
        <v/>
      </c>
      <c r="Z479">
        <f>IFERROR(ABS(Y479)/MAX(X479,1),"")</f>
        <v/>
      </c>
      <c r="AA479">
        <f>IFERROR(ROUND(((3*X479-(((E479/120000)+(F479/90)+(S479/2100))*1400/4+((E479/120000)*(F479/90))*1400/2)*(H479/0.6735))/(1400/4+((S479/2100))*1400/2+((E479/120000)*(F479/90)*(S479/2100))*1400)*(H479/0.6735)*10000)/J479,-1),"")</f>
        <v/>
      </c>
    </row>
    <row r="480">
      <c r="B480" s="7" t="inlineStr">
        <is>
          <t xml:space="preserve">  ↳ TTankZap</t>
        </is>
      </c>
      <c r="C480" s="7" t="inlineStr">
        <is>
          <t>Armament</t>
        </is>
      </c>
      <c r="L480" s="6" t="n">
        <v>40000</v>
      </c>
      <c r="M480" s="6" t="n">
        <v>80</v>
      </c>
      <c r="N480" s="6" t="n">
        <v>1</v>
      </c>
      <c r="O480" s="6" t="n"/>
      <c r="P480" s="6" t="n">
        <v>7300</v>
      </c>
      <c r="Q480" s="6" t="n">
        <v>1.25</v>
      </c>
      <c r="R480">
        <f>M480+IF(MAX(N480-1,0)&gt;0,IF(ISBLANK(O480),5*MAX(N480-1,0),IF(ISNUMBER(O480),O480*MAX(N480-1,0),SUM(IFERROR(VALUE(TEXTSPLIT(O480,",")),0)))),0)</f>
        <v/>
      </c>
      <c r="S480">
        <f>IFERROR(L480*MAX(N480,1)/R480*IF(ISBLANK(K479),1,K479),0)</f>
        <v/>
      </c>
      <c r="AB480" s="7" t="inlineStr">
        <is>
          <t>^Warhead_Tesla_Heavy</t>
        </is>
      </c>
    </row>
    <row r="481">
      <c r="B481" s="7" t="inlineStr">
        <is>
          <t xml:space="preserve">  ↳ TTankZap_EMP</t>
        </is>
      </c>
      <c r="C481" s="7" t="inlineStr">
        <is>
          <t>Armament@Upgrade1</t>
        </is>
      </c>
      <c r="L481" s="6" t="n">
        <v>40000</v>
      </c>
      <c r="M481" s="6" t="n">
        <v>80</v>
      </c>
      <c r="N481" s="6" t="n">
        <v>1</v>
      </c>
      <c r="O481" s="6" t="n"/>
      <c r="P481" s="6" t="n">
        <v>7300</v>
      </c>
      <c r="Q481" s="6" t="n">
        <v>1.25</v>
      </c>
      <c r="R481">
        <f>M481+IF(MAX(N481-1,0)&gt;0,IF(ISBLANK(O481),5*MAX(N481-1,0),IF(ISNUMBER(O481),O481*MAX(N481-1,0),SUM(IFERROR(VALUE(TEXTSPLIT(O481,",")),0)))),0)</f>
        <v/>
      </c>
      <c r="S481">
        <f>IFERROR(L481*MAX(N481,1)/R481*IF(ISBLANK(K479),1,K479),0)</f>
        <v/>
      </c>
      <c r="AB481" s="7" t="inlineStr">
        <is>
          <t>^Warhead_Tesla_Heavy</t>
        </is>
      </c>
    </row>
    <row r="482">
      <c r="B482" s="7" t="inlineStr">
        <is>
          <t xml:space="preserve">  ↳ TTankZapArc_EMP</t>
        </is>
      </c>
      <c r="C482" s="7" t="inlineStr">
        <is>
          <t>Armament@Upgrade2</t>
        </is>
      </c>
      <c r="L482" s="6" t="n">
        <v>40000</v>
      </c>
      <c r="M482" s="6" t="n">
        <v>80</v>
      </c>
      <c r="N482" s="6" t="n">
        <v>1</v>
      </c>
      <c r="O482" s="6" t="n"/>
      <c r="P482" s="6" t="n">
        <v>7300</v>
      </c>
      <c r="Q482" s="6" t="n">
        <v>1.25</v>
      </c>
      <c r="R482">
        <f>M482+IF(MAX(N482-1,0)&gt;0,IF(ISBLANK(O482),5*MAX(N482-1,0),IF(ISNUMBER(O482),O482*MAX(N482-1,0),SUM(IFERROR(VALUE(TEXTSPLIT(O482,",")),0)))),0)</f>
        <v/>
      </c>
      <c r="S482">
        <f>IFERROR(L482*MAX(N482,1)/R482*IF(ISBLANK(K479),1,K479),0)</f>
        <v/>
      </c>
      <c r="AB482" s="7" t="inlineStr">
        <is>
          <t>^Warhead_Tesla_Heavy</t>
        </is>
      </c>
    </row>
    <row r="483">
      <c r="A483" t="inlineStr">
        <is>
          <t>tiberiansun</t>
        </is>
      </c>
      <c r="B483" t="inlineStr">
        <is>
          <t>cabal_laserspider</t>
        </is>
      </c>
      <c r="C483" t="inlineStr">
        <is>
          <t>Laser Spider</t>
        </is>
      </c>
      <c r="D483" s="6" t="inlineStr">
        <is>
          <t>FireSupport</t>
        </is>
      </c>
      <c r="E483" s="6" t="n">
        <v>40000</v>
      </c>
      <c r="F483" s="6" t="n">
        <v>70</v>
      </c>
      <c r="G483" t="inlineStr">
        <is>
          <t>Light</t>
        </is>
      </c>
      <c r="H483" s="6" t="n">
        <v>1</v>
      </c>
      <c r="I483" s="6" t="n">
        <v>1</v>
      </c>
      <c r="J483" s="6" t="n">
        <v>1</v>
      </c>
      <c r="P483">
        <f>MAX(P484)</f>
        <v/>
      </c>
      <c r="S483">
        <f>S484</f>
        <v/>
      </c>
      <c r="T483">
        <f>(E483/100000+F483/100+(P483/1000)*J483/5+S483/200)*200*I483*H483</f>
        <v/>
      </c>
      <c r="U483">
        <f>((E483*F483/25000)+((P483/1000)*J483*S483/2.5))*I483*H483</f>
        <v/>
      </c>
      <c r="V483">
        <f>(E483*F483*(P483/1000)*J483*S483*I483*H483)/12500000</f>
        <v/>
      </c>
      <c r="W483">
        <f>IFERROR((((E483/120000)+(F483/90)+(S483/2100)+((P483/10000)*J483))*1400/4+(((E483/120000)*(F483/90))+(((P483/10000)*J483)*(S483/2100)))*1400/2+((E483/120000)*(F483/90)*((P483/10000)*J483)*(S483/2100))*1400)*(H483/0.6735)/3,"")</f>
        <v/>
      </c>
      <c r="X483" s="6" t="n">
        <v>1200</v>
      </c>
      <c r="Y483">
        <f>IFERROR(W483-X483,"")</f>
        <v/>
      </c>
      <c r="Z483">
        <f>IFERROR(ABS(Y483)/MAX(X483,1),"")</f>
        <v/>
      </c>
      <c r="AA483">
        <f>IFERROR(ROUND(((3*X483-(((E483/120000)+(F483/90)+(S483/2100))*1400/4+((E483/120000)*(F483/90))*1400/2)*(H483/0.6735))/(1400/4+((S483/2100))*1400/2+((E483/120000)*(F483/90)*(S483/2100))*1400)*(H483/0.6735)*10000)/J483,-1),"")</f>
        <v/>
      </c>
    </row>
    <row r="484">
      <c r="B484" s="7" t="inlineStr">
        <is>
          <t xml:space="preserve">  ↳ CabalSpiderLaser</t>
        </is>
      </c>
      <c r="C484" s="7" t="inlineStr">
        <is>
          <t>Armament@PRIMARY</t>
        </is>
      </c>
      <c r="L484" s="6" t="n">
        <v>44000</v>
      </c>
      <c r="M484" s="6" t="n">
        <v>90</v>
      </c>
      <c r="N484" s="6" t="n">
        <v>1</v>
      </c>
      <c r="O484" s="6" t="n"/>
      <c r="P484" s="6" t="n">
        <v>6147</v>
      </c>
      <c r="Q484" s="6" t="n">
        <v>1.25</v>
      </c>
      <c r="R484">
        <f>M484+IF(MAX(N484-1,0)&gt;0,IF(ISBLANK(O484),5*MAX(N484-1,0),IF(ISNUMBER(O484),O484*MAX(N484-1,0),SUM(IFERROR(VALUE(TEXTSPLIT(O484,",")),0)))),0)</f>
        <v/>
      </c>
      <c r="S484">
        <f>IFERROR(L484*MAX(N484,1)/R484*IF(ISBLANK(K483),1,K483),0)</f>
        <v/>
      </c>
      <c r="AB484" s="7" t="inlineStr">
        <is>
          <t>^Warhead_Laser_Heavy</t>
        </is>
      </c>
    </row>
    <row r="485">
      <c r="A485" t="inlineStr">
        <is>
          <t>tiberiansun</t>
        </is>
      </c>
      <c r="B485" t="inlineStr">
        <is>
          <t>cabal_mantis</t>
        </is>
      </c>
      <c r="C485" t="inlineStr">
        <is>
          <t>Mantis</t>
        </is>
      </c>
      <c r="D485" s="6" t="inlineStr">
        <is>
          <t>FireSupport</t>
        </is>
      </c>
      <c r="E485" s="6" t="n">
        <v>35000</v>
      </c>
      <c r="F485" s="6" t="n">
        <v>120</v>
      </c>
      <c r="G485" t="inlineStr">
        <is>
          <t>Light</t>
        </is>
      </c>
      <c r="H485" s="6" t="n">
        <v>1</v>
      </c>
      <c r="I485" s="6" t="n">
        <v>1</v>
      </c>
      <c r="J485" s="6" t="n">
        <v>1</v>
      </c>
      <c r="P485">
        <f>MAX(P486)</f>
        <v/>
      </c>
      <c r="S485">
        <f>S486</f>
        <v/>
      </c>
      <c r="T485">
        <f>(E485/100000+F485/100+(P485/1000)*J485/5+S485/200)*200*I485*H485</f>
        <v/>
      </c>
      <c r="U485">
        <f>((E485*F485/25000)+((P485/1000)*J485*S485/2.5))*I485*H485</f>
        <v/>
      </c>
      <c r="V485">
        <f>(E485*F485*(P485/1000)*J485*S485*I485*H485)/12500000</f>
        <v/>
      </c>
      <c r="W485">
        <f>IFERROR((((E485/120000)+(F485/90)+(S485/2100)+((P485/10000)*J485))*1400/4+(((E485/120000)*(F485/90))+(((P485/10000)*J485)*(S485/2100)))*1400/2+((E485/120000)*(F485/90)*((P485/10000)*J485)*(S485/2100))*1400)*(H485/0.6735)/3,"")</f>
        <v/>
      </c>
      <c r="X485" s="6" t="n">
        <v>500</v>
      </c>
      <c r="Y485">
        <f>IFERROR(W485-X485,"")</f>
        <v/>
      </c>
      <c r="Z485">
        <f>IFERROR(ABS(Y485)/MAX(X485,1),"")</f>
        <v/>
      </c>
      <c r="AA485">
        <f>IFERROR(ROUND(((3*X485-(((E485/120000)+(F485/90)+(S485/2100))*1400/4+((E485/120000)*(F485/90))*1400/2)*(H485/0.6735))/(1400/4+((S485/2100))*1400/2+((E485/120000)*(F485/90)*(S485/2100))*1400)*(H485/0.6735)*10000)/J485,-1),"")</f>
        <v/>
      </c>
    </row>
    <row r="486">
      <c r="B486" s="7" t="inlineStr">
        <is>
          <t xml:space="preserve">  ↳ CabalMantisGun</t>
        </is>
      </c>
      <c r="C486" s="7" t="inlineStr">
        <is>
          <t>Armament@PRIMARY</t>
        </is>
      </c>
      <c r="L486" s="6" t="n">
        <v>12000</v>
      </c>
      <c r="M486" s="6" t="n">
        <v>40</v>
      </c>
      <c r="N486" s="6" t="n">
        <v>1</v>
      </c>
      <c r="O486" s="6" t="n"/>
      <c r="P486" s="6" t="n">
        <v>7082</v>
      </c>
      <c r="Q486" s="6" t="n">
        <v>1</v>
      </c>
      <c r="R486">
        <f>M486+IF(MAX(N486-1,0)&gt;0,IF(ISBLANK(O486),5*MAX(N486-1,0),IF(ISNUMBER(O486),O486*MAX(N486-1,0),SUM(IFERROR(VALUE(TEXTSPLIT(O486,",")),0)))),0)</f>
        <v/>
      </c>
      <c r="S486">
        <f>IFERROR(L486*MAX(N486,1)/R486*IF(ISBLANK(K485),1,K485),0)</f>
        <v/>
      </c>
      <c r="AB486" s="7" t="inlineStr">
        <is>
          <t>^Warhead_Bullet_Light, ^Warhead_Laser_Heavy</t>
        </is>
      </c>
    </row>
    <row r="487">
      <c r="A487" t="inlineStr">
        <is>
          <t>tiberiansun</t>
        </is>
      </c>
      <c r="B487" t="inlineStr">
        <is>
          <t>cabal_spidercnc4</t>
        </is>
      </c>
      <c r="C487" t="inlineStr">
        <is>
          <t>Spider CNC4</t>
        </is>
      </c>
      <c r="D487" s="6" t="inlineStr">
        <is>
          <t>FireSupport</t>
        </is>
      </c>
      <c r="E487" s="6" t="n">
        <v>40000</v>
      </c>
      <c r="F487" s="6" t="n">
        <v>70</v>
      </c>
      <c r="G487" t="inlineStr">
        <is>
          <t>Light</t>
        </is>
      </c>
      <c r="H487" s="6" t="n">
        <v>1</v>
      </c>
      <c r="I487" s="6" t="n">
        <v>1</v>
      </c>
      <c r="J487" s="6" t="n">
        <v>1</v>
      </c>
      <c r="P487">
        <f>MAX(P488)</f>
        <v/>
      </c>
      <c r="S487">
        <f>S488</f>
        <v/>
      </c>
      <c r="T487">
        <f>(E487/100000+F487/100+(P487/1000)*J487/5+S487/200)*200*I487*H487</f>
        <v/>
      </c>
      <c r="U487">
        <f>((E487*F487/25000)+((P487/1000)*J487*S487/2.5))*I487*H487</f>
        <v/>
      </c>
      <c r="V487">
        <f>(E487*F487*(P487/1000)*J487*S487*I487*H487)/12500000</f>
        <v/>
      </c>
      <c r="W487">
        <f>IFERROR((((E487/120000)+(F487/90)+(S487/2100)+((P487/10000)*J487))*1400/4+(((E487/120000)*(F487/90))+(((P487/10000)*J487)*(S487/2100)))*1400/2+((E487/120000)*(F487/90)*((P487/10000)*J487)*(S487/2100))*1400)*(H487/0.6735)/3,"")</f>
        <v/>
      </c>
      <c r="X487" s="6" t="n">
        <v>1500</v>
      </c>
      <c r="Y487">
        <f>IFERROR(W487-X487,"")</f>
        <v/>
      </c>
      <c r="Z487">
        <f>IFERROR(ABS(Y487)/MAX(X487,1),"")</f>
        <v/>
      </c>
      <c r="AA487">
        <f>IFERROR(ROUND(((3*X487-(((E487/120000)+(F487/90)+(S487/2100))*1400/4+((E487/120000)*(F487/90))*1400/2)*(H487/0.6735))/(1400/4+((S487/2100))*1400/2+((E487/120000)*(F487/90)*(S487/2100))*1400)*(H487/0.6735)*10000)/J487,-1),"")</f>
        <v/>
      </c>
    </row>
    <row r="488">
      <c r="B488" s="7" t="inlineStr">
        <is>
          <t xml:space="preserve">  ↳ CabalSpiderCnc4Laser</t>
        </is>
      </c>
      <c r="C488" s="7" t="inlineStr">
        <is>
          <t>Armament@PRIMARY</t>
        </is>
      </c>
      <c r="L488" s="6" t="n">
        <v>44000</v>
      </c>
      <c r="M488" s="6" t="n">
        <v>80</v>
      </c>
      <c r="N488" s="6" t="n">
        <v>1</v>
      </c>
      <c r="O488" s="6" t="n"/>
      <c r="P488" s="6" t="n">
        <v>7000</v>
      </c>
      <c r="Q488" s="6" t="n">
        <v>1.25</v>
      </c>
      <c r="R488">
        <f>M488+IF(MAX(N488-1,0)&gt;0,IF(ISBLANK(O488),5*MAX(N488-1,0),IF(ISNUMBER(O488),O488*MAX(N488-1,0),SUM(IFERROR(VALUE(TEXTSPLIT(O488,",")),0)))),0)</f>
        <v/>
      </c>
      <c r="S488">
        <f>IFERROR(L488*MAX(N488,1)/R488*IF(ISBLANK(K487),1,K487),0)</f>
        <v/>
      </c>
      <c r="AB488" s="7" t="inlineStr">
        <is>
          <t>^Warhead_Laser_Heavy</t>
        </is>
      </c>
    </row>
    <row r="489">
      <c r="A489" t="inlineStr">
        <is>
          <t>tiberiansun</t>
        </is>
      </c>
      <c r="B489" t="inlineStr">
        <is>
          <t>ts_gdi_wolverine</t>
        </is>
      </c>
      <c r="C489" t="inlineStr">
        <is>
          <t>Wolverine</t>
        </is>
      </c>
      <c r="D489" s="6" t="inlineStr">
        <is>
          <t>FireSupport</t>
        </is>
      </c>
      <c r="E489" s="6" t="n">
        <v>30000</v>
      </c>
      <c r="F489" s="6" t="n">
        <v>80</v>
      </c>
      <c r="G489" t="inlineStr">
        <is>
          <t>Light</t>
        </is>
      </c>
      <c r="H489" s="6" t="n">
        <v>1</v>
      </c>
      <c r="I489" s="6" t="n">
        <v>1</v>
      </c>
      <c r="J489" s="6" t="n">
        <v>1</v>
      </c>
      <c r="P489">
        <f>MAX(P490,P491)</f>
        <v/>
      </c>
      <c r="S489">
        <f>S490+S491</f>
        <v/>
      </c>
      <c r="T489">
        <f>(E489/100000+F489/100+(P489/1000)*J489/5+S489/200)*200*I489*H489</f>
        <v/>
      </c>
      <c r="U489">
        <f>((E489*F489/25000)+((P489/1000)*J489*S489/2.5))*I489*H489</f>
        <v/>
      </c>
      <c r="V489">
        <f>(E489*F489*(P489/1000)*J489*S489*I489*H489)/12500000</f>
        <v/>
      </c>
      <c r="W489">
        <f>IFERROR((((E489/120000)+(F489/90)+(S489/2100)+((P489/10000)*J489))*1400/4+(((E489/120000)*(F489/90))+(((P489/10000)*J489)*(S489/2100)))*1400/2+((E489/120000)*(F489/90)*((P489/10000)*J489)*(S489/2100))*1400)*(H489/0.6735)/3,"")</f>
        <v/>
      </c>
      <c r="X489" s="6" t="n">
        <v>550</v>
      </c>
      <c r="Y489">
        <f>IFERROR(W489-X489,"")</f>
        <v/>
      </c>
      <c r="Z489">
        <f>IFERROR(ABS(Y489)/MAX(X489,1),"")</f>
        <v/>
      </c>
      <c r="AA489">
        <f>IFERROR(ROUND(((3*X489-(((E489/120000)+(F489/90)+(S489/2100))*1400/4+((E489/120000)*(F489/90))*1400/2)*(H489/0.6735))/(1400/4+((S489/2100))*1400/2+((E489/120000)*(F489/90)*(S489/2100))*1400)*(H489/0.6735)*10000)/J489,-1),"")</f>
        <v/>
      </c>
    </row>
    <row r="490">
      <c r="B490" s="7" t="inlineStr">
        <is>
          <t xml:space="preserve">  ↳ TSAssaultCannon</t>
        </is>
      </c>
      <c r="C490" s="7" t="inlineStr">
        <is>
          <t>Armament@PRIMARY</t>
        </is>
      </c>
      <c r="L490" s="6" t="n">
        <v>4000</v>
      </c>
      <c r="M490" s="6" t="n">
        <v>33</v>
      </c>
      <c r="N490" s="6" t="n">
        <v>2</v>
      </c>
      <c r="O490" s="6" t="n">
        <v>2</v>
      </c>
      <c r="P490" s="6" t="n">
        <v>6305</v>
      </c>
      <c r="Q490" s="6" t="n">
        <v>1</v>
      </c>
      <c r="R490">
        <f>M490+IF(MAX(N490-1,0)&gt;0,IF(ISBLANK(O490),5*MAX(N490-1,0),IF(ISNUMBER(O490),O490*MAX(N490-1,0),SUM(IFERROR(VALUE(TEXTSPLIT(O490,",")),0)))),0)</f>
        <v/>
      </c>
      <c r="S490">
        <f>IFERROR(L490*MAX(N490,1)/R490*IF(ISBLANK(K489),1,K489),0)</f>
        <v/>
      </c>
      <c r="AB490" s="7" t="inlineStr">
        <is>
          <t>^Warhead_Flak_Medium, ^Warhead_Bullet_Medium</t>
        </is>
      </c>
    </row>
    <row r="491">
      <c r="B491" s="7" t="inlineStr">
        <is>
          <t xml:space="preserve">  ↳ TSAssaultCannonSonic</t>
        </is>
      </c>
      <c r="C491" s="7" t="inlineStr">
        <is>
          <t>Armament@Upgrade</t>
        </is>
      </c>
      <c r="L491" s="6" t="n">
        <v>8000</v>
      </c>
      <c r="M491" s="6" t="n">
        <v>45</v>
      </c>
      <c r="N491" s="6" t="n">
        <v>2</v>
      </c>
      <c r="O491" s="6" t="n">
        <v>2</v>
      </c>
      <c r="P491" s="6" t="n">
        <v>6305</v>
      </c>
      <c r="Q491" s="6" t="n">
        <v>1</v>
      </c>
      <c r="R491">
        <f>M491+IF(MAX(N491-1,0)&gt;0,IF(ISBLANK(O491),5*MAX(N491-1,0),IF(ISNUMBER(O491),O491*MAX(N491-1,0),SUM(IFERROR(VALUE(TEXTSPLIT(O491,",")),0)))),0)</f>
        <v/>
      </c>
      <c r="S491">
        <f>IFERROR(L491*MAX(N491,1)/R491*IF(ISBLANK(K489),1,K489),0)</f>
        <v/>
      </c>
      <c r="AB491" s="7" t="inlineStr">
        <is>
          <t>^Warhead_Flak_Medium, ^Warhead_Sonic_Medium</t>
        </is>
      </c>
    </row>
    <row r="492">
      <c r="A492" t="inlineStr">
        <is>
          <t>tiberiansun</t>
        </is>
      </c>
      <c r="B492" t="inlineStr">
        <is>
          <t>ts_gdi_wolverinemkii</t>
        </is>
      </c>
      <c r="C492" t="inlineStr">
        <is>
          <t>Wolverine MK II</t>
        </is>
      </c>
      <c r="D492" s="6" t="inlineStr">
        <is>
          <t>FireSupport</t>
        </is>
      </c>
      <c r="E492" s="6" t="n">
        <v>50000</v>
      </c>
      <c r="F492" s="6" t="n">
        <v>80</v>
      </c>
      <c r="G492" t="inlineStr">
        <is>
          <t>Light</t>
        </is>
      </c>
      <c r="H492" s="6" t="n">
        <v>1</v>
      </c>
      <c r="I492" s="6" t="n">
        <v>1</v>
      </c>
      <c r="J492" s="6" t="n">
        <v>1</v>
      </c>
      <c r="P492">
        <f>MAX(P493,P494)</f>
        <v/>
      </c>
      <c r="S492">
        <f>S493+S494</f>
        <v/>
      </c>
      <c r="T492">
        <f>(E492/100000+F492/100+(P492/1000)*J492/5+S492/200)*200*I492*H492</f>
        <v/>
      </c>
      <c r="U492">
        <f>((E492*F492/25000)+((P492/1000)*J492*S492/2.5))*I492*H492</f>
        <v/>
      </c>
      <c r="V492">
        <f>(E492*F492*(P492/1000)*J492*S492*I492*H492)/12500000</f>
        <v/>
      </c>
      <c r="W492">
        <f>IFERROR((((E492/120000)+(F492/90)+(S492/2100)+((P492/10000)*J492))*1400/4+(((E492/120000)*(F492/90))+(((P492/10000)*J492)*(S492/2100)))*1400/2+((E492/120000)*(F492/90)*((P492/10000)*J492)*(S492/2100))*1400)*(H492/0.6735)/3,"")</f>
        <v/>
      </c>
      <c r="X492" s="6" t="n">
        <v>950</v>
      </c>
      <c r="Y492">
        <f>IFERROR(W492-X492,"")</f>
        <v/>
      </c>
      <c r="Z492">
        <f>IFERROR(ABS(Y492)/MAX(X492,1),"")</f>
        <v/>
      </c>
      <c r="AA492">
        <f>IFERROR(ROUND(((3*X492-(((E492/120000)+(F492/90)+(S492/2100))*1400/4+((E492/120000)*(F492/90))*1400/2)*(H492/0.6735))/(1400/4+((S492/2100))*1400/2+((E492/120000)*(F492/90)*(S492/2100))*1400)*(H492/0.6735)*10000)/J492,-1),"")</f>
        <v/>
      </c>
    </row>
    <row r="493">
      <c r="B493" s="7" t="inlineStr">
        <is>
          <t xml:space="preserve">  ↳ TSAssaultCannonTal</t>
        </is>
      </c>
      <c r="C493" s="7" t="inlineStr">
        <is>
          <t>Armament@PRIMARY</t>
        </is>
      </c>
      <c r="L493" s="6" t="n">
        <v>8000</v>
      </c>
      <c r="M493" s="6" t="n">
        <v>40</v>
      </c>
      <c r="N493" s="6" t="n">
        <v>2</v>
      </c>
      <c r="O493" s="6" t="n">
        <v>2</v>
      </c>
      <c r="P493" s="6" t="n">
        <v>6520</v>
      </c>
      <c r="Q493" s="6" t="n">
        <v>1</v>
      </c>
      <c r="R493">
        <f>M493+IF(MAX(N493-1,0)&gt;0,IF(ISBLANK(O493),5*MAX(N493-1,0),IF(ISNUMBER(O493),O493*MAX(N493-1,0),SUM(IFERROR(VALUE(TEXTSPLIT(O493,",")),0)))),0)</f>
        <v/>
      </c>
      <c r="S493">
        <f>IFERROR(L493*MAX(N493,1)/R493*IF(ISBLANK(K492),1,K492),0)</f>
        <v/>
      </c>
      <c r="AB493" s="7" t="inlineStr">
        <is>
          <t>^Warhead_Bullet_Medium</t>
        </is>
      </c>
    </row>
    <row r="494">
      <c r="B494" s="7" t="inlineStr">
        <is>
          <t xml:space="preserve">  ↳ TSAssaultCannonTalSonic</t>
        </is>
      </c>
      <c r="C494" s="7" t="inlineStr">
        <is>
          <t>Armament@Upgrade</t>
        </is>
      </c>
      <c r="L494" s="6" t="n">
        <v>16000</v>
      </c>
      <c r="M494" s="6" t="n">
        <v>45</v>
      </c>
      <c r="N494" s="6" t="n">
        <v>2</v>
      </c>
      <c r="O494" s="6" t="n">
        <v>2</v>
      </c>
      <c r="P494" s="6" t="n">
        <v>5120</v>
      </c>
      <c r="Q494" s="6" t="n">
        <v>1</v>
      </c>
      <c r="R494">
        <f>M494+IF(MAX(N494-1,0)&gt;0,IF(ISBLANK(O494),5*MAX(N494-1,0),IF(ISNUMBER(O494),O494*MAX(N494-1,0),SUM(IFERROR(VALUE(TEXTSPLIT(O494,",")),0)))),0)</f>
        <v/>
      </c>
      <c r="S494">
        <f>IFERROR(L494*MAX(N494,1)/R494*IF(ISBLANK(K492),1,K492),0)</f>
        <v/>
      </c>
      <c r="AB494" s="7" t="inlineStr">
        <is>
          <t>^Warhead_Bullet_Medium, ^Warhead_Sonic_Medium</t>
        </is>
      </c>
    </row>
    <row r="495">
      <c r="A495" t="inlineStr">
        <is>
          <t>tiberiansun</t>
        </is>
      </c>
      <c r="B495" t="inlineStr">
        <is>
          <t>forgotten_tankkiller</t>
        </is>
      </c>
      <c r="C495" t="inlineStr">
        <is>
          <t>actor_forgotten_tankkiller.name</t>
        </is>
      </c>
      <c r="D495" s="6" t="inlineStr">
        <is>
          <t>FireSupport</t>
        </is>
      </c>
      <c r="E495" s="6" t="n">
        <v>85000</v>
      </c>
      <c r="F495" s="6" t="n">
        <v>65</v>
      </c>
      <c r="G495" t="inlineStr">
        <is>
          <t>Light</t>
        </is>
      </c>
      <c r="H495" s="6" t="n">
        <v>1</v>
      </c>
      <c r="I495" s="6" t="n">
        <v>1</v>
      </c>
      <c r="J495" s="6" t="n">
        <v>1</v>
      </c>
      <c r="P495">
        <f>MAX(P496,P497)</f>
        <v/>
      </c>
      <c r="S495">
        <f>S496+S497</f>
        <v/>
      </c>
      <c r="T495">
        <f>(E495/100000+F495/100+(P495/1000)*J495/5+S495/200)*200*I495*H495</f>
        <v/>
      </c>
      <c r="U495">
        <f>((E495*F495/25000)+((P495/1000)*J495*S495/2.5))*I495*H495</f>
        <v/>
      </c>
      <c r="V495">
        <f>(E495*F495*(P495/1000)*J495*S495*I495*H495)/12500000</f>
        <v/>
      </c>
      <c r="W495">
        <f>IFERROR((((E495/120000)+(F495/90)+(S495/2100)+((P495/10000)*J495))*1400/4+(((E495/120000)*(F495/90))+(((P495/10000)*J495)*(S495/2100)))*1400/2+((E495/120000)*(F495/90)*((P495/10000)*J495)*(S495/2100))*1400)*(H495/0.6735)/3,"")</f>
        <v/>
      </c>
      <c r="X495" s="6" t="n">
        <v>900</v>
      </c>
      <c r="Y495">
        <f>IFERROR(W495-X495,"")</f>
        <v/>
      </c>
      <c r="Z495">
        <f>IFERROR(ABS(Y495)/MAX(X495,1),"")</f>
        <v/>
      </c>
      <c r="AA495">
        <f>IFERROR(ROUND(((3*X495-(((E495/120000)+(F495/90)+(S495/2100))*1400/4+((E495/120000)*(F495/90))*1400/2)*(H495/0.6735))/(1400/4+((S495/2100))*1400/2+((E495/120000)*(F495/90)*(S495/2100))*1400)*(H495/0.6735)*10000)/J495,-1),"")</f>
        <v/>
      </c>
    </row>
    <row r="496">
      <c r="B496" s="7" t="inlineStr">
        <is>
          <t xml:space="preserve">  ↳ TSHighVelocity</t>
        </is>
      </c>
      <c r="C496" s="7" t="inlineStr">
        <is>
          <t>Armament@PRIMARY</t>
        </is>
      </c>
      <c r="L496" s="6" t="n">
        <v>30000</v>
      </c>
      <c r="M496" s="6" t="n">
        <v>90</v>
      </c>
      <c r="N496" s="6" t="n">
        <v>1</v>
      </c>
      <c r="O496" s="6" t="n"/>
      <c r="P496" s="6" t="n">
        <v>7701</v>
      </c>
      <c r="Q496" s="6" t="n">
        <v>0.75</v>
      </c>
      <c r="R496">
        <f>M496+IF(MAX(N496-1,0)&gt;0,IF(ISBLANK(O496),5*MAX(N496-1,0),IF(ISNUMBER(O496),O496*MAX(N496-1,0),SUM(IFERROR(VALUE(TEXTSPLIT(O496,",")),0)))),0)</f>
        <v/>
      </c>
      <c r="S496">
        <f>IFERROR(L496*MAX(N496,1)/R496*IF(ISBLANK(K495),1,K495),0)</f>
        <v/>
      </c>
      <c r="AB496" s="7" t="inlineStr">
        <is>
          <t>^Warhead_CannonAP_Light</t>
        </is>
      </c>
    </row>
    <row r="497">
      <c r="B497" s="7" t="inlineStr">
        <is>
          <t xml:space="preserve">  ↳ TSHighVelocityChem</t>
        </is>
      </c>
      <c r="C497" s="7" t="inlineStr">
        <is>
          <t>Armament@UPGRADE</t>
        </is>
      </c>
      <c r="L497" s="6" t="n">
        <v>45000</v>
      </c>
      <c r="M497" s="6" t="n">
        <v>90</v>
      </c>
      <c r="N497" s="6" t="n">
        <v>1</v>
      </c>
      <c r="O497" s="6" t="n"/>
      <c r="P497" s="6" t="n">
        <v>7701</v>
      </c>
      <c r="Q497" s="6" t="n">
        <v>1</v>
      </c>
      <c r="R497">
        <f>M497+IF(MAX(N497-1,0)&gt;0,IF(ISBLANK(O497),5*MAX(N497-1,0),IF(ISNUMBER(O497),O497*MAX(N497-1,0),SUM(IFERROR(VALUE(TEXTSPLIT(O497,",")),0)))),0)</f>
        <v/>
      </c>
      <c r="S497">
        <f>IFERROR(L497*MAX(N497,1)/R497*IF(ISBLANK(K495),1,K495),0)</f>
        <v/>
      </c>
      <c r="AB497" s="7" t="inlineStr">
        <is>
          <t>^TSCannonEffect, ^LightChemicalWeapon, ^TankDestroyerCannon</t>
        </is>
      </c>
    </row>
    <row r="498">
      <c r="A498" t="inlineStr">
        <is>
          <t>tiberiansun</t>
        </is>
      </c>
      <c r="B498" t="inlineStr">
        <is>
          <t>forgotten_warriortank</t>
        </is>
      </c>
      <c r="C498" t="inlineStr">
        <is>
          <t>actor_forgotten_warriortank.name</t>
        </is>
      </c>
      <c r="D498" s="6" t="inlineStr">
        <is>
          <t>FireSupport</t>
        </is>
      </c>
      <c r="E498" s="6" t="n">
        <v>100000</v>
      </c>
      <c r="F498" s="6" t="n">
        <v>75</v>
      </c>
      <c r="G498" t="inlineStr">
        <is>
          <t>Light</t>
        </is>
      </c>
      <c r="H498" s="6" t="n">
        <v>0.7269</v>
      </c>
      <c r="I498" s="6" t="n">
        <v>1</v>
      </c>
      <c r="J498" s="6" t="n">
        <v>1</v>
      </c>
      <c r="P498">
        <f>MAX(P499,P500)</f>
        <v/>
      </c>
      <c r="S498">
        <f>S499+S500</f>
        <v/>
      </c>
      <c r="T498">
        <f>(E498/100000+F498/100+(P498/1000)*J498/5+S498/200)*200*I498*H498</f>
        <v/>
      </c>
      <c r="U498">
        <f>((E498*F498/25000)+((P498/1000)*J498*S498/2.5))*I498*H498</f>
        <v/>
      </c>
      <c r="V498">
        <f>(E498*F498*(P498/1000)*J498*S498*I498*H498)/12500000</f>
        <v/>
      </c>
      <c r="W498">
        <f>IFERROR((((E498/120000)+(F498/90)+(S498/2100)+((P498/10000)*J498))*1400/4+(((E498/120000)*(F498/90))+(((P498/10000)*J498)*(S498/2100)))*1400/2+((E498/120000)*(F498/90)*((P498/10000)*J498)*(S498/2100))*1400)*(H498/0.6735)/3,"")</f>
        <v/>
      </c>
      <c r="X498" s="6" t="n">
        <v>2000</v>
      </c>
      <c r="Y498">
        <f>IFERROR(W498-X498,"")</f>
        <v/>
      </c>
      <c r="Z498">
        <f>IFERROR(ABS(Y498)/MAX(X498,1),"")</f>
        <v/>
      </c>
      <c r="AA498">
        <f>IFERROR(ROUND(((3*X498-(((E498/120000)+(F498/90)+(S498/2100))*1400/4+((E498/120000)*(F498/90))*1400/2)*(H498/0.6735))/(1400/4+((S498/2100))*1400/2+((E498/120000)*(F498/90)*(S498/2100))*1400)*(H498/0.6735)*10000)/J498,-1),"")</f>
        <v/>
      </c>
    </row>
    <row r="499">
      <c r="B499" s="7" t="inlineStr">
        <is>
          <t xml:space="preserve">  ↳ TSHighVelocity2</t>
        </is>
      </c>
      <c r="C499" s="7" t="inlineStr">
        <is>
          <t>Armament@PRIMARY</t>
        </is>
      </c>
      <c r="L499" s="6" t="n">
        <v>40000</v>
      </c>
      <c r="M499" s="6" t="n">
        <v>55</v>
      </c>
      <c r="N499" s="6" t="n">
        <v>1</v>
      </c>
      <c r="O499" s="6" t="n"/>
      <c r="P499" s="6" t="n">
        <v>8207</v>
      </c>
      <c r="Q499" s="6" t="n">
        <v>0.75</v>
      </c>
      <c r="R499">
        <f>M499+IF(MAX(N499-1,0)&gt;0,IF(ISBLANK(O499),5*MAX(N499-1,0),IF(ISNUMBER(O499),O499*MAX(N499-1,0),SUM(IFERROR(VALUE(TEXTSPLIT(O499,",")),0)))),0)</f>
        <v/>
      </c>
      <c r="S499">
        <f>IFERROR(L499*MAX(N499,1)/R499*IF(ISBLANK(K498),1,K498),0)</f>
        <v/>
      </c>
      <c r="AB499" s="7" t="inlineStr">
        <is>
          <t>^Warhead_CannonAP_Light</t>
        </is>
      </c>
    </row>
    <row r="500">
      <c r="B500" s="7" t="inlineStr">
        <is>
          <t xml:space="preserve">  ↳ TSHighVelocity2Chem</t>
        </is>
      </c>
      <c r="C500" s="7" t="inlineStr">
        <is>
          <t>Armament@UPGRADE</t>
        </is>
      </c>
      <c r="L500" s="6" t="n">
        <v>60000</v>
      </c>
      <c r="M500" s="6" t="n">
        <v>55</v>
      </c>
      <c r="N500" s="6" t="n">
        <v>1</v>
      </c>
      <c r="O500" s="6" t="n"/>
      <c r="P500" s="6" t="n">
        <v>8207</v>
      </c>
      <c r="Q500" s="6" t="n">
        <v>1</v>
      </c>
      <c r="R500">
        <f>M500+IF(MAX(N500-1,0)&gt;0,IF(ISBLANK(O500),5*MAX(N500-1,0),IF(ISNUMBER(O500),O500*MAX(N500-1,0),SUM(IFERROR(VALUE(TEXTSPLIT(O500,",")),0)))),0)</f>
        <v/>
      </c>
      <c r="S500">
        <f>IFERROR(L500*MAX(N500,1)/R500*IF(ISBLANK(K498),1,K498),0)</f>
        <v/>
      </c>
      <c r="AB500" s="7" t="inlineStr">
        <is>
          <t>^TSCannonEffect, ^LightChemicalWeapon, ^TankDestroyerCannon</t>
        </is>
      </c>
    </row>
    <row r="501">
      <c r="A501" t="inlineStr">
        <is>
          <t>redalert2</t>
        </is>
      </c>
      <c r="B501" t="inlineStr">
        <is>
          <t>ra2_allies_prismtank</t>
        </is>
      </c>
      <c r="C501" t="inlineStr">
        <is>
          <t>Prism Tank</t>
        </is>
      </c>
      <c r="D501" s="6" t="inlineStr">
        <is>
          <t>FireSupport</t>
        </is>
      </c>
      <c r="E501" s="6" t="n">
        <v>60000</v>
      </c>
      <c r="F501" s="6" t="n">
        <v>60</v>
      </c>
      <c r="G501" t="inlineStr">
        <is>
          <t>Light</t>
        </is>
      </c>
      <c r="H501" s="6" t="n">
        <v>1</v>
      </c>
      <c r="I501" s="6" t="n">
        <v>1</v>
      </c>
      <c r="J501" s="6" t="n">
        <v>1.25</v>
      </c>
      <c r="P501">
        <f>MAX(P504,P505)</f>
        <v/>
      </c>
      <c r="S501">
        <f>S504+S505</f>
        <v/>
      </c>
      <c r="T501">
        <f>(E501/100000+F501/100+(P501/1000)*J501/5+S501/200)*200*I501*H501</f>
        <v/>
      </c>
      <c r="U501">
        <f>((E501*F501/25000)+((P501/1000)*J501*S501/2.5))*I501*H501</f>
        <v/>
      </c>
      <c r="V501">
        <f>(E501*F501*(P501/1000)*J501*S501*I501*H501)/12500000</f>
        <v/>
      </c>
      <c r="W501">
        <f>IFERROR((((E501/120000)+(F501/90)+(S501/2100)+((P501/10000)*J501))*1400/4+(((E501/120000)*(F501/90))+(((P501/10000)*J501)*(S501/2100)))*1400/2+((E501/120000)*(F501/90)*((P501/10000)*J501)*(S501/2100))*1400)*(H501/0.6735)/3,"")</f>
        <v/>
      </c>
      <c r="X501" s="6" t="n">
        <v>2000</v>
      </c>
      <c r="Y501">
        <f>IFERROR(W501-X501,"")</f>
        <v/>
      </c>
      <c r="Z501">
        <f>IFERROR(ABS(Y501)/MAX(X501,1),"")</f>
        <v/>
      </c>
      <c r="AA501">
        <f>IFERROR(ROUND(((3*X501-(((E501/120000)+(F501/90)+(S501/2100))*1400/4+((E501/120000)*(F501/90))*1400/2)*(H501/0.6735))/(1400/4+((S501/2100))*1400/2+((E501/120000)*(F501/90)*(S501/2100))*1400)*(H501/0.6735)*10000)/J501,-1),"")</f>
        <v/>
      </c>
    </row>
    <row r="502">
      <c r="B502" s="7" t="inlineStr">
        <is>
          <t xml:space="preserve">  ↳ PrismTankCharge</t>
        </is>
      </c>
      <c r="C502" s="7" t="inlineStr">
        <is>
          <t>Armament@Charge</t>
        </is>
      </c>
      <c r="M502" s="6" t="n">
        <v>100</v>
      </c>
      <c r="N502" s="6" t="n">
        <v>1</v>
      </c>
      <c r="O502" s="6" t="n"/>
      <c r="P502" s="6" t="n">
        <v>10000</v>
      </c>
      <c r="Q502" s="6" t="n">
        <v>1</v>
      </c>
      <c r="R502">
        <f>M502+IF(MAX(N502-1,0)&gt;0,IF(ISBLANK(O502),5*MAX(N502-1,0),IF(ISNUMBER(O502),O502*MAX(N502-1,0),SUM(IFERROR(VALUE(TEXTSPLIT(O502,",")),0)))),0)</f>
        <v/>
      </c>
      <c r="S502">
        <f>IFERROR(L502*MAX(N502,1)/R502*IF(ISBLANK(K501),1,K501),0)</f>
        <v/>
      </c>
      <c r="AB502" s="7" t="inlineStr">
        <is>
          <t>PrismCharge</t>
        </is>
      </c>
    </row>
    <row r="503">
      <c r="B503" s="7" t="inlineStr">
        <is>
          <t xml:space="preserve">  ↳ PrismTankCharge_elite</t>
        </is>
      </c>
      <c r="C503" s="7" t="inlineStr">
        <is>
          <t>Armament@EliteCharge</t>
        </is>
      </c>
      <c r="M503" s="6" t="n">
        <v>100</v>
      </c>
      <c r="N503" s="6" t="n">
        <v>1</v>
      </c>
      <c r="O503" s="6" t="n"/>
      <c r="P503" s="6" t="n">
        <v>11111</v>
      </c>
      <c r="Q503" s="6" t="n">
        <v>1</v>
      </c>
      <c r="R503">
        <f>M503+IF(MAX(N503-1,0)&gt;0,IF(ISBLANK(O503),5*MAX(N503-1,0),IF(ISNUMBER(O503),O503*MAX(N503-1,0),SUM(IFERROR(VALUE(TEXTSPLIT(O503,",")),0)))),0)</f>
        <v/>
      </c>
      <c r="S503">
        <f>IFERROR(L503*MAX(N503,1)/R503*IF(ISBLANK(K501),1,K501),0)</f>
        <v/>
      </c>
      <c r="AB503" s="7" t="inlineStr">
        <is>
          <t>PrismTankCharge</t>
        </is>
      </c>
    </row>
    <row r="504">
      <c r="B504" s="7" t="inlineStr">
        <is>
          <t xml:space="preserve">  ↳ RA2Comet</t>
        </is>
      </c>
      <c r="C504" s="7" t="inlineStr">
        <is>
          <t>Armament</t>
        </is>
      </c>
      <c r="L504" s="6" t="n">
        <v>60000</v>
      </c>
      <c r="M504" s="6" t="n">
        <v>125</v>
      </c>
      <c r="N504" s="6" t="n">
        <v>1</v>
      </c>
      <c r="O504" s="6" t="n"/>
      <c r="P504" s="6" t="n">
        <v>11111</v>
      </c>
      <c r="Q504" s="6" t="n">
        <v>1</v>
      </c>
      <c r="R504">
        <f>M504+IF(MAX(N504-1,0)&gt;0,IF(ISBLANK(O504),5*MAX(N504-1,0),IF(ISNUMBER(O504),O504*MAX(N504-1,0),SUM(IFERROR(VALUE(TEXTSPLIT(O504,",")),0)))),0)</f>
        <v/>
      </c>
      <c r="S504">
        <f>IFERROR(L504*MAX(N504,1)/R504*IF(ISBLANK(K501),1,K501),0)</f>
        <v/>
      </c>
      <c r="AB504" s="7" t="inlineStr">
        <is>
          <t>^Warhead_Demolition_Light, ^Warhead_Flame_Medium, ^Warhead_Laser_Heavy</t>
        </is>
      </c>
    </row>
    <row r="505">
      <c r="B505" s="7" t="inlineStr">
        <is>
          <t xml:space="preserve">  ↳ RA2Comet_elite</t>
        </is>
      </c>
      <c r="C505" s="7" t="inlineStr">
        <is>
          <t>Armament@elite</t>
        </is>
      </c>
      <c r="L505" s="6" t="n">
        <v>60000</v>
      </c>
      <c r="M505" s="6" t="n">
        <v>125</v>
      </c>
      <c r="N505" s="6" t="n">
        <v>1</v>
      </c>
      <c r="O505" s="6" t="n"/>
      <c r="P505" s="6" t="n">
        <v>12345</v>
      </c>
      <c r="Q505" s="6" t="n">
        <v>1</v>
      </c>
      <c r="R505">
        <f>M505+IF(MAX(N505-1,0)&gt;0,IF(ISBLANK(O505),5*MAX(N505-1,0),IF(ISNUMBER(O505),O505*MAX(N505-1,0),SUM(IFERROR(VALUE(TEXTSPLIT(O505,",")),0)))),0)</f>
        <v/>
      </c>
      <c r="S505">
        <f>IFERROR(L505*MAX(N505,1)/R505*IF(ISBLANK(K501),1,K501),0)</f>
        <v/>
      </c>
      <c r="AB505" s="7" t="inlineStr">
        <is>
          <t>^Warhead_Demolition_Light, ^Warhead_Flame_Medium, ^Warhead_Laser_Heavy</t>
        </is>
      </c>
    </row>
    <row r="506">
      <c r="A506" t="inlineStr">
        <is>
          <t>redalert2</t>
        </is>
      </c>
      <c r="B506" t="inlineStr">
        <is>
          <t>ra2_soviets_teslatank</t>
        </is>
      </c>
      <c r="C506" t="inlineStr">
        <is>
          <t>Tesla Tank</t>
        </is>
      </c>
      <c r="D506" s="6" t="inlineStr">
        <is>
          <t>FireSupport</t>
        </is>
      </c>
      <c r="E506" s="6" t="n">
        <v>75000</v>
      </c>
      <c r="F506" s="6" t="n">
        <v>75</v>
      </c>
      <c r="G506" t="inlineStr">
        <is>
          <t>Light</t>
        </is>
      </c>
      <c r="H506" s="6" t="n">
        <v>0.9322</v>
      </c>
      <c r="I506" s="6" t="n">
        <v>1</v>
      </c>
      <c r="J506" s="6" t="n">
        <v>1</v>
      </c>
      <c r="P506">
        <f>MAX(P507,P508,P509)</f>
        <v/>
      </c>
      <c r="S506">
        <f>S507+S508+S509</f>
        <v/>
      </c>
      <c r="T506">
        <f>(E506/100000+F506/100+(P506/1000)*J506/5+S506/200)*200*I506*H506</f>
        <v/>
      </c>
      <c r="U506">
        <f>((E506*F506/25000)+((P506/1000)*J506*S506/2.5))*I506*H506</f>
        <v/>
      </c>
      <c r="V506">
        <f>(E506*F506*(P506/1000)*J506*S506*I506*H506)/12500000</f>
        <v/>
      </c>
      <c r="W506">
        <f>IFERROR((((E506/120000)+(F506/90)+(S506/2100)+((P506/10000)*J506))*1400/4+(((E506/120000)*(F506/90))+(((P506/10000)*J506)*(S506/2100)))*1400/2+((E506/120000)*(F506/90)*((P506/10000)*J506)*(S506/2100))*1400)*(H506/0.6735)/3,"")</f>
        <v/>
      </c>
      <c r="X506" s="6" t="n">
        <v>1800</v>
      </c>
      <c r="Y506">
        <f>IFERROR(W506-X506,"")</f>
        <v/>
      </c>
      <c r="Z506">
        <f>IFERROR(ABS(Y506)/MAX(X506,1),"")</f>
        <v/>
      </c>
      <c r="AA506">
        <f>IFERROR(ROUND(((3*X506-(((E506/120000)+(F506/90)+(S506/2100))*1400/4+((E506/120000)*(F506/90))*1400/2)*(H506/0.6735))/(1400/4+((S506/2100))*1400/2+((E506/120000)*(F506/90)*(S506/2100))*1400)*(H506/0.6735)*10000)/J506,-1),"")</f>
        <v/>
      </c>
    </row>
    <row r="507">
      <c r="B507" s="7" t="inlineStr">
        <is>
          <t xml:space="preserve">  ↳ RA2TankBolt</t>
        </is>
      </c>
      <c r="C507" s="7" t="inlineStr">
        <is>
          <t>Armament@PRIMARY</t>
        </is>
      </c>
      <c r="L507" s="6" t="n">
        <v>12000</v>
      </c>
      <c r="M507" s="6" t="n">
        <v>55</v>
      </c>
      <c r="N507" s="6" t="n">
        <v>2</v>
      </c>
      <c r="O507" s="6" t="n">
        <v>5</v>
      </c>
      <c r="P507" s="6" t="n">
        <v>7500</v>
      </c>
      <c r="Q507" s="6" t="n">
        <v>1.25</v>
      </c>
      <c r="R507">
        <f>M507+IF(MAX(N507-1,0)&gt;0,IF(ISBLANK(O507),5*MAX(N507-1,0),IF(ISNUMBER(O507),O507*MAX(N507-1,0),SUM(IFERROR(VALUE(TEXTSPLIT(O507,",")),0)))),0)</f>
        <v/>
      </c>
      <c r="S507">
        <f>IFERROR(L507*MAX(N507,1)/R507*IF(ISBLANK(K506),1,K506),0)</f>
        <v/>
      </c>
      <c r="AB507" s="7" t="inlineStr">
        <is>
          <t>^Warhead_Tesla_Heavy</t>
        </is>
      </c>
    </row>
    <row r="508">
      <c r="B508" s="7" t="inlineStr">
        <is>
          <t xml:space="preserve">  ↳ RA2TankBolt2</t>
        </is>
      </c>
      <c r="C508" s="7" t="inlineStr">
        <is>
          <t>Armament@PRIMARY2</t>
        </is>
      </c>
      <c r="L508" s="6" t="n">
        <v>12000</v>
      </c>
      <c r="M508" s="6" t="n">
        <v>55</v>
      </c>
      <c r="N508" s="6" t="n">
        <v>2</v>
      </c>
      <c r="O508" s="6" t="n">
        <v>5</v>
      </c>
      <c r="P508" s="6" t="n">
        <v>8000</v>
      </c>
      <c r="Q508" s="6" t="n">
        <v>1.25</v>
      </c>
      <c r="R508">
        <f>M508+IF(MAX(N508-1,0)&gt;0,IF(ISBLANK(O508),5*MAX(N508-1,0),IF(ISNUMBER(O508),O508*MAX(N508-1,0),SUM(IFERROR(VALUE(TEXTSPLIT(O508,",")),0)))),0)</f>
        <v/>
      </c>
      <c r="S508">
        <f>IFERROR(L508*MAX(N508,1)/R508*IF(ISBLANK(K506),1,K506),0)</f>
        <v/>
      </c>
      <c r="AB508" s="7" t="inlineStr">
        <is>
          <t>^Warhead_Tesla_Heavy</t>
        </is>
      </c>
    </row>
    <row r="509">
      <c r="B509" s="7" t="inlineStr">
        <is>
          <t xml:space="preserve">  ↳ RA2TankBolt3</t>
        </is>
      </c>
      <c r="C509" s="7" t="inlineStr">
        <is>
          <t>Armament@PRIMARY3</t>
        </is>
      </c>
      <c r="L509" s="6" t="n">
        <v>12000</v>
      </c>
      <c r="M509" s="6" t="n">
        <v>55</v>
      </c>
      <c r="N509" s="6" t="n">
        <v>2</v>
      </c>
      <c r="O509" s="6" t="n">
        <v>5</v>
      </c>
      <c r="P509" s="6" t="n">
        <v>8500</v>
      </c>
      <c r="Q509" s="6" t="n">
        <v>1.25</v>
      </c>
      <c r="R509">
        <f>M509+IF(MAX(N509-1,0)&gt;0,IF(ISBLANK(O509),5*MAX(N509-1,0),IF(ISNUMBER(O509),O509*MAX(N509-1,0),SUM(IFERROR(VALUE(TEXTSPLIT(O509,",")),0)))),0)</f>
        <v/>
      </c>
      <c r="S509">
        <f>IFERROR(L509*MAX(N509,1)/R509*IF(ISBLANK(K506),1,K506),0)</f>
        <v/>
      </c>
      <c r="AB509" s="7" t="inlineStr">
        <is>
          <t>^Warhead_Tesla_Heavy</t>
        </is>
      </c>
    </row>
    <row r="510">
      <c r="A510" t="inlineStr">
        <is>
          <t>redalert2</t>
        </is>
      </c>
      <c r="B510" t="inlineStr">
        <is>
          <t>yuri_magnetron</t>
        </is>
      </c>
      <c r="C510" t="inlineStr">
        <is>
          <t>Magnetron</t>
        </is>
      </c>
      <c r="D510" s="6" t="inlineStr">
        <is>
          <t>FireSupport</t>
        </is>
      </c>
      <c r="E510" s="6" t="n">
        <v>65000</v>
      </c>
      <c r="F510" s="6" t="n">
        <v>65</v>
      </c>
      <c r="G510" t="inlineStr">
        <is>
          <t>Light</t>
        </is>
      </c>
      <c r="H510" s="6" t="n">
        <v>1</v>
      </c>
      <c r="I510" s="6" t="n">
        <v>1</v>
      </c>
      <c r="J510" s="6" t="n">
        <v>1.25</v>
      </c>
      <c r="P510">
        <f>MAX(P511,P512,P513,P514)</f>
        <v/>
      </c>
      <c r="S510">
        <f>S511+S512+S513+S514</f>
        <v/>
      </c>
      <c r="T510">
        <f>(E510/100000+F510/100+(P510/1000)*J510/5+S510/200)*200*I510*H510</f>
        <v/>
      </c>
      <c r="U510">
        <f>((E510*F510/25000)+((P510/1000)*J510*S510/2.5))*I510*H510</f>
        <v/>
      </c>
      <c r="V510">
        <f>(E510*F510*(P510/1000)*J510*S510*I510*H510)/12500000</f>
        <v/>
      </c>
      <c r="W510">
        <f>IFERROR((((E510/120000)+(F510/90)+(S510/2100)+((P510/10000)*J510))*1400/4+(((E510/120000)*(F510/90))+(((P510/10000)*J510)*(S510/2100)))*1400/2+((E510/120000)*(F510/90)*((P510/10000)*J510)*(S510/2100))*1400)*(H510/0.6735)/3,"")</f>
        <v/>
      </c>
      <c r="X510" s="6" t="n">
        <v>1300</v>
      </c>
      <c r="Y510">
        <f>IFERROR(W510-X510,"")</f>
        <v/>
      </c>
      <c r="Z510">
        <f>IFERROR(ABS(Y510)/MAX(X510,1),"")</f>
        <v/>
      </c>
      <c r="AA510">
        <f>IFERROR(ROUND(((3*X510-(((E510/120000)+(F510/90)+(S510/2100))*1400/4+((E510/120000)*(F510/90))*1400/2)*(H510/0.6735))/(1400/4+((S510/2100))*1400/2+((E510/120000)*(F510/90)*(S510/2100))*1400)*(H510/0.6735)*10000)/J510,-1),"")</f>
        <v/>
      </c>
    </row>
    <row r="511">
      <c r="B511" s="7" t="inlineStr">
        <is>
          <t xml:space="preserve">  ↳ RA2Magnet</t>
        </is>
      </c>
      <c r="C511" s="7" t="inlineStr">
        <is>
          <t>Armament@Normal</t>
        </is>
      </c>
      <c r="L511" s="6" t="n">
        <v>2000</v>
      </c>
      <c r="M511" s="6" t="n">
        <v>200</v>
      </c>
      <c r="N511" s="6" t="n">
        <v>100</v>
      </c>
      <c r="O511" s="6" t="n">
        <v>1</v>
      </c>
      <c r="P511" s="6" t="n">
        <v>7032</v>
      </c>
      <c r="Q511" s="6" t="n">
        <v>1.25</v>
      </c>
      <c r="R511">
        <f>M511+IF(MAX(N511-1,0)&gt;0,IF(ISBLANK(O511),5*MAX(N511-1,0),IF(ISNUMBER(O511),O511*MAX(N511-1,0),SUM(IFERROR(VALUE(TEXTSPLIT(O511,",")),0)))),0)</f>
        <v/>
      </c>
      <c r="S511">
        <f>IFERROR(L511*MAX(N511,1)/R511*IF(ISBLANK(K510),1,K510),0)</f>
        <v/>
      </c>
      <c r="AB511" s="7" t="inlineStr">
        <is>
          <t>^Warhead_Laser_Heavy</t>
        </is>
      </c>
    </row>
    <row r="512">
      <c r="B512" s="7" t="inlineStr">
        <is>
          <t xml:space="preserve">  ↳ RA2MagnetAA</t>
        </is>
      </c>
      <c r="C512" s="7" t="inlineStr">
        <is>
          <t>Armament@Upgraded</t>
        </is>
      </c>
      <c r="L512" s="6" t="n">
        <v>2000</v>
      </c>
      <c r="M512" s="6" t="n">
        <v>200</v>
      </c>
      <c r="N512" s="6" t="n">
        <v>100</v>
      </c>
      <c r="O512" s="6" t="n">
        <v>1</v>
      </c>
      <c r="P512" s="6" t="n">
        <v>7032</v>
      </c>
      <c r="Q512" s="6" t="n">
        <v>1.25</v>
      </c>
      <c r="R512">
        <f>M512+IF(MAX(N512-1,0)&gt;0,IF(ISBLANK(O512),5*MAX(N512-1,0),IF(ISNUMBER(O512),O512*MAX(N512-1,0),SUM(IFERROR(VALUE(TEXTSPLIT(O512,",")),0)))),0)</f>
        <v/>
      </c>
      <c r="S512">
        <f>IFERROR(L512*MAX(N512,1)/R512*IF(ISBLANK(K510),1,K510),0)</f>
        <v/>
      </c>
      <c r="AB512" s="7" t="inlineStr">
        <is>
          <t>^Warhead_Laser_Heavy</t>
        </is>
      </c>
    </row>
    <row r="513">
      <c r="B513" s="7" t="inlineStr">
        <is>
          <t xml:space="preserve">  ↳ RA2Magnet_elite</t>
        </is>
      </c>
      <c r="C513" s="7" t="inlineStr">
        <is>
          <t>Armament@elite</t>
        </is>
      </c>
      <c r="L513" s="6" t="n">
        <v>2000</v>
      </c>
      <c r="M513" s="6" t="n">
        <v>200</v>
      </c>
      <c r="N513" s="6" t="n">
        <v>100</v>
      </c>
      <c r="O513" s="6" t="n">
        <v>1</v>
      </c>
      <c r="P513" s="6" t="n">
        <v>8032</v>
      </c>
      <c r="Q513" s="6" t="n">
        <v>1.25</v>
      </c>
      <c r="R513">
        <f>M513+IF(MAX(N513-1,0)&gt;0,IF(ISBLANK(O513),5*MAX(N513-1,0),IF(ISNUMBER(O513),O513*MAX(N513-1,0),SUM(IFERROR(VALUE(TEXTSPLIT(O513,",")),0)))),0)</f>
        <v/>
      </c>
      <c r="S513">
        <f>IFERROR(L513*MAX(N513,1)/R513*IF(ISBLANK(K510),1,K510),0)</f>
        <v/>
      </c>
      <c r="AB513" s="7" t="inlineStr">
        <is>
          <t>^Warhead_Laser_Heavy</t>
        </is>
      </c>
    </row>
    <row r="514">
      <c r="B514" s="7" t="inlineStr">
        <is>
          <t xml:space="preserve">  ↳ RA2MagnetAA_elite</t>
        </is>
      </c>
      <c r="C514" s="7" t="inlineStr">
        <is>
          <t>Armament@elite_aa</t>
        </is>
      </c>
      <c r="L514" s="6" t="n">
        <v>2000</v>
      </c>
      <c r="M514" s="6" t="n">
        <v>200</v>
      </c>
      <c r="N514" s="6" t="n">
        <v>100</v>
      </c>
      <c r="O514" s="6" t="n">
        <v>1</v>
      </c>
      <c r="P514" s="6" t="n">
        <v>8032</v>
      </c>
      <c r="Q514" s="6" t="n">
        <v>1.25</v>
      </c>
      <c r="R514">
        <f>M514+IF(MAX(N514-1,0)&gt;0,IF(ISBLANK(O514),5*MAX(N514-1,0),IF(ISNUMBER(O514),O514*MAX(N514-1,0),SUM(IFERROR(VALUE(TEXTSPLIT(O514,",")),0)))),0)</f>
        <v/>
      </c>
      <c r="S514">
        <f>IFERROR(L514*MAX(N514,1)/R514*IF(ISBLANK(K510),1,K510),0)</f>
        <v/>
      </c>
      <c r="AB514" s="7" t="inlineStr">
        <is>
          <t>^Warhead_Laser_Heavy</t>
        </is>
      </c>
    </row>
    <row r="515">
      <c r="A515" t="inlineStr">
        <is>
          <t>redalert2mod</t>
        </is>
      </c>
      <c r="B515" t="inlineStr">
        <is>
          <t>asianalliance_heavyrailguntank</t>
        </is>
      </c>
      <c r="C515" t="inlineStr">
        <is>
          <t>Heavy Railgun Tank</t>
        </is>
      </c>
      <c r="D515" s="6" t="inlineStr">
        <is>
          <t>FireSupport</t>
        </is>
      </c>
      <c r="E515" s="6" t="n">
        <v>250000</v>
      </c>
      <c r="F515" s="6" t="n">
        <v>50</v>
      </c>
      <c r="G515" t="inlineStr">
        <is>
          <t>Light</t>
        </is>
      </c>
      <c r="H515" s="6" t="n">
        <v>0.4853</v>
      </c>
      <c r="I515" s="6" t="n">
        <v>1</v>
      </c>
      <c r="J515" s="6" t="n">
        <v>1</v>
      </c>
      <c r="P515">
        <f>MAX(P516,P517)</f>
        <v/>
      </c>
      <c r="S515">
        <f>S516+S517</f>
        <v/>
      </c>
      <c r="T515">
        <f>(E515/100000+F515/100+(P515/1000)*J515/5+S515/200)*200*I515*H515</f>
        <v/>
      </c>
      <c r="U515">
        <f>((E515*F515/25000)+((P515/1000)*J515*S515/2.5))*I515*H515</f>
        <v/>
      </c>
      <c r="V515">
        <f>(E515*F515*(P515/1000)*J515*S515*I515*H515)/12500000</f>
        <v/>
      </c>
      <c r="W515">
        <f>IFERROR((((E515/120000)+(F515/90)+(S515/2100)+((P515/10000)*J515))*1400/4+(((E515/120000)*(F515/90))+(((P515/10000)*J515)*(S515/2100)))*1400/2+((E515/120000)*(F515/90)*((P515/10000)*J515)*(S515/2100))*1400)*(H515/0.6735)/3,"")</f>
        <v/>
      </c>
      <c r="X515" s="6" t="n">
        <v>2200</v>
      </c>
      <c r="Y515">
        <f>IFERROR(W515-X515,"")</f>
        <v/>
      </c>
      <c r="Z515">
        <f>IFERROR(ABS(Y515)/MAX(X515,1),"")</f>
        <v/>
      </c>
      <c r="AA515">
        <f>IFERROR(ROUND(((3*X515-(((E515/120000)+(F515/90)+(S515/2100))*1400/4+((E515/120000)*(F515/90))*1400/2)*(H515/0.6735))/(1400/4+((S515/2100))*1400/2+((E515/120000)*(F515/90)*(S515/2100))*1400)*(H515/0.6735)*10000)/J515,-1),"")</f>
        <v/>
      </c>
    </row>
    <row r="516">
      <c r="B516" s="7" t="inlineStr">
        <is>
          <t xml:space="preserve">  ↳ AsianRailTank2</t>
        </is>
      </c>
      <c r="C516" s="7" t="inlineStr">
        <is>
          <t>Armament@PRIMARY</t>
        </is>
      </c>
      <c r="L516" s="6" t="n">
        <v>36000</v>
      </c>
      <c r="M516" s="6" t="n">
        <v>75</v>
      </c>
      <c r="N516" s="6" t="n">
        <v>1</v>
      </c>
      <c r="O516" s="6" t="n"/>
      <c r="P516" s="6" t="n">
        <v>10000</v>
      </c>
      <c r="Q516" s="6" t="n">
        <v>1.25</v>
      </c>
      <c r="R516">
        <f>M516+IF(MAX(N516-1,0)&gt;0,IF(ISBLANK(O516),5*MAX(N516-1,0),IF(ISNUMBER(O516),O516*MAX(N516-1,0),SUM(IFERROR(VALUE(TEXTSPLIT(O516,",")),0)))),0)</f>
        <v/>
      </c>
      <c r="S516">
        <f>IFERROR(L516*MAX(N516,1)/R516*IF(ISBLANK(K515),1,K515),0)</f>
        <v/>
      </c>
      <c r="AB516" s="7" t="inlineStr">
        <is>
          <t>^Warhead_Railgun_Heavy</t>
        </is>
      </c>
    </row>
    <row r="517">
      <c r="B517" s="7" t="inlineStr">
        <is>
          <t xml:space="preserve">  ↳ AsianRailTank3</t>
        </is>
      </c>
      <c r="C517" s="7" t="inlineStr">
        <is>
          <t>Armament@ELITE</t>
        </is>
      </c>
      <c r="L517" s="6" t="n">
        <v>48000</v>
      </c>
      <c r="M517" s="6" t="n">
        <v>90</v>
      </c>
      <c r="N517" s="6" t="n">
        <v>1</v>
      </c>
      <c r="O517" s="6" t="n"/>
      <c r="P517" s="6" t="n">
        <v>11111</v>
      </c>
      <c r="Q517" s="6" t="n">
        <v>1.25</v>
      </c>
      <c r="R517">
        <f>M517+IF(MAX(N517-1,0)&gt;0,IF(ISBLANK(O517),5*MAX(N517-1,0),IF(ISNUMBER(O517),O517*MAX(N517-1,0),SUM(IFERROR(VALUE(TEXTSPLIT(O517,",")),0)))),0)</f>
        <v/>
      </c>
      <c r="S517">
        <f>IFERROR(L517*MAX(N517,1)/R517*IF(ISBLANK(K515),1,K515),0)</f>
        <v/>
      </c>
      <c r="AB517" s="7" t="inlineStr">
        <is>
          <t>^Warhead_Railgun_Heavy</t>
        </is>
      </c>
    </row>
    <row r="518">
      <c r="A518" t="inlineStr">
        <is>
          <t>redalert2mod</t>
        </is>
      </c>
      <c r="B518" t="inlineStr">
        <is>
          <t>asianalliance_railguntank</t>
        </is>
      </c>
      <c r="C518" t="inlineStr">
        <is>
          <t>Railgun Tank</t>
        </is>
      </c>
      <c r="D518" s="6" t="inlineStr">
        <is>
          <t>FireSupport</t>
        </is>
      </c>
      <c r="E518" s="6" t="n">
        <v>160000</v>
      </c>
      <c r="F518" s="6" t="n">
        <v>65</v>
      </c>
      <c r="G518" t="inlineStr">
        <is>
          <t>Light</t>
        </is>
      </c>
      <c r="H518" s="6" t="n">
        <v>0.4853</v>
      </c>
      <c r="I518" s="6" t="n">
        <v>1</v>
      </c>
      <c r="J518" s="6" t="n">
        <v>1</v>
      </c>
      <c r="P518">
        <f>MAX(P519,P520)</f>
        <v/>
      </c>
      <c r="S518">
        <f>S519+S520</f>
        <v/>
      </c>
      <c r="T518">
        <f>(E518/100000+F518/100+(P518/1000)*J518/5+S518/200)*200*I518*H518</f>
        <v/>
      </c>
      <c r="U518">
        <f>((E518*F518/25000)+((P518/1000)*J518*S518/2.5))*I518*H518</f>
        <v/>
      </c>
      <c r="V518">
        <f>(E518*F518*(P518/1000)*J518*S518*I518*H518)/12500000</f>
        <v/>
      </c>
      <c r="W518">
        <f>IFERROR((((E518/120000)+(F518/90)+(S518/2100)+((P518/10000)*J518))*1400/4+(((E518/120000)*(F518/90))+(((P518/10000)*J518)*(S518/2100)))*1400/2+((E518/120000)*(F518/90)*((P518/10000)*J518)*(S518/2100))*1400)*(H518/0.6735)/3,"")</f>
        <v/>
      </c>
      <c r="X518" s="6" t="n">
        <v>1500</v>
      </c>
      <c r="Y518">
        <f>IFERROR(W518-X518,"")</f>
        <v/>
      </c>
      <c r="Z518">
        <f>IFERROR(ABS(Y518)/MAX(X518,1),"")</f>
        <v/>
      </c>
      <c r="AA518">
        <f>IFERROR(ROUND(((3*X518-(((E518/120000)+(F518/90)+(S518/2100))*1400/4+((E518/120000)*(F518/90))*1400/2)*(H518/0.6735))/(1400/4+((S518/2100))*1400/2+((E518/120000)*(F518/90)*(S518/2100))*1400)*(H518/0.6735)*10000)/J518,-1),"")</f>
        <v/>
      </c>
    </row>
    <row r="519">
      <c r="B519" s="7" t="inlineStr">
        <is>
          <t xml:space="preserve">  ↳ AsianRailTank</t>
        </is>
      </c>
      <c r="C519" s="7" t="inlineStr">
        <is>
          <t>Armament@PRIMARY</t>
        </is>
      </c>
      <c r="L519" s="6" t="n">
        <v>24000</v>
      </c>
      <c r="M519" s="6" t="n">
        <v>60</v>
      </c>
      <c r="N519" s="6" t="n">
        <v>1</v>
      </c>
      <c r="O519" s="6" t="n"/>
      <c r="P519" s="6" t="n">
        <v>8888</v>
      </c>
      <c r="Q519" s="6" t="n">
        <v>1.25</v>
      </c>
      <c r="R519">
        <f>M519+IF(MAX(N519-1,0)&gt;0,IF(ISBLANK(O519),5*MAX(N519-1,0),IF(ISNUMBER(O519),O519*MAX(N519-1,0),SUM(IFERROR(VALUE(TEXTSPLIT(O519,",")),0)))),0)</f>
        <v/>
      </c>
      <c r="S519">
        <f>IFERROR(L519*MAX(N519,1)/R519*IF(ISBLANK(K518),1,K518),0)</f>
        <v/>
      </c>
      <c r="AB519" s="7" t="inlineStr">
        <is>
          <t>^Warhead_Railgun_Heavy</t>
        </is>
      </c>
    </row>
    <row r="520">
      <c r="B520" s="7" t="inlineStr">
        <is>
          <t xml:space="preserve">  ↳ AsianRailTank2</t>
        </is>
      </c>
      <c r="C520" s="7" t="inlineStr">
        <is>
          <t>Armament@ELITE</t>
        </is>
      </c>
      <c r="L520" s="6" t="n">
        <v>36000</v>
      </c>
      <c r="M520" s="6" t="n">
        <v>75</v>
      </c>
      <c r="N520" s="6" t="n">
        <v>1</v>
      </c>
      <c r="O520" s="6" t="n"/>
      <c r="P520" s="6" t="n">
        <v>10000</v>
      </c>
      <c r="Q520" s="6" t="n">
        <v>1.25</v>
      </c>
      <c r="R520">
        <f>M520+IF(MAX(N520-1,0)&gt;0,IF(ISBLANK(O520),5*MAX(N520-1,0),IF(ISNUMBER(O520),O520*MAX(N520-1,0),SUM(IFERROR(VALUE(TEXTSPLIT(O520,",")),0)))),0)</f>
        <v/>
      </c>
      <c r="S520">
        <f>IFERROR(L520*MAX(N520,1)/R520*IF(ISBLANK(K518),1,K518),0)</f>
        <v/>
      </c>
      <c r="AB520" s="7" t="inlineStr">
        <is>
          <t>^Warhead_Railgun_Heavy</t>
        </is>
      </c>
    </row>
    <row r="521">
      <c r="A521" t="inlineStr">
        <is>
          <t>redalert2mod</t>
        </is>
      </c>
      <c r="B521" t="inlineStr">
        <is>
          <t>latinsyndicate_missiletruck</t>
        </is>
      </c>
      <c r="C521" t="inlineStr">
        <is>
          <t>Missile Truck</t>
        </is>
      </c>
      <c r="D521" s="6" t="inlineStr">
        <is>
          <t>FireSupport</t>
        </is>
      </c>
      <c r="E521" s="6" t="n">
        <v>30000</v>
      </c>
      <c r="F521" s="6" t="n">
        <v>75</v>
      </c>
      <c r="G521" t="inlineStr">
        <is>
          <t>Light</t>
        </is>
      </c>
      <c r="H521" s="6" t="n">
        <v>0.6735</v>
      </c>
      <c r="I521" s="6" t="n">
        <v>1</v>
      </c>
      <c r="J521" s="6" t="n">
        <v>1</v>
      </c>
      <c r="K521" t="n">
        <v>0.0125</v>
      </c>
      <c r="P521">
        <f>MAX(P522,P523)</f>
        <v/>
      </c>
      <c r="S521">
        <f>S522+S523</f>
        <v/>
      </c>
      <c r="T521">
        <f>(E521/100000+F521/100+(P521/1000)*J521/5+S521/200)*200*I521*H521</f>
        <v/>
      </c>
      <c r="U521">
        <f>((E521*F521/25000)+((P521/1000)*J521*S521/2.5))*I521*H521</f>
        <v/>
      </c>
      <c r="V521">
        <f>(E521*F521*(P521/1000)*J521*S521*I521*H521)/12500000</f>
        <v/>
      </c>
      <c r="W521">
        <f>IFERROR((((E521/120000)+(F521/90)+(S521/2100)+((P521/10000)*J521))*1400/4+(((E521/120000)*(F521/90))+(((P521/10000)*J521)*(S521/2100)))*1400/2+((E521/120000)*(F521/90)*((P521/10000)*J521)*(S521/2100))*1400)*(H521/0.6735)/3,"")</f>
        <v/>
      </c>
      <c r="X521" s="6" t="n">
        <v>1000</v>
      </c>
      <c r="Y521">
        <f>IFERROR(W521-X521,"")</f>
        <v/>
      </c>
      <c r="Z521">
        <f>IFERROR(ABS(Y521)/MAX(X521,1),"")</f>
        <v/>
      </c>
      <c r="AA521">
        <f>IFERROR(ROUND(((3*X521-(((E521/120000)+(F521/90)+(S521/2100))*1400/4+((E521/120000)*(F521/90))*1400/2)*(H521/0.6735))/(1400/4+((S521/2100))*1400/2+((E521/120000)*(F521/90)*(S521/2100))*1400)*(H521/0.6735)*10000)/J521,-1),"")</f>
        <v/>
      </c>
    </row>
    <row r="522">
      <c r="B522" s="7" t="inlineStr">
        <is>
          <t xml:space="preserve">  ↳ RA2RTruckRocket</t>
        </is>
      </c>
      <c r="C522" s="7" t="inlineStr">
        <is>
          <t>Armament</t>
        </is>
      </c>
      <c r="L522" s="6" t="n">
        <v>8000</v>
      </c>
      <c r="M522" s="6" t="n">
        <v>108</v>
      </c>
      <c r="N522" s="6" t="n">
        <v>8</v>
      </c>
      <c r="O522" s="6" t="n">
        <v>3</v>
      </c>
      <c r="P522" s="6" t="n">
        <v>7777</v>
      </c>
      <c r="Q522" s="6" t="n">
        <v>1</v>
      </c>
      <c r="R522">
        <f>M522+IF(MAX(N522-1,0)&gt;0,IF(ISBLANK(O522),5*MAX(N522-1,0),IF(ISNUMBER(O522),O522*MAX(N522-1,0),SUM(IFERROR(VALUE(TEXTSPLIT(O522,",")),0)))),0)</f>
        <v/>
      </c>
      <c r="S522">
        <f>IFERROR(L522*MAX(N522,1)/R522*IF(ISBLANK(K521),1,K521),0)</f>
        <v/>
      </c>
      <c r="AB522" s="7" t="inlineStr">
        <is>
          <t>^Warhead_MissileHE_Medium</t>
        </is>
      </c>
    </row>
    <row r="523">
      <c r="B523" s="7" t="inlineStr">
        <is>
          <t xml:space="preserve">  ↳ RA2RTruckRocket</t>
        </is>
      </c>
      <c r="C523" s="7" t="inlineStr">
        <is>
          <t>Armament@PRIMARYELITE</t>
        </is>
      </c>
      <c r="L523" s="6" t="n">
        <v>8000</v>
      </c>
      <c r="M523" s="6" t="n">
        <v>108</v>
      </c>
      <c r="N523" s="6" t="n">
        <v>8</v>
      </c>
      <c r="O523" s="6" t="n">
        <v>3</v>
      </c>
      <c r="P523" s="6" t="n">
        <v>7777</v>
      </c>
      <c r="Q523" s="6" t="n">
        <v>1</v>
      </c>
      <c r="R523">
        <f>M523+IF(MAX(N523-1,0)&gt;0,IF(ISBLANK(O523),5*MAX(N523-1,0),IF(ISNUMBER(O523),O523*MAX(N523-1,0),SUM(IFERROR(VALUE(TEXTSPLIT(O523,",")),0)))),0)</f>
        <v/>
      </c>
      <c r="S523">
        <f>IFERROR(L523*MAX(N523,1)/R523*IF(ISBLANK(K521),1,K521),0)</f>
        <v/>
      </c>
      <c r="AB523" s="7" t="inlineStr">
        <is>
          <t>^Warhead_MissileHE_Medium</t>
        </is>
      </c>
    </row>
    <row r="524">
      <c r="A524" t="inlineStr">
        <is>
          <t>redalert2mod</t>
        </is>
      </c>
      <c r="B524" t="inlineStr">
        <is>
          <t>naxis_antitankcannon</t>
        </is>
      </c>
      <c r="C524" t="inlineStr">
        <is>
          <t>Anti Tank Cannon</t>
        </is>
      </c>
      <c r="D524" s="6" t="inlineStr">
        <is>
          <t>FireSupport</t>
        </is>
      </c>
      <c r="E524" s="6" t="n">
        <v>17500</v>
      </c>
      <c r="F524" s="6" t="n">
        <v>30</v>
      </c>
      <c r="G524" t="inlineStr">
        <is>
          <t>Light</t>
        </is>
      </c>
      <c r="H524" s="6" t="n">
        <v>1</v>
      </c>
      <c r="I524" s="6" t="n">
        <v>1</v>
      </c>
      <c r="J524" s="6" t="n">
        <v>1</v>
      </c>
      <c r="P524">
        <f>MAX(P525,P526)</f>
        <v/>
      </c>
      <c r="S524">
        <f>S525+S526</f>
        <v/>
      </c>
      <c r="T524">
        <f>(E524/100000+F524/100+(P524/1000)*J524/5+S524/200)*200*I524*H524</f>
        <v/>
      </c>
      <c r="U524">
        <f>((E524*F524/25000)+((P524/1000)*J524*S524/2.5))*I524*H524</f>
        <v/>
      </c>
      <c r="V524">
        <f>(E524*F524*(P524/1000)*J524*S524*I524*H524)/12500000</f>
        <v/>
      </c>
      <c r="W524">
        <f>(T524+U524+V524)/3</f>
        <v/>
      </c>
      <c r="X524" s="6" t="n">
        <v>600</v>
      </c>
      <c r="Y524">
        <f>IFERROR(W524-X524,"")</f>
        <v/>
      </c>
      <c r="Z524">
        <f>IFERROR(ABS(Y524)/MAX(X524,1),"")</f>
        <v/>
      </c>
      <c r="AA524">
        <f>IFERROR((X524-(((E524/100000+F524/100+S524/200)*200*I524*H524)+((E524*F524/25000)*I524*H524))/3)/(((J524/5)*200*I524*H524)+((J524*S524/2.5)*I524*H524)+((E524*F524*J524*S524*I524*H524)/12500000))/3*1000,"")</f>
        <v/>
      </c>
    </row>
    <row r="525">
      <c r="B525" s="7" t="inlineStr">
        <is>
          <t xml:space="preserve">  ↳ NaxiAntiTankCannon</t>
        </is>
      </c>
      <c r="C525" s="7" t="inlineStr">
        <is>
          <t>Armament@PRIMARY</t>
        </is>
      </c>
      <c r="L525" s="6" t="n">
        <v>28000</v>
      </c>
      <c r="M525" s="6" t="n">
        <v>75</v>
      </c>
      <c r="N525" s="6" t="n">
        <v>1</v>
      </c>
      <c r="O525" s="6" t="n"/>
      <c r="P525" s="6" t="n">
        <v>7361</v>
      </c>
      <c r="Q525" s="6" t="n">
        <v>0.875</v>
      </c>
      <c r="R525">
        <f>M525+IF(MAX(N525-1,0)&gt;0,IF(ISBLANK(O525),5*MAX(N525-1,0),IF(ISNUMBER(O525),O525*MAX(N525-1,0),SUM(IFERROR(VALUE(TEXTSPLIT(O525,",")),0)))),0)</f>
        <v/>
      </c>
      <c r="S525">
        <f>IFERROR(L525*MAX(N525,1)/R525*IF(ISBLANK(K524),1,K524),0)</f>
        <v/>
      </c>
      <c r="AB525" s="7" t="inlineStr">
        <is>
          <t>^Warhead_CannonHE_Medium, ^Warhead_CannonAP_Light</t>
        </is>
      </c>
    </row>
    <row r="526">
      <c r="B526" s="7" t="inlineStr">
        <is>
          <t xml:space="preserve">  ↳ NaxiAntiTankCannon_elite</t>
        </is>
      </c>
      <c r="C526" s="7" t="inlineStr">
        <is>
          <t>Armament@ELITE</t>
        </is>
      </c>
      <c r="L526" s="6" t="n">
        <v>28000</v>
      </c>
      <c r="M526" s="6" t="n">
        <v>75</v>
      </c>
      <c r="N526" s="6" t="n">
        <v>2</v>
      </c>
      <c r="O526" s="6" t="n">
        <v>3</v>
      </c>
      <c r="P526" s="6" t="n">
        <v>8361</v>
      </c>
      <c r="Q526" s="6" t="n">
        <v>0.875</v>
      </c>
      <c r="R526">
        <f>M526+IF(MAX(N526-1,0)&gt;0,IF(ISBLANK(O526),5*MAX(N526-1,0),IF(ISNUMBER(O526),O526*MAX(N526-1,0),SUM(IFERROR(VALUE(TEXTSPLIT(O526,",")),0)))),0)</f>
        <v/>
      </c>
      <c r="S526">
        <f>IFERROR(L526*MAX(N526,1)/R526*IF(ISBLANK(K524),1,K524),0)</f>
        <v/>
      </c>
      <c r="AB526" s="7" t="inlineStr">
        <is>
          <t>^Warhead_CannonHE_Medium, ^Warhead_CannonAP_Light</t>
        </is>
      </c>
    </row>
    <row r="527">
      <c r="A527" t="inlineStr">
        <is>
          <t>redalert2mod</t>
        </is>
      </c>
      <c r="B527" t="inlineStr">
        <is>
          <t>naxis_imperialturbotank</t>
        </is>
      </c>
      <c r="C527" t="inlineStr">
        <is>
          <t>Imperial Turbo Tank</t>
        </is>
      </c>
      <c r="D527" s="6" t="inlineStr">
        <is>
          <t>FireSupport</t>
        </is>
      </c>
      <c r="E527" s="6" t="n">
        <v>82500</v>
      </c>
      <c r="F527" s="6" t="n">
        <v>110</v>
      </c>
      <c r="G527" t="inlineStr">
        <is>
          <t>Light</t>
        </is>
      </c>
      <c r="H527" s="6" t="n">
        <v>0.6846</v>
      </c>
      <c r="I527" s="6" t="n">
        <v>1</v>
      </c>
      <c r="J527" s="6" t="n">
        <v>1</v>
      </c>
      <c r="P527">
        <f>MAX(P528,P529,P530)</f>
        <v/>
      </c>
      <c r="S527">
        <f>S528+S529+S530</f>
        <v/>
      </c>
      <c r="T527">
        <f>(E527/100000+F527/100+(P527/1000)*J527/5+S527/200)*200*I527*H527</f>
        <v/>
      </c>
      <c r="U527">
        <f>((E527*F527/25000)+((P527/1000)*J527*S527/2.5))*I527*H527</f>
        <v/>
      </c>
      <c r="V527">
        <f>(E527*F527*(P527/1000)*J527*S527*I527*H527)/12500000</f>
        <v/>
      </c>
      <c r="W527">
        <f>IFERROR((((E527/120000)+(F527/90)+(S527/2100)+((P527/10000)*J527))*1400/4+(((E527/120000)*(F527/90))+(((P527/10000)*J527)*(S527/2100)))*1400/2+((E527/120000)*(F527/90)*((P527/10000)*J527)*(S527/2100))*1400)*(H527/0.6735)/3,"")</f>
        <v/>
      </c>
      <c r="X527" s="6" t="n">
        <v>950</v>
      </c>
      <c r="Y527">
        <f>IFERROR(W527-X527,"")</f>
        <v/>
      </c>
      <c r="Z527">
        <f>IFERROR(ABS(Y527)/MAX(X527,1),"")</f>
        <v/>
      </c>
      <c r="AA527">
        <f>IFERROR(ROUND(((3*X527-(((E527/120000)+(F527/90)+(S527/2100))*1400/4+((E527/120000)*(F527/90))*1400/2)*(H527/0.6735))/(1400/4+((S527/2100))*1400/2+((E527/120000)*(F527/90)*(S527/2100))*1400)*(H527/0.6735)*10000)/J527,-1),"")</f>
        <v/>
      </c>
    </row>
    <row r="528">
      <c r="B528" s="7" t="inlineStr">
        <is>
          <t xml:space="preserve">  ↳ NaxiJadgDestroyer</t>
        </is>
      </c>
      <c r="C528" s="7" t="inlineStr">
        <is>
          <t>Armament@AG</t>
        </is>
      </c>
      <c r="L528" s="6" t="n">
        <v>60000</v>
      </c>
      <c r="M528" s="6" t="n">
        <v>90</v>
      </c>
      <c r="N528" s="6" t="n">
        <v>1</v>
      </c>
      <c r="O528" s="6" t="n"/>
      <c r="P528" s="6" t="n">
        <v>7396</v>
      </c>
      <c r="Q528" s="6" t="n">
        <v>1</v>
      </c>
      <c r="R528">
        <f>M528+IF(MAX(N528-1,0)&gt;0,IF(ISBLANK(O528),5*MAX(N528-1,0),IF(ISNUMBER(O528),O528*MAX(N528-1,0),SUM(IFERROR(VALUE(TEXTSPLIT(O528,",")),0)))),0)</f>
        <v/>
      </c>
      <c r="S528">
        <f>IFERROR(L528*MAX(N528,1)/R528*IF(ISBLANK(K527),1,K527),0)</f>
        <v/>
      </c>
      <c r="AB528" s="7" t="inlineStr">
        <is>
          <t>^Warhead_CannonHE_Heavy, ^Warhead_Concussion_Medium, ^Warhead_CannonAP_Light</t>
        </is>
      </c>
    </row>
    <row r="529">
      <c r="B529" s="7" t="inlineStr">
        <is>
          <t xml:space="preserve">  ↳ Nax120mmAssault</t>
        </is>
      </c>
      <c r="C529" s="7" t="inlineStr">
        <is>
          <t>Armament</t>
        </is>
      </c>
      <c r="L529" s="6" t="n">
        <v>10000</v>
      </c>
      <c r="M529" s="6" t="n">
        <v>28</v>
      </c>
      <c r="N529" s="6" t="n">
        <v>1</v>
      </c>
      <c r="O529" s="6" t="n"/>
      <c r="P529" s="6" t="n">
        <v>5200</v>
      </c>
      <c r="Q529" s="6" t="n">
        <v>1</v>
      </c>
      <c r="R529">
        <f>M529+IF(MAX(N529-1,0)&gt;0,IF(ISBLANK(O529),5*MAX(N529-1,0),IF(ISNUMBER(O529),O529*MAX(N529-1,0),SUM(IFERROR(VALUE(TEXTSPLIT(O529,",")),0)))),0)</f>
        <v/>
      </c>
      <c r="S529">
        <f>IFERROR(L529*MAX(N529,1)/R529*IF(ISBLANK(K527),1,K527),0)</f>
        <v/>
      </c>
      <c r="AB529" s="7" t="inlineStr">
        <is>
          <t>^Warhead_CannonHE_Medium</t>
        </is>
      </c>
    </row>
    <row r="530">
      <c r="B530" s="7" t="inlineStr">
        <is>
          <t xml:space="preserve">  ↳ Nax120mmAssault_elite</t>
        </is>
      </c>
      <c r="C530" s="7" t="inlineStr">
        <is>
          <t>Armament@elite</t>
        </is>
      </c>
      <c r="L530" s="6" t="n">
        <v>10000</v>
      </c>
      <c r="M530" s="6" t="n">
        <v>28</v>
      </c>
      <c r="N530" s="6" t="n">
        <v>2</v>
      </c>
      <c r="O530" s="6" t="n">
        <v>3</v>
      </c>
      <c r="P530" s="6" t="n">
        <v>6200</v>
      </c>
      <c r="Q530" s="6" t="n">
        <v>1</v>
      </c>
      <c r="R530">
        <f>M530+IF(MAX(N530-1,0)&gt;0,IF(ISBLANK(O530),5*MAX(N530-1,0),IF(ISNUMBER(O530),O530*MAX(N530-1,0),SUM(IFERROR(VALUE(TEXTSPLIT(O530,",")),0)))),0)</f>
        <v/>
      </c>
      <c r="S530">
        <f>IFERROR(L530*MAX(N530,1)/R530*IF(ISBLANK(K527),1,K527),0)</f>
        <v/>
      </c>
      <c r="AB530" s="7" t="inlineStr">
        <is>
          <t>^Warhead_CannonHE_Medium</t>
        </is>
      </c>
    </row>
    <row r="531">
      <c r="A531" t="inlineStr">
        <is>
          <t>redalert2mod</t>
        </is>
      </c>
      <c r="B531" t="inlineStr">
        <is>
          <t>naxis_nop03sarubia</t>
        </is>
      </c>
      <c r="C531" t="inlineStr">
        <is>
          <t>Nop-03 Sarubia</t>
        </is>
      </c>
      <c r="D531" s="6" t="inlineStr">
        <is>
          <t>FireSupport</t>
        </is>
      </c>
      <c r="E531" s="6" t="n">
        <v>62500</v>
      </c>
      <c r="F531" s="6" t="n">
        <v>65</v>
      </c>
      <c r="G531" t="inlineStr">
        <is>
          <t>Light</t>
        </is>
      </c>
      <c r="H531" s="6" t="n">
        <v>0.4839</v>
      </c>
      <c r="I531" s="6" t="n">
        <v>1</v>
      </c>
      <c r="J531" s="6" t="n">
        <v>1</v>
      </c>
      <c r="X531" s="6" t="n">
        <v>1400</v>
      </c>
    </row>
    <row r="532">
      <c r="B532" s="7" t="inlineStr">
        <is>
          <t xml:space="preserve">  ↳ NaxisSarubianTarget</t>
        </is>
      </c>
      <c r="C532" s="7" t="inlineStr">
        <is>
          <t>Armament@AG</t>
        </is>
      </c>
      <c r="M532" s="6" t="n">
        <v>40</v>
      </c>
      <c r="N532" s="6" t="n">
        <v>1</v>
      </c>
      <c r="O532" s="6" t="n"/>
      <c r="P532" s="6" t="n">
        <v>7800</v>
      </c>
      <c r="Q532" s="6" t="n">
        <v>1</v>
      </c>
      <c r="R532">
        <f>M532+IF(MAX(N532-1,0)&gt;0,IF(ISBLANK(O532),5*MAX(N532-1,0),IF(ISNUMBER(O532),O532*MAX(N532-1,0),SUM(IFERROR(VALUE(TEXTSPLIT(O532,",")),0)))),0)</f>
        <v/>
      </c>
      <c r="S532">
        <f>IFERROR(L532*MAX(N532,1)/R532*IF(ISBLANK(K531),1,K531),0)</f>
        <v/>
      </c>
      <c r="AB532" s="7" t="inlineStr"/>
    </row>
    <row r="533">
      <c r="A533" t="inlineStr">
        <is>
          <t>redalert2mod</t>
        </is>
      </c>
      <c r="B533" t="inlineStr">
        <is>
          <t>schwarzermond_crystaltank</t>
        </is>
      </c>
      <c r="C533" t="inlineStr">
        <is>
          <t>Crystal Tank</t>
        </is>
      </c>
      <c r="D533" s="6" t="inlineStr">
        <is>
          <t>FireSupport</t>
        </is>
      </c>
      <c r="E533" s="6" t="n">
        <v>400000</v>
      </c>
      <c r="F533" s="6" t="n">
        <v>60</v>
      </c>
      <c r="G533" t="inlineStr">
        <is>
          <t>Light</t>
        </is>
      </c>
      <c r="H533" s="6" t="n">
        <v>0.75</v>
      </c>
      <c r="I533" s="6" t="n">
        <v>1</v>
      </c>
      <c r="J533" s="6" t="n">
        <v>1.25</v>
      </c>
      <c r="P533">
        <f>MAX(P534,P535)</f>
        <v/>
      </c>
      <c r="S533">
        <f>S534+S535</f>
        <v/>
      </c>
      <c r="T533">
        <f>(E533/100000+F533/100+(P533/1000)*J533/5+S533/200)*200*I533*H533</f>
        <v/>
      </c>
      <c r="U533">
        <f>((E533*F533/25000)+((P533/1000)*J533*S533/2.5))*I533*H533</f>
        <v/>
      </c>
      <c r="V533">
        <f>(E533*F533*(P533/1000)*J533*S533*I533*H533)/12500000</f>
        <v/>
      </c>
      <c r="W533">
        <f>IFERROR((((E533/120000)+(F533/90)+(S533/2100)+((P533/10000)*J533))*1400/4+(((E533/120000)*(F533/90))+(((P533/10000)*J533)*(S533/2100)))*1400/2+((E533/120000)*(F533/90)*((P533/10000)*J533)*(S533/2100))*1400)*(H533/0.6735)/3,"")</f>
        <v/>
      </c>
      <c r="X533" s="6" t="n">
        <v>1700</v>
      </c>
      <c r="Y533">
        <f>IFERROR(W533-X533,"")</f>
        <v/>
      </c>
      <c r="Z533">
        <f>IFERROR(ABS(Y533)/MAX(X533,1),"")</f>
        <v/>
      </c>
      <c r="AA533">
        <f>IFERROR(ROUND(((3*X533-(((E533/120000)+(F533/90)+(S533/2100))*1400/4+((E533/120000)*(F533/90))*1400/2)*(H533/0.6735))/(1400/4+((S533/2100))*1400/2+((E533/120000)*(F533/90)*(S533/2100))*1400)*(H533/0.6735)*10000)/J533,-1),"")</f>
        <v/>
      </c>
    </row>
    <row r="534">
      <c r="B534" s="7" t="inlineStr">
        <is>
          <t xml:space="preserve">  ↳ NaxCrystalLeech</t>
        </is>
      </c>
      <c r="C534" s="7" t="inlineStr">
        <is>
          <t>Armament@AG</t>
        </is>
      </c>
      <c r="L534" s="6" t="n">
        <v>2000</v>
      </c>
      <c r="M534" s="6" t="n">
        <v>90</v>
      </c>
      <c r="N534" s="6" t="n">
        <v>10</v>
      </c>
      <c r="O534" s="6" t="n">
        <v>1</v>
      </c>
      <c r="P534" s="6" t="n">
        <v>7420</v>
      </c>
      <c r="Q534" s="6" t="n">
        <v>1.25</v>
      </c>
      <c r="R534">
        <f>M534+IF(MAX(N534-1,0)&gt;0,IF(ISBLANK(O534),5*MAX(N534-1,0),IF(ISNUMBER(O534),O534*MAX(N534-1,0),SUM(IFERROR(VALUE(TEXTSPLIT(O534,",")),0)))),0)</f>
        <v/>
      </c>
      <c r="S534">
        <f>IFERROR(L534*MAX(N534,1)/R534*IF(ISBLANK(K533),1,K533),0)</f>
        <v/>
      </c>
      <c r="AB534" s="7" t="inlineStr">
        <is>
          <t>^Warhead_Tesla_Heavy</t>
        </is>
      </c>
    </row>
    <row r="535">
      <c r="B535" s="7" t="inlineStr">
        <is>
          <t xml:space="preserve">  ↳ NaxCrystalLeech_elite</t>
        </is>
      </c>
      <c r="C535" s="7" t="inlineStr">
        <is>
          <t>Armament@ELITE</t>
        </is>
      </c>
      <c r="L535" s="6" t="n">
        <v>2000</v>
      </c>
      <c r="M535" s="6" t="n">
        <v>25</v>
      </c>
      <c r="N535" s="6" t="n">
        <v>20</v>
      </c>
      <c r="O535" s="6" t="n">
        <v>1</v>
      </c>
      <c r="P535" s="6" t="n">
        <v>8420</v>
      </c>
      <c r="Q535" s="6" t="n">
        <v>1</v>
      </c>
      <c r="R535">
        <f>M535+IF(MAX(N535-1,0)&gt;0,IF(ISBLANK(O535),5*MAX(N535-1,0),IF(ISNUMBER(O535),O535*MAX(N535-1,0),SUM(IFERROR(VALUE(TEXTSPLIT(O535,",")),0)))),0)</f>
        <v/>
      </c>
      <c r="S535">
        <f>IFERROR(L535*MAX(N535,1)/R535*IF(ISBLANK(K533),1,K533),0)</f>
        <v/>
      </c>
      <c r="AB535" s="7" t="inlineStr">
        <is>
          <t>^Warhead_Tesla_Super</t>
        </is>
      </c>
    </row>
    <row r="536">
      <c r="A536" t="inlineStr">
        <is>
          <t>redalert2mod</t>
        </is>
      </c>
      <c r="B536" t="inlineStr">
        <is>
          <t>schwarzermond_korruptesbiest</t>
        </is>
      </c>
      <c r="C536" t="inlineStr">
        <is>
          <t>Korruptes Biest</t>
        </is>
      </c>
      <c r="D536" s="6" t="inlineStr">
        <is>
          <t>FireSupport</t>
        </is>
      </c>
      <c r="E536" s="6" t="n">
        <v>240000</v>
      </c>
      <c r="F536" s="6" t="n">
        <v>40</v>
      </c>
      <c r="G536" t="inlineStr">
        <is>
          <t>Light</t>
        </is>
      </c>
      <c r="H536" s="6" t="n">
        <v>0.75</v>
      </c>
      <c r="I536" s="6" t="n">
        <v>1</v>
      </c>
      <c r="J536" s="6" t="n">
        <v>1.25</v>
      </c>
      <c r="P536">
        <f>MAX(P537,P538)</f>
        <v/>
      </c>
      <c r="S536">
        <f>S537+S538</f>
        <v/>
      </c>
      <c r="T536">
        <f>(E536/100000+F536/100+(P536/1000)*J536/5+S536/200)*200*I536*H536</f>
        <v/>
      </c>
      <c r="U536">
        <f>((E536*F536/25000)+((P536/1000)*J536*S536/2.5))*I536*H536</f>
        <v/>
      </c>
      <c r="V536">
        <f>(E536*F536*(P536/1000)*J536*S536*I536*H536)/12500000</f>
        <v/>
      </c>
      <c r="W536">
        <f>IFERROR((((E536/120000)+(F536/90)+(S536/2100)+((P536/10000)*J536))*1400/4+(((E536/120000)*(F536/90))+(((P536/10000)*J536)*(S536/2100)))*1400/2+((E536/120000)*(F536/90)*((P536/10000)*J536)*(S536/2100))*1400)*(H536/0.6735)/3,"")</f>
        <v/>
      </c>
      <c r="X536" s="6" t="n">
        <v>3500</v>
      </c>
      <c r="Y536">
        <f>IFERROR(W536-X536,"")</f>
        <v/>
      </c>
      <c r="Z536">
        <f>IFERROR(ABS(Y536)/MAX(X536,1),"")</f>
        <v/>
      </c>
      <c r="AA536">
        <f>IFERROR(ROUND(((3*X536-(((E536/120000)+(F536/90)+(S536/2100))*1400/4+((E536/120000)*(F536/90))*1400/2)*(H536/0.6735))/(1400/4+((S536/2100))*1400/2+((E536/120000)*(F536/90)*(S536/2100))*1400)*(H536/0.6735)*10000)/J536,-1),"")</f>
        <v/>
      </c>
    </row>
    <row r="537">
      <c r="B537" s="7" t="inlineStr">
        <is>
          <t xml:space="preserve">  ↳ NaxCorrosionBeast</t>
        </is>
      </c>
      <c r="C537" s="7" t="inlineStr">
        <is>
          <t>Armament@PRIMARY</t>
        </is>
      </c>
      <c r="L537" s="6" t="n">
        <v>6000</v>
      </c>
      <c r="M537" s="6" t="n">
        <v>34</v>
      </c>
      <c r="N537" s="6" t="n">
        <v>8</v>
      </c>
      <c r="O537" s="6" t="n">
        <v>2</v>
      </c>
      <c r="P537" s="6" t="n">
        <v>7984</v>
      </c>
      <c r="Q537" s="6" t="n">
        <v>1</v>
      </c>
      <c r="R537">
        <f>M537+IF(MAX(N537-1,0)&gt;0,IF(ISBLANK(O537),5*MAX(N537-1,0),IF(ISNUMBER(O537),O537*MAX(N537-1,0),SUM(IFERROR(VALUE(TEXTSPLIT(O537,",")),0)))),0)</f>
        <v/>
      </c>
      <c r="S537">
        <f>IFERROR(L537*MAX(N537,1)/R537*IF(ISBLANK(K536),1,K536),0)</f>
        <v/>
      </c>
      <c r="AB537" s="7" t="inlineStr">
        <is>
          <t>^Warhead_Concussion_Light, ^Warhead_MissileAP_Heavy, ^Warhead_MissileAP_Medium</t>
        </is>
      </c>
    </row>
    <row r="538">
      <c r="B538" s="7" t="inlineStr">
        <is>
          <t xml:space="preserve">  ↳ NaxCorrosionBeast_elite</t>
        </is>
      </c>
      <c r="C538" s="7" t="inlineStr">
        <is>
          <t>Armament@ELITE</t>
        </is>
      </c>
      <c r="L538" s="6" t="n">
        <v>6000</v>
      </c>
      <c r="M538" s="6" t="n">
        <v>34</v>
      </c>
      <c r="N538" s="6" t="n">
        <v>16</v>
      </c>
      <c r="O538" s="6" t="n">
        <v>2</v>
      </c>
      <c r="P538" s="6" t="n">
        <v>8984</v>
      </c>
      <c r="Q538" s="6" t="n">
        <v>1</v>
      </c>
      <c r="R538">
        <f>M538+IF(MAX(N538-1,0)&gt;0,IF(ISBLANK(O538),5*MAX(N538-1,0),IF(ISNUMBER(O538),O538*MAX(N538-1,0),SUM(IFERROR(VALUE(TEXTSPLIT(O538,",")),0)))),0)</f>
        <v/>
      </c>
      <c r="S538">
        <f>IFERROR(L538*MAX(N538,1)/R538*IF(ISBLANK(K536),1,K536),0)</f>
        <v/>
      </c>
      <c r="AB538" s="7" t="inlineStr">
        <is>
          <t>^Warhead_Concussion_Light, ^Warhead_MissileAP_Heavy, ^Warhead_MissileAP_Medium</t>
        </is>
      </c>
    </row>
    <row r="539">
      <c r="A539" t="inlineStr">
        <is>
          <t>redalert2mod</t>
        </is>
      </c>
      <c r="B539" t="inlineStr">
        <is>
          <t>futuretech_beehivedronecarrier</t>
        </is>
      </c>
      <c r="C539" t="inlineStr">
        <is>
          <t>Beehive Drone Carrier</t>
        </is>
      </c>
      <c r="D539" s="6" t="inlineStr">
        <is>
          <t>FireSupport</t>
        </is>
      </c>
      <c r="E539" s="6" t="n">
        <v>125000</v>
      </c>
      <c r="F539" s="6" t="n">
        <v>45</v>
      </c>
      <c r="G539" t="inlineStr">
        <is>
          <t>Light</t>
        </is>
      </c>
      <c r="H539" s="6" t="n">
        <v>0.305</v>
      </c>
      <c r="I539" s="6" t="n">
        <v>1</v>
      </c>
      <c r="J539" s="6" t="n">
        <v>1</v>
      </c>
      <c r="X539" s="6" t="n">
        <v>2100</v>
      </c>
    </row>
    <row r="540">
      <c r="B540" s="7" t="inlineStr">
        <is>
          <t xml:space="preserve">  ↳ BeehiveCarrierTarget</t>
        </is>
      </c>
      <c r="C540" s="7" t="inlineStr">
        <is>
          <t>Armament@PRIMARY</t>
        </is>
      </c>
      <c r="M540" s="6" t="n">
        <v>150</v>
      </c>
      <c r="N540" s="6" t="n">
        <v>1</v>
      </c>
      <c r="O540" s="6" t="n"/>
      <c r="P540" s="6" t="n">
        <v>17500</v>
      </c>
      <c r="Q540" s="6" t="n">
        <v>1</v>
      </c>
      <c r="R540">
        <f>M540+IF(MAX(N540-1,0)&gt;0,IF(ISBLANK(O540),5*MAX(N540-1,0),IF(ISNUMBER(O540),O540*MAX(N540-1,0),SUM(IFERROR(VALUE(TEXTSPLIT(O540,",")),0)))),0)</f>
        <v/>
      </c>
      <c r="S540">
        <f>IFERROR(L540*MAX(N540,1)/R540*IF(ISBLANK(K539),1,K539),0)</f>
        <v/>
      </c>
      <c r="AB540" s="7" t="inlineStr">
        <is>
          <t>RA2CarrierTarget</t>
        </is>
      </c>
    </row>
    <row r="541">
      <c r="A541" t="inlineStr">
        <is>
          <t>redalert2mod</t>
        </is>
      </c>
      <c r="B541" t="inlineStr">
        <is>
          <t>futuretech_energizer</t>
        </is>
      </c>
      <c r="C541" t="inlineStr">
        <is>
          <t>Energizer</t>
        </is>
      </c>
      <c r="D541" s="6" t="inlineStr">
        <is>
          <t>FireSupport</t>
        </is>
      </c>
      <c r="E541" s="6" t="n">
        <v>50000</v>
      </c>
      <c r="F541" s="6" t="n">
        <v>50</v>
      </c>
      <c r="G541" t="inlineStr">
        <is>
          <t>Light</t>
        </is>
      </c>
      <c r="H541" s="6" t="n">
        <v>0.305</v>
      </c>
      <c r="I541" s="6" t="n">
        <v>1</v>
      </c>
      <c r="J541" s="6" t="n">
        <v>1</v>
      </c>
      <c r="P541">
        <f>MAX(P542)</f>
        <v/>
      </c>
      <c r="S541">
        <f>S542</f>
        <v/>
      </c>
      <c r="T541">
        <f>(E541/100000+F541/100+(P541/1000)*J541/5+S541/200)*200*I541*H541</f>
        <v/>
      </c>
      <c r="U541">
        <f>((E541*F541/25000)+((P541/1000)*J541*S541/2.5))*I541*H541</f>
        <v/>
      </c>
      <c r="V541">
        <f>(E541*F541*(P541/1000)*J541*S541*I541*H541)/12500000</f>
        <v/>
      </c>
      <c r="W541">
        <f>IFERROR((((E541/120000)+(F541/90)+(S541/2100)+((P541/10000)*J541))*1400/4+(((E541/120000)*(F541/90))+(((P541/10000)*J541)*(S541/2100)))*1400/2+((E541/120000)*(F541/90)*((P541/10000)*J541)*(S541/2100))*1400)*(H541/0.6735)/3,"")</f>
        <v/>
      </c>
      <c r="X541" s="6" t="n">
        <v>1000</v>
      </c>
      <c r="Y541">
        <f>IFERROR(W541-X541,"")</f>
        <v/>
      </c>
      <c r="Z541">
        <f>IFERROR(ABS(Y541)/MAX(X541,1),"")</f>
        <v/>
      </c>
      <c r="AA541">
        <f>IFERROR(ROUND(((3*X541-(((E541/120000)+(F541/90)+(S541/2100))*1400/4+((E541/120000)*(F541/90))*1400/2)*(H541/0.6735))/(1400/4+((S541/2100))*1400/2+((E541/120000)*(F541/90)*(S541/2100))*1400)*(H541/0.6735)*10000)/J541,-1),"")</f>
        <v/>
      </c>
    </row>
    <row r="542">
      <c r="B542" s="7" t="inlineStr">
        <is>
          <t xml:space="preserve">  ↳ Future_CoilerAgressive</t>
        </is>
      </c>
      <c r="C542" s="7" t="inlineStr">
        <is>
          <t>Armament@Agressive</t>
        </is>
      </c>
      <c r="L542" s="6" t="n">
        <v>50000</v>
      </c>
      <c r="M542" s="6" t="n">
        <v>125</v>
      </c>
      <c r="N542" s="6" t="n">
        <v>1</v>
      </c>
      <c r="O542" s="6" t="n"/>
      <c r="P542" s="6" t="n">
        <v>7500</v>
      </c>
      <c r="Q542" s="6" t="n">
        <v>1.25</v>
      </c>
      <c r="R542">
        <f>M542+IF(MAX(N542-1,0)&gt;0,IF(ISBLANK(O542),5*MAX(N542-1,0),IF(ISNUMBER(O542),O542*MAX(N542-1,0),SUM(IFERROR(VALUE(TEXTSPLIT(O542,",")),0)))),0)</f>
        <v/>
      </c>
      <c r="S542">
        <f>IFERROR(L542*MAX(N542,1)/R542*IF(ISBLANK(K541),1,K541),0)</f>
        <v/>
      </c>
      <c r="AB542" s="7" t="inlineStr">
        <is>
          <t>^Warhead_Tesla_Heavy</t>
        </is>
      </c>
    </row>
    <row r="543">
      <c r="B543" s="7" t="inlineStr">
        <is>
          <t xml:space="preserve">  ↳ Future_CoilerFriendMain</t>
        </is>
      </c>
      <c r="C543" s="7" t="inlineStr">
        <is>
          <t>Armament@Support</t>
        </is>
      </c>
      <c r="M543" s="6" t="n">
        <v>125</v>
      </c>
      <c r="N543" s="6" t="n">
        <v>1</v>
      </c>
      <c r="O543" s="6" t="n"/>
      <c r="P543" s="6" t="n">
        <v>7500</v>
      </c>
      <c r="Q543" s="6" t="n">
        <v>1</v>
      </c>
      <c r="R543">
        <f>M543+IF(MAX(N543-1,0)&gt;0,IF(ISBLANK(O543),5*MAX(N543-1,0),IF(ISNUMBER(O543),O543*MAX(N543-1,0),SUM(IFERROR(VALUE(TEXTSPLIT(O543,",")),0)))),0)</f>
        <v/>
      </c>
      <c r="S543">
        <f>IFERROR(L543*MAX(N543,1)/R543*IF(ISBLANK(K541),1,K541),0)</f>
        <v/>
      </c>
      <c r="AB543" s="7" t="inlineStr">
        <is>
          <t>Future_CoilerFriend</t>
        </is>
      </c>
    </row>
    <row r="544">
      <c r="A544" t="inlineStr">
        <is>
          <t>redalert2mod</t>
        </is>
      </c>
      <c r="B544" t="inlineStr">
        <is>
          <t>futuretech_gunstrider</t>
        </is>
      </c>
      <c r="C544" t="inlineStr">
        <is>
          <t>Gun Strider</t>
        </is>
      </c>
      <c r="D544" s="6" t="inlineStr">
        <is>
          <t>FireSupport</t>
        </is>
      </c>
      <c r="E544" s="6" t="n">
        <v>320000</v>
      </c>
      <c r="F544" s="6" t="n">
        <v>35</v>
      </c>
      <c r="G544" t="inlineStr">
        <is>
          <t>Light</t>
        </is>
      </c>
      <c r="H544" s="6" t="n">
        <v>0.422</v>
      </c>
      <c r="I544" s="6" t="n">
        <v>1</v>
      </c>
      <c r="J544" s="6" t="n">
        <v>1</v>
      </c>
      <c r="P544">
        <f>MAX(P545)</f>
        <v/>
      </c>
      <c r="S544">
        <f>S545</f>
        <v/>
      </c>
      <c r="T544">
        <f>(E544/100000+F544/100+(P544/1000)*J544/5+S544/200)*200*I544*H544</f>
        <v/>
      </c>
      <c r="U544">
        <f>((E544*F544/25000)+((P544/1000)*J544*S544/2.5))*I544*H544</f>
        <v/>
      </c>
      <c r="V544">
        <f>(E544*F544*(P544/1000)*J544*S544*I544*H544)/12500000</f>
        <v/>
      </c>
      <c r="W544">
        <f>IFERROR((((E544/120000)+(F544/90)+(S544/2100)+((P544/10000)*J544))*1400/4+(((E544/120000)*(F544/90))+(((P544/10000)*J544)*(S544/2100)))*1400/2+((E544/120000)*(F544/90)*((P544/10000)*J544)*(S544/2100))*1400)*(H544/0.6735)/3,"")</f>
        <v/>
      </c>
      <c r="X544" s="6" t="n">
        <v>2500</v>
      </c>
      <c r="Y544">
        <f>IFERROR(W544-X544,"")</f>
        <v/>
      </c>
      <c r="Z544">
        <f>IFERROR(ABS(Y544)/MAX(X544,1),"")</f>
        <v/>
      </c>
      <c r="AA544">
        <f>IFERROR(ROUND(((3*X544-(((E544/120000)+(F544/90)+(S544/2100))*1400/4+((E544/120000)*(F544/90))*1400/2)*(H544/0.6735))/(1400/4+((S544/2100))*1400/2+((E544/120000)*(F544/90)*(S544/2100))*1400)*(H544/0.6735)*10000)/J544,-1),"")</f>
        <v/>
      </c>
    </row>
    <row r="545">
      <c r="B545" s="7" t="inlineStr">
        <is>
          <t xml:space="preserve">  ↳ FutureMechGatling</t>
        </is>
      </c>
      <c r="C545" s="7" t="inlineStr">
        <is>
          <t>Armament</t>
        </is>
      </c>
      <c r="L545" s="6" t="n">
        <v>8000</v>
      </c>
      <c r="M545" s="6" t="n">
        <v>12</v>
      </c>
      <c r="N545" s="6" t="n">
        <v>1</v>
      </c>
      <c r="O545" s="6" t="n"/>
      <c r="P545" s="6" t="n">
        <v>8300</v>
      </c>
      <c r="Q545" s="6" t="n">
        <v>1</v>
      </c>
      <c r="R545">
        <f>M545+IF(MAX(N545-1,0)&gt;0,IF(ISBLANK(O545),5*MAX(N545-1,0),IF(ISNUMBER(O545),O545*MAX(N545-1,0),SUM(IFERROR(VALUE(TEXTSPLIT(O545,",")),0)))),0)</f>
        <v/>
      </c>
      <c r="S545">
        <f>IFERROR(L545*MAX(N545,1)/R545*IF(ISBLANK(K544),1,K544),0)</f>
        <v/>
      </c>
      <c r="AB545" s="7" t="inlineStr">
        <is>
          <t>^Warhead_Bullet_Medium</t>
        </is>
      </c>
    </row>
    <row r="546">
      <c r="A546" t="inlineStr">
        <is>
          <t>redalert2mod</t>
        </is>
      </c>
      <c r="B546" t="inlineStr">
        <is>
          <t>futuretech_missiledroid</t>
        </is>
      </c>
      <c r="C546" t="inlineStr">
        <is>
          <t>Missile Droid</t>
        </is>
      </c>
      <c r="D546" s="6" t="inlineStr">
        <is>
          <t>FireSupport</t>
        </is>
      </c>
      <c r="E546" s="6" t="n">
        <v>67500</v>
      </c>
      <c r="F546" s="6" t="n">
        <v>40</v>
      </c>
      <c r="G546" t="inlineStr">
        <is>
          <t>Flak</t>
        </is>
      </c>
      <c r="H546" s="6" t="n">
        <v>0.4015</v>
      </c>
      <c r="I546" s="6" t="n">
        <v>1</v>
      </c>
      <c r="J546" s="6" t="n">
        <v>1</v>
      </c>
      <c r="P546">
        <f>MAX(P547,P548)</f>
        <v/>
      </c>
      <c r="S546">
        <f>S547+S548</f>
        <v/>
      </c>
      <c r="T546">
        <f>(E546/100000+F546/100+(P546/1000)*J546/5+S546/200)*200*I546*H546</f>
        <v/>
      </c>
      <c r="U546">
        <f>((E546*F546/25000)+((P546/1000)*J546*S546/2.5))*I546*H546</f>
        <v/>
      </c>
      <c r="V546">
        <f>(E546*F546*(P546/1000)*J546*S546*I546*H546)/12500000</f>
        <v/>
      </c>
      <c r="W546">
        <f>IFERROR((((E546/10000)+(F546/55)+(S546/200)+((P546/6500)*J546))*300/4+(((E546/10000)*(F546/55))+(((P546/6500)*J546)*(S546/200)))*300/2+((E546/10000)*(F546/55)*((P546/6500)*J546)*(S546/200))*300)*(H546/1.0)/3,"")</f>
        <v/>
      </c>
      <c r="X546" s="6" t="n">
        <v>700</v>
      </c>
      <c r="Y546">
        <f>IFERROR(W546-X546,"")</f>
        <v/>
      </c>
      <c r="Z546">
        <f>IFERROR(ABS(Y546)/MAX(X546,1),"")</f>
        <v/>
      </c>
      <c r="AA546">
        <f>IFERROR(ROUND(((3*X546-(((E546/10000)+(F546/55)+(S546/200))*300/4+((E546/10000)*(F546/55))*300/2)*(H546/1.0))/(300/4+((S546/200))*300/2+((E546/10000)*(F546/55)*(S546/200))*300)*(H546/1.0)*6500)/J546,-1),"")</f>
        <v/>
      </c>
    </row>
    <row r="547">
      <c r="B547" s="7" t="inlineStr">
        <is>
          <t xml:space="preserve">  ↳ MissileAttackRobotGun</t>
        </is>
      </c>
      <c r="C547" s="7" t="inlineStr">
        <is>
          <t>Armament@PRIMARY</t>
        </is>
      </c>
      <c r="L547" s="6" t="n">
        <v>24000</v>
      </c>
      <c r="M547" s="6" t="n">
        <v>65</v>
      </c>
      <c r="N547" s="6" t="n">
        <v>2</v>
      </c>
      <c r="O547" s="6" t="n">
        <v>5</v>
      </c>
      <c r="P547" s="6" t="n">
        <v>8000</v>
      </c>
      <c r="Q547" s="6" t="n">
        <v>0.875</v>
      </c>
      <c r="R547">
        <f>M547+IF(MAX(N547-1,0)&gt;0,IF(ISBLANK(O547),5*MAX(N547-1,0),IF(ISNUMBER(O547),O547*MAX(N547-1,0),SUM(IFERROR(VALUE(TEXTSPLIT(O547,",")),0)))),0)</f>
        <v/>
      </c>
      <c r="S547">
        <f>IFERROR(L547*MAX(N547,1)/R547*IF(ISBLANK(K546),1,K546),0)</f>
        <v/>
      </c>
      <c r="AB547" s="7" t="inlineStr">
        <is>
          <t>^Warhead_MissileAP_Medium, ^Warhead_MissileAP_Light</t>
        </is>
      </c>
    </row>
    <row r="548">
      <c r="B548" s="7" t="inlineStr">
        <is>
          <t xml:space="preserve">  ↳ MissileAttackRobotGun_elite</t>
        </is>
      </c>
      <c r="C548" s="7" t="inlineStr">
        <is>
          <t>Armament@ELITE</t>
        </is>
      </c>
      <c r="L548" s="6" t="n">
        <v>24000</v>
      </c>
      <c r="M548" s="6" t="n">
        <v>65</v>
      </c>
      <c r="N548" s="6" t="n">
        <v>4</v>
      </c>
      <c r="O548" s="6" t="n">
        <v>5</v>
      </c>
      <c r="P548" s="6" t="n">
        <v>9000</v>
      </c>
      <c r="Q548" s="6" t="n">
        <v>0.875</v>
      </c>
      <c r="R548">
        <f>M548+IF(MAX(N548-1,0)&gt;0,IF(ISBLANK(O548),5*MAX(N548-1,0),IF(ISNUMBER(O548),O548*MAX(N548-1,0),SUM(IFERROR(VALUE(TEXTSPLIT(O548,",")),0)))),0)</f>
        <v/>
      </c>
      <c r="S548">
        <f>IFERROR(L548*MAX(N548,1)/R548*IF(ISBLANK(K546),1,K546),0)</f>
        <v/>
      </c>
      <c r="AB548" s="7" t="inlineStr">
        <is>
          <t>^Warhead_MissileAP_Medium, ^Warhead_MissileAP_Light</t>
        </is>
      </c>
    </row>
    <row r="549">
      <c r="A549" t="inlineStr">
        <is>
          <t>d2k</t>
        </is>
      </c>
      <c r="B549" t="inlineStr">
        <is>
          <t>ixian_stormraider</t>
        </is>
      </c>
      <c r="C549" t="inlineStr">
        <is>
          <t>Storm Raider</t>
        </is>
      </c>
      <c r="D549" s="6" t="inlineStr">
        <is>
          <t>FireSupport</t>
        </is>
      </c>
      <c r="E549" s="6" t="n">
        <v>60000</v>
      </c>
      <c r="F549" s="6" t="n">
        <v>95</v>
      </c>
      <c r="G549" t="inlineStr">
        <is>
          <t>Light</t>
        </is>
      </c>
      <c r="H549" s="6" t="n">
        <v>0.75</v>
      </c>
      <c r="I549" s="6" t="n">
        <v>1</v>
      </c>
      <c r="J549" s="6" t="n">
        <v>1.5</v>
      </c>
      <c r="K549" t="n">
        <v>0.005</v>
      </c>
      <c r="P549">
        <f>MAX(P550,P551)</f>
        <v/>
      </c>
      <c r="S549">
        <f>S550+S551</f>
        <v/>
      </c>
      <c r="T549">
        <f>(E549/100000+F549/100+(P549/1000)*J549/5+S549/200)*200*I549*H549</f>
        <v/>
      </c>
      <c r="U549">
        <f>((E549*F549/25000)+((P549/1000)*J549*S549/2.5))*I549*H549</f>
        <v/>
      </c>
      <c r="V549">
        <f>(E549*F549*(P549/1000)*J549*S549*I549*H549)/12500000</f>
        <v/>
      </c>
      <c r="W549">
        <f>IFERROR((((E549/120000)+(F549/90)+(S549/2100)+((P549/10000)*J549))*1400/4+(((E549/120000)*(F549/90))+(((P549/10000)*J549)*(S549/2100)))*1400/2+((E549/120000)*(F549/90)*((P549/10000)*J549)*(S549/2100))*1400)*(H549/0.6735)/3,"")</f>
        <v/>
      </c>
      <c r="X549" s="6" t="n">
        <v>2200</v>
      </c>
      <c r="Y549">
        <f>IFERROR(W549-X549,"")</f>
        <v/>
      </c>
      <c r="Z549">
        <f>IFERROR(ABS(Y549)/MAX(X549,1),"")</f>
        <v/>
      </c>
      <c r="AA549">
        <f>IFERROR(ROUND(((3*X549-(((E549/120000)+(F549/90)+(S549/2100))*1400/4+((E549/120000)*(F549/90))*1400/2)*(H549/0.6735))/(1400/4+((S549/2100))*1400/2+((E549/120000)*(F549/90)*(S549/2100))*1400)*(H549/0.6735)*10000)/J549,-1),"")</f>
        <v/>
      </c>
    </row>
    <row r="550">
      <c r="B550" s="7" t="inlineStr">
        <is>
          <t xml:space="preserve">  ↳ D2K_ShockGun2</t>
        </is>
      </c>
      <c r="C550" s="7" t="inlineStr">
        <is>
          <t>Armament@damage</t>
        </is>
      </c>
      <c r="L550" s="6" t="n">
        <v>40000</v>
      </c>
      <c r="M550" s="6" t="n">
        <v>100</v>
      </c>
      <c r="N550" s="6" t="n">
        <v>1</v>
      </c>
      <c r="O550" s="6" t="n"/>
      <c r="P550" s="6" t="n">
        <v>7343</v>
      </c>
      <c r="Q550" s="6" t="n">
        <v>1.25</v>
      </c>
      <c r="R550">
        <f>M550+IF(MAX(N550-1,0)&gt;0,IF(ISBLANK(O550),5*MAX(N550-1,0),IF(ISNUMBER(O550),O550*MAX(N550-1,0),SUM(IFERROR(VALUE(TEXTSPLIT(O550,",")),0)))),0)</f>
        <v/>
      </c>
      <c r="S550">
        <f>IFERROR(L550*MAX(N550,1)/R550*IF(ISBLANK(K549),1,K549),0)</f>
        <v/>
      </c>
      <c r="AB550" s="7" t="inlineStr">
        <is>
          <t>^Warhead_Storm_Heavy</t>
        </is>
      </c>
    </row>
    <row r="551">
      <c r="B551" s="7" t="inlineStr">
        <is>
          <t xml:space="preserve">  ↳ D2K_StormGun</t>
        </is>
      </c>
      <c r="C551" s="7" t="inlineStr">
        <is>
          <t>Armament@StormEffect</t>
        </is>
      </c>
      <c r="L551" s="6" t="n">
        <v>80000</v>
      </c>
      <c r="M551" s="6" t="n">
        <v>100</v>
      </c>
      <c r="N551" s="6" t="n">
        <v>1</v>
      </c>
      <c r="O551" s="6" t="n"/>
      <c r="P551" s="6" t="n">
        <v>7343</v>
      </c>
      <c r="Q551" s="6" t="n">
        <v>1.25</v>
      </c>
      <c r="R551">
        <f>M551+IF(MAX(N551-1,0)&gt;0,IF(ISBLANK(O551),5*MAX(N551-1,0),IF(ISNUMBER(O551),O551*MAX(N551-1,0),SUM(IFERROR(VALUE(TEXTSPLIT(O551,",")),0)))),0)</f>
        <v/>
      </c>
      <c r="S551">
        <f>IFERROR(L551*MAX(N551,1)/R551*IF(ISBLANK(K549),1,K549),0)</f>
        <v/>
      </c>
      <c r="AB551" s="7" t="inlineStr">
        <is>
          <t>^Warhead_Storm_Heavy</t>
        </is>
      </c>
    </row>
    <row r="552">
      <c r="A552" t="inlineStr">
        <is>
          <t>starcraft</t>
        </is>
      </c>
      <c r="B552" t="inlineStr">
        <is>
          <t>protoss_reaver</t>
        </is>
      </c>
      <c r="C552" t="inlineStr">
        <is>
          <t>Reaver</t>
        </is>
      </c>
      <c r="D552" s="6" t="inlineStr">
        <is>
          <t>FireSupport</t>
        </is>
      </c>
      <c r="E552" s="6" t="n">
        <v>275000</v>
      </c>
      <c r="F552" s="6" t="n">
        <v>40</v>
      </c>
      <c r="G552" t="inlineStr">
        <is>
          <t>Light</t>
        </is>
      </c>
      <c r="H552" s="6" t="n">
        <v>1</v>
      </c>
      <c r="I552" s="6" t="n">
        <v>1</v>
      </c>
      <c r="J552" s="6" t="n">
        <v>1</v>
      </c>
      <c r="P552">
        <f>MAX(P553,P554)</f>
        <v/>
      </c>
      <c r="S552">
        <f>S553+S554</f>
        <v/>
      </c>
      <c r="T552">
        <f>(E552/100000+F552/100+(P552/1000)*J552/5+S552/200)*200*I552*H552</f>
        <v/>
      </c>
      <c r="U552">
        <f>((E552*F552/25000)+((P552/1000)*J552*S552/2.5))*I552*H552</f>
        <v/>
      </c>
      <c r="V552">
        <f>(E552*F552*(P552/1000)*J552*S552*I552*H552)/12500000</f>
        <v/>
      </c>
      <c r="W552">
        <f>IFERROR((((E552/120000)+(F552/90)+(S552/2100)+((P552/10000)*J552))*1400/4+(((E552/120000)*(F552/90))+(((P552/10000)*J552)*(S552/2100)))*1400/2+((E552/120000)*(F552/90)*((P552/10000)*J552)*(S552/2100))*1400)*(H552/0.6735)/3,"")</f>
        <v/>
      </c>
      <c r="X552" s="6" t="n">
        <v>2700</v>
      </c>
      <c r="Y552">
        <f>IFERROR(W552-X552,"")</f>
        <v/>
      </c>
      <c r="Z552">
        <f>IFERROR(ABS(Y552)/MAX(X552,1),"")</f>
        <v/>
      </c>
      <c r="AA552">
        <f>IFERROR(ROUND(((3*X552-(((E552/120000)+(F552/90)+(S552/2100))*1400/4+((E552/120000)*(F552/90))*1400/2)*(H552/0.6735))/(1400/4+((S552/2100))*1400/2+((E552/120000)*(F552/90)*(S552/2100))*1400)*(H552/0.6735)*10000)/J552,-1),"")</f>
        <v/>
      </c>
    </row>
    <row r="553">
      <c r="B553" s="7" t="inlineStr">
        <is>
          <t xml:space="preserve">  ↳ ScarabLaunch</t>
        </is>
      </c>
      <c r="C553" s="7" t="inlineStr">
        <is>
          <t>Armament@primary</t>
        </is>
      </c>
      <c r="L553" s="6" t="n">
        <v>200000</v>
      </c>
      <c r="M553" s="6" t="n">
        <v>90</v>
      </c>
      <c r="N553" s="6" t="n">
        <v>1</v>
      </c>
      <c r="O553" s="6" t="n"/>
      <c r="P553" s="6" t="n">
        <v>7777</v>
      </c>
      <c r="Q553" s="6" t="n">
        <v>1.25</v>
      </c>
      <c r="R553">
        <f>M553+IF(MAX(N553-1,0)&gt;0,IF(ISBLANK(O553),5*MAX(N553-1,0),IF(ISNUMBER(O553),O553*MAX(N553-1,0),SUM(IFERROR(VALUE(TEXTSPLIT(O553,",")),0)))),0)</f>
        <v/>
      </c>
      <c r="S553">
        <f>IFERROR(L553*MAX(N553,1)/R553*IF(ISBLANK(K552),1,K552),0)</f>
        <v/>
      </c>
      <c r="AB553" s="7" t="inlineStr">
        <is>
          <t>^Warhead_CannonHE_Heavy</t>
        </is>
      </c>
    </row>
    <row r="554">
      <c r="B554" s="7" t="inlineStr">
        <is>
          <t xml:space="preserve">  ↳ ScarabLaunchDummy</t>
        </is>
      </c>
      <c r="C554" s="7" t="inlineStr">
        <is>
          <t>Armament@secondary</t>
        </is>
      </c>
      <c r="L554" t="n">
        <v>0</v>
      </c>
      <c r="M554" s="6" t="n">
        <v>90</v>
      </c>
      <c r="N554" s="6" t="n">
        <v>1</v>
      </c>
      <c r="O554" s="6" t="n"/>
      <c r="P554" s="6" t="n">
        <v>7777</v>
      </c>
      <c r="Q554" s="6" t="n">
        <v>1</v>
      </c>
      <c r="R554">
        <f>M554+IF(MAX(N554-1,0)&gt;0,IF(ISBLANK(O554),5*MAX(N554-1,0),IF(ISNUMBER(O554),O554*MAX(N554-1,0),SUM(IFERROR(VALUE(TEXTSPLIT(O554,",")),0)))),0)</f>
        <v/>
      </c>
      <c r="S554">
        <f>IFERROR(L554*MAX(N554,1)/R554*IF(ISBLANK(K552),1,K552),0)</f>
        <v/>
      </c>
      <c r="AB554" s="7" t="inlineStr"/>
    </row>
    <row r="555">
      <c r="A555" t="inlineStr">
        <is>
          <t>starcraft</t>
        </is>
      </c>
      <c r="B555" t="inlineStr">
        <is>
          <t>zerg_lurker</t>
        </is>
      </c>
      <c r="C555" t="inlineStr">
        <is>
          <t>Lurker</t>
        </is>
      </c>
      <c r="D555" s="6" t="inlineStr">
        <is>
          <t>FireSupport</t>
        </is>
      </c>
      <c r="E555" s="6" t="n">
        <v>125000</v>
      </c>
      <c r="F555" s="6" t="n">
        <v>90</v>
      </c>
      <c r="G555" t="inlineStr">
        <is>
          <t>Light</t>
        </is>
      </c>
      <c r="H555" s="6" t="n">
        <v>1</v>
      </c>
      <c r="I555" s="6" t="n">
        <v>1</v>
      </c>
      <c r="J555" s="6" t="n">
        <v>1.25</v>
      </c>
      <c r="X555" s="6" t="n">
        <v>1300</v>
      </c>
    </row>
    <row r="556">
      <c r="B556" s="7" t="inlineStr">
        <is>
          <t xml:space="preserve">  ↳ LurkerTargeting</t>
        </is>
      </c>
      <c r="C556" s="7" t="inlineStr">
        <is>
          <t>Armament@Dummy</t>
        </is>
      </c>
      <c r="M556" s="6" t="n">
        <v>33</v>
      </c>
      <c r="N556" s="6" t="n">
        <v>1</v>
      </c>
      <c r="O556" s="6" t="n"/>
      <c r="P556" s="6" t="n">
        <v>6666</v>
      </c>
      <c r="Q556" s="6" t="n">
        <v>1</v>
      </c>
      <c r="R556">
        <f>M556+IF(MAX(N556-1,0)&gt;0,IF(ISBLANK(O556),5*MAX(N556-1,0),IF(ISNUMBER(O556),O556*MAX(N556-1,0),SUM(IFERROR(VALUE(TEXTSPLIT(O556,",")),0)))),0)</f>
        <v/>
      </c>
      <c r="S556">
        <f>IFERROR(L556*MAX(N556,1)/R556*IF(ISBLANK(K555),1,K555),0)</f>
        <v/>
      </c>
      <c r="AB556" s="7" t="inlineStr"/>
    </row>
    <row r="557">
      <c r="B557" s="7" t="inlineStr">
        <is>
          <t xml:space="preserve">  ↳ LurkerSpines</t>
        </is>
      </c>
      <c r="C557" s="7" t="inlineStr">
        <is>
          <t>Armament@Deployed</t>
        </is>
      </c>
      <c r="M557" s="6" t="n">
        <v>66</v>
      </c>
      <c r="N557" s="6" t="n">
        <v>1</v>
      </c>
      <c r="O557" s="6" t="n"/>
      <c r="P557" s="6" t="n">
        <v>6666</v>
      </c>
      <c r="Q557" s="6" t="n">
        <v>1</v>
      </c>
      <c r="R557">
        <f>M557+IF(MAX(N557-1,0)&gt;0,IF(ISBLANK(O557),5*MAX(N557-1,0),IF(ISNUMBER(O557),O557*MAX(N557-1,0),SUM(IFERROR(VALUE(TEXTSPLIT(O557,",")),0)))),0)</f>
        <v/>
      </c>
      <c r="S557">
        <f>IFERROR(L557*MAX(N557,1)/R557*IF(ISBLANK(K555),1,K555),0)</f>
        <v/>
      </c>
      <c r="AB557" s="7" t="inlineStr"/>
    </row>
    <row r="558">
      <c r="A558" t="inlineStr">
        <is>
          <t>starcraft</t>
        </is>
      </c>
      <c r="B558" t="inlineStr">
        <is>
          <t>zerg_sporemaw</t>
        </is>
      </c>
      <c r="C558" t="inlineStr">
        <is>
          <t>Sporemaw</t>
        </is>
      </c>
      <c r="D558" s="6" t="inlineStr">
        <is>
          <t>FireSupport</t>
        </is>
      </c>
      <c r="E558" s="6" t="n">
        <v>25000</v>
      </c>
      <c r="F558" s="6" t="n">
        <v>80</v>
      </c>
      <c r="G558" t="inlineStr">
        <is>
          <t>Light</t>
        </is>
      </c>
      <c r="H558" s="6" t="n">
        <v>1</v>
      </c>
      <c r="I558" s="6" t="n">
        <v>1</v>
      </c>
      <c r="J558" s="6" t="n">
        <v>1</v>
      </c>
      <c r="P558">
        <f>MAX(P559)</f>
        <v/>
      </c>
      <c r="S558">
        <f>S559</f>
        <v/>
      </c>
      <c r="T558">
        <f>(E558/100000+F558/100+(P558/1000)*J558/5+S558/200)*200*I558*H558</f>
        <v/>
      </c>
      <c r="U558">
        <f>((E558*F558/25000)+((P558/1000)*J558*S558/2.5))*I558*H558</f>
        <v/>
      </c>
      <c r="V558">
        <f>(E558*F558*(P558/1000)*J558*S558*I558*H558)/12500000</f>
        <v/>
      </c>
      <c r="W558">
        <f>IFERROR((((E558/120000)+(F558/90)+(S558/2100)+((P558/10000)*J558))*1400/4+(((E558/120000)*(F558/90))+(((P558/10000)*J558)*(S558/2100)))*1400/2+((E558/120000)*(F558/90)*((P558/10000)*J558)*(S558/2100))*1400)*(H558/0.6735)/3,"")</f>
        <v/>
      </c>
      <c r="X558" s="6" t="n">
        <v>1000</v>
      </c>
      <c r="Y558">
        <f>IFERROR(W558-X558,"")</f>
        <v/>
      </c>
      <c r="Z558">
        <f>IFERROR(ABS(Y558)/MAX(X558,1),"")</f>
        <v/>
      </c>
      <c r="AA558">
        <f>IFERROR(ROUND(((3*X558-(((E558/120000)+(F558/90)+(S558/2100))*1400/4+((E558/120000)*(F558/90))*1400/2)*(H558/0.6735))/(1400/4+((S558/2100))*1400/2+((E558/120000)*(F558/90)*(S558/2100))*1400)*(H558/0.6735)*10000)/J558,-1),"")</f>
        <v/>
      </c>
    </row>
    <row r="559">
      <c r="B559" s="7" t="inlineStr">
        <is>
          <t xml:space="preserve">  ↳ SporemawShoot</t>
        </is>
      </c>
      <c r="C559" s="7" t="inlineStr">
        <is>
          <t>Armament@PRIMARY</t>
        </is>
      </c>
      <c r="L559" s="6" t="n">
        <v>18000</v>
      </c>
      <c r="M559" s="6" t="n">
        <v>40</v>
      </c>
      <c r="N559" s="6" t="n">
        <v>1</v>
      </c>
      <c r="O559" s="6" t="n"/>
      <c r="P559" s="6" t="n">
        <v>7740</v>
      </c>
      <c r="Q559" s="6" t="n">
        <v>1</v>
      </c>
      <c r="R559">
        <f>M559+IF(MAX(N559-1,0)&gt;0,IF(ISBLANK(O559),5*MAX(N559-1,0),IF(ISNUMBER(O559),O559*MAX(N559-1,0),SUM(IFERROR(VALUE(TEXTSPLIT(O559,",")),0)))),0)</f>
        <v/>
      </c>
      <c r="S559">
        <f>IFERROR(L559*MAX(N559,1)/R559*IF(ISBLANK(K558),1,K558),0)</f>
        <v/>
      </c>
      <c r="AB559" s="7" t="inlineStr">
        <is>
          <t>^Warhead_Concussion_Medium</t>
        </is>
      </c>
    </row>
    <row r="560">
      <c r="B560" s="7" t="inlineStr">
        <is>
          <t xml:space="preserve">  ↳ SporemawShoot</t>
        </is>
      </c>
      <c r="C560" s="7" t="inlineStr">
        <is>
          <t>Armament@GARRISONED</t>
        </is>
      </c>
      <c r="L560" s="6" t="n">
        <v>18000</v>
      </c>
      <c r="M560" s="6" t="n">
        <v>40</v>
      </c>
      <c r="N560" s="6" t="n">
        <v>1</v>
      </c>
      <c r="O560" s="6" t="n"/>
      <c r="P560" s="6" t="n">
        <v>7740</v>
      </c>
      <c r="Q560" s="6" t="n">
        <v>1</v>
      </c>
      <c r="R560">
        <f>M560+IF(MAX(N560-1,0)&gt;0,IF(ISBLANK(O560),5*MAX(N560-1,0),IF(ISNUMBER(O560),O560*MAX(N560-1,0),SUM(IFERROR(VALUE(TEXTSPLIT(O560,",")),0)))),0)</f>
        <v/>
      </c>
      <c r="S560">
        <f>IFERROR(L560*MAX(N560,1)/R560*IF(ISBLANK(K558),1,K558),0)</f>
        <v/>
      </c>
      <c r="AB560" s="7" t="inlineStr">
        <is>
          <t>^Warhead_Concussion_Medium</t>
        </is>
      </c>
    </row>
    <row r="561">
      <c r="A561" s="4" t="inlineStr">
        <is>
          <t>SupportVehicle</t>
        </is>
      </c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  <c r="AB561" s="5" t="n"/>
    </row>
    <row r="562">
      <c r="A562" t="inlineStr">
        <is>
          <t>tiberiandawn</t>
        </is>
      </c>
      <c r="B562" t="inlineStr">
        <is>
          <t>td_gdi_apc</t>
        </is>
      </c>
      <c r="C562" t="inlineStr">
        <is>
          <t>GDI APC</t>
        </is>
      </c>
      <c r="D562" s="6" t="inlineStr">
        <is>
          <t>SupportVehicle</t>
        </is>
      </c>
      <c r="E562" s="6" t="n">
        <v>47500</v>
      </c>
      <c r="F562" s="6" t="n">
        <v>100</v>
      </c>
      <c r="G562" t="inlineStr">
        <is>
          <t>Medium</t>
        </is>
      </c>
      <c r="H562" s="6" t="n">
        <v>0.8048999999999999</v>
      </c>
      <c r="I562" s="6" t="n">
        <v>1</v>
      </c>
      <c r="J562" s="6" t="n">
        <v>1</v>
      </c>
      <c r="P562">
        <f>MAX(P563,P564)</f>
        <v/>
      </c>
      <c r="S562">
        <f>S563+S564</f>
        <v/>
      </c>
      <c r="T562">
        <f>(E562/100000+F562/100+(P562/1000)*J562/5+S562/200)*200*I562*H562</f>
        <v/>
      </c>
      <c r="U562">
        <f>((E562*F562/25000)+((P562/1000)*J562*S562/2.5))*I562*H562</f>
        <v/>
      </c>
      <c r="V562">
        <f>(E562*F562*(P562/1000)*J562*S562*I562*H562)/12500000</f>
        <v/>
      </c>
      <c r="W562">
        <f>(T562+U562+V562)/3</f>
        <v/>
      </c>
      <c r="X562" s="6" t="n">
        <v>1200</v>
      </c>
      <c r="Y562">
        <f>IFERROR(W562-X562,"")</f>
        <v/>
      </c>
      <c r="Z562">
        <f>IFERROR(ABS(Y562)/MAX(X562,1),"")</f>
        <v/>
      </c>
      <c r="AA562">
        <f>IFERROR((X562-(((E562/100000+F562/100+S562/200)*200*I562*H562)+((E562*F562/25000)*I562*H562))/3)/(((J562/5)*200*I562*H562)+((J562*S562/2.5)*I562*H562)+((E562*F562*J562*S562*I562*H562)/12500000))/3*1000,"")</f>
        <v/>
      </c>
    </row>
    <row r="563">
      <c r="B563" s="7" t="inlineStr">
        <is>
          <t xml:space="preserve">  ↳ APCGun</t>
        </is>
      </c>
      <c r="C563" s="7" t="inlineStr">
        <is>
          <t>Armament@PRIMARY</t>
        </is>
      </c>
      <c r="L563" s="6" t="n">
        <v>4000</v>
      </c>
      <c r="M563" s="6" t="n">
        <v>10</v>
      </c>
      <c r="N563" s="6" t="n">
        <v>1</v>
      </c>
      <c r="O563" s="6" t="n"/>
      <c r="P563" s="6" t="n">
        <v>5668</v>
      </c>
      <c r="Q563" s="6" t="n">
        <v>1</v>
      </c>
      <c r="R563">
        <f>M563+IF(MAX(N563-1,0)&gt;0,IF(ISBLANK(O563),5*MAX(N563-1,0),IF(ISNUMBER(O563),O563*MAX(N563-1,0),SUM(IFERROR(VALUE(TEXTSPLIT(O563,",")),0)))),0)</f>
        <v/>
      </c>
      <c r="S563">
        <f>IFERROR(L563*MAX(N563,1)/R563*IF(ISBLANK(K562),1,K562),0)</f>
        <v/>
      </c>
      <c r="AB563" s="7" t="inlineStr">
        <is>
          <t>^Warhead_Bullet_Medium, ^Warhead_Flak_Medium</t>
        </is>
      </c>
    </row>
    <row r="564">
      <c r="B564" s="7" t="inlineStr">
        <is>
          <t xml:space="preserve">  ↳ APCGun_AA</t>
        </is>
      </c>
      <c r="C564" s="7" t="inlineStr">
        <is>
          <t>Armament@SECONDARY</t>
        </is>
      </c>
      <c r="L564" s="6" t="n">
        <v>4000</v>
      </c>
      <c r="M564" s="6" t="n">
        <v>10</v>
      </c>
      <c r="N564" s="6" t="n">
        <v>1</v>
      </c>
      <c r="O564" s="6" t="n"/>
      <c r="P564" s="6" t="n">
        <v>8502</v>
      </c>
      <c r="Q564" s="6" t="n">
        <v>1</v>
      </c>
      <c r="R564">
        <f>M564+IF(MAX(N564-1,0)&gt;0,IF(ISBLANK(O564),5*MAX(N564-1,0),IF(ISNUMBER(O564),O564*MAX(N564-1,0),SUM(IFERROR(VALUE(TEXTSPLIT(O564,",")),0)))),0)</f>
        <v/>
      </c>
      <c r="S564">
        <f>IFERROR(L564*MAX(N564,1)/R564*IF(ISBLANK(K562),1,K562),0)</f>
        <v/>
      </c>
      <c r="AB564" s="7" t="inlineStr">
        <is>
          <t>^Warhead_Bullet_Medium, ^Warhead_Flak_Medium</t>
        </is>
      </c>
    </row>
    <row r="565">
      <c r="A565" t="inlineStr">
        <is>
          <t>tiberiandawn</t>
        </is>
      </c>
      <c r="B565" t="inlineStr">
        <is>
          <t>td_gdi_boxer</t>
        </is>
      </c>
      <c r="C565" t="inlineStr">
        <is>
          <t>Boxer</t>
        </is>
      </c>
      <c r="D565" s="6" t="inlineStr">
        <is>
          <t>SupportVehicle</t>
        </is>
      </c>
      <c r="E565" s="6" t="n">
        <v>110000</v>
      </c>
      <c r="F565" s="6" t="n">
        <v>80</v>
      </c>
      <c r="G565" t="inlineStr">
        <is>
          <t>Medium</t>
        </is>
      </c>
      <c r="H565" s="6" t="n">
        <v>1</v>
      </c>
      <c r="I565" s="6" t="n">
        <v>1</v>
      </c>
      <c r="J565" s="6" t="n">
        <v>1.25</v>
      </c>
      <c r="K565" t="n">
        <v>0.005</v>
      </c>
      <c r="P565">
        <f>MAX(P566,P567)</f>
        <v/>
      </c>
      <c r="S565">
        <f>S566+S567</f>
        <v/>
      </c>
      <c r="T565">
        <f>(E565/100000+F565/100+(P565/1000)*J565/5+S565/200)*200*I565*H565</f>
        <v/>
      </c>
      <c r="U565">
        <f>((E565*F565/25000)+((P565/1000)*J565*S565/2.5))*I565*H565</f>
        <v/>
      </c>
      <c r="V565">
        <f>(E565*F565*(P565/1000)*J565*S565*I565*H565)/12500000</f>
        <v/>
      </c>
      <c r="W565">
        <f>(T565+U565+V565)/3</f>
        <v/>
      </c>
      <c r="X565" s="6" t="n">
        <v>1550</v>
      </c>
      <c r="Y565">
        <f>IFERROR(W565-X565,"")</f>
        <v/>
      </c>
      <c r="Z565">
        <f>IFERROR(ABS(Y565)/MAX(X565,1),"")</f>
        <v/>
      </c>
      <c r="AA565">
        <f>IFERROR((X565-(((E565/100000+F565/100+S565/200)*200*I565*H565)+((E565*F565/25000)*I565*H565))/3)/(((J565/5)*200*I565*H565)+((J565*S565/2.5)*I565*H565)+((E565*F565*J565*S565*I565*H565)/12500000))/3*1000,"")</f>
        <v/>
      </c>
    </row>
    <row r="566">
      <c r="B566" s="7" t="inlineStr">
        <is>
          <t xml:space="preserve">  ↳ BoxerCannonAG</t>
        </is>
      </c>
      <c r="C566" s="7" t="inlineStr">
        <is>
          <t>Armament@AG</t>
        </is>
      </c>
      <c r="L566" s="6" t="n">
        <v>12000</v>
      </c>
      <c r="M566" s="6" t="n">
        <v>11</v>
      </c>
      <c r="N566" s="6" t="n">
        <v>1</v>
      </c>
      <c r="O566" s="6" t="n"/>
      <c r="P566" s="6" t="n">
        <v>4860</v>
      </c>
      <c r="Q566" s="6" t="n">
        <v>1</v>
      </c>
      <c r="R566">
        <f>M566+IF(MAX(N566-1,0)&gt;0,IF(ISBLANK(O566),5*MAX(N566-1,0),IF(ISNUMBER(O566),O566*MAX(N566-1,0),SUM(IFERROR(VALUE(TEXTSPLIT(O566,",")),0)))),0)</f>
        <v/>
      </c>
      <c r="S566">
        <f>IFERROR(L566*MAX(N566,1)/R566*IF(ISBLANK(K565),1,K565),0)</f>
        <v/>
      </c>
      <c r="AB566" s="7" t="inlineStr">
        <is>
          <t>^SmallArms, ^LightMissile, ^Grenade, ^MediumCannon, ^Chaingun, ^FlakWeapon</t>
        </is>
      </c>
    </row>
    <row r="567">
      <c r="B567" s="7" t="inlineStr">
        <is>
          <t xml:space="preserve">  ↳ BoxerCannon_AA</t>
        </is>
      </c>
      <c r="C567" s="7" t="inlineStr">
        <is>
          <t>Armament@AA</t>
        </is>
      </c>
      <c r="L567" s="6" t="n">
        <v>12000</v>
      </c>
      <c r="M567" s="6" t="n">
        <v>11</v>
      </c>
      <c r="N567" s="6" t="n">
        <v>1</v>
      </c>
      <c r="O567" s="6" t="n"/>
      <c r="P567" s="6" t="n">
        <v>7290</v>
      </c>
      <c r="Q567" s="6" t="n">
        <v>1</v>
      </c>
      <c r="R567">
        <f>M567+IF(MAX(N567-1,0)&gt;0,IF(ISBLANK(O567),5*MAX(N567-1,0),IF(ISNUMBER(O567),O567*MAX(N567-1,0),SUM(IFERROR(VALUE(TEXTSPLIT(O567,",")),0)))),0)</f>
        <v/>
      </c>
      <c r="S567">
        <f>IFERROR(L567*MAX(N567,1)/R567*IF(ISBLANK(K565),1,K565),0)</f>
        <v/>
      </c>
      <c r="AB567" s="7" t="inlineStr">
        <is>
          <t>BoxerCannonAG</t>
        </is>
      </c>
    </row>
    <row r="568">
      <c r="A568" t="inlineStr">
        <is>
          <t>tiberiandawn</t>
        </is>
      </c>
      <c r="B568" t="inlineStr">
        <is>
          <t>td_gdi_mobileconstructionvehicle</t>
        </is>
      </c>
      <c r="C568" t="inlineStr">
        <is>
          <t>GDI Mobile Construction Vehicle</t>
        </is>
      </c>
      <c r="D568" s="6" t="inlineStr">
        <is>
          <t>SupportVehicle</t>
        </is>
      </c>
      <c r="E568" s="6" t="n">
        <v>300000</v>
      </c>
      <c r="F568" s="6" t="n">
        <v>75</v>
      </c>
      <c r="G568" t="inlineStr">
        <is>
          <t>Medium</t>
        </is>
      </c>
      <c r="H568" s="6" t="n">
        <v>0.8048999999999999</v>
      </c>
      <c r="I568" s="6" t="n">
        <v>1</v>
      </c>
      <c r="J568" s="6" t="n">
        <v>1</v>
      </c>
      <c r="X568" s="6" t="n">
        <v>5000</v>
      </c>
    </row>
    <row r="569">
      <c r="A569" t="inlineStr">
        <is>
          <t>tiberiandawn</t>
        </is>
      </c>
      <c r="B569" t="inlineStr">
        <is>
          <t>td_nod_mobileconstructionvehicle</t>
        </is>
      </c>
      <c r="C569" t="inlineStr">
        <is>
          <t>Nod Mobile Construction Vehicle</t>
        </is>
      </c>
      <c r="D569" s="6" t="inlineStr">
        <is>
          <t>SupportVehicle</t>
        </is>
      </c>
      <c r="E569" s="6" t="n">
        <v>300000</v>
      </c>
      <c r="F569" s="6" t="n">
        <v>75</v>
      </c>
      <c r="G569" t="inlineStr">
        <is>
          <t>Medium</t>
        </is>
      </c>
      <c r="H569" s="6" t="n">
        <v>0.8462</v>
      </c>
      <c r="I569" s="6" t="n">
        <v>1</v>
      </c>
      <c r="J569" s="6" t="n">
        <v>1</v>
      </c>
      <c r="X569" s="6" t="n">
        <v>5000</v>
      </c>
    </row>
    <row r="570">
      <c r="A570" t="inlineStr">
        <is>
          <t>shared</t>
        </is>
      </c>
      <c r="B570" t="inlineStr">
        <is>
          <t>ra1_allies_alliedapc</t>
        </is>
      </c>
      <c r="C570" t="inlineStr">
        <is>
          <t>Allied APC</t>
        </is>
      </c>
      <c r="D570" s="6" t="inlineStr">
        <is>
          <t>SupportVehicle</t>
        </is>
      </c>
      <c r="E570" s="6" t="n">
        <v>50000</v>
      </c>
      <c r="F570" s="6" t="n">
        <v>105</v>
      </c>
      <c r="G570" t="inlineStr">
        <is>
          <t>Medium</t>
        </is>
      </c>
      <c r="H570" s="6" t="n">
        <v>1</v>
      </c>
      <c r="I570" s="6" t="n">
        <v>1</v>
      </c>
      <c r="J570" s="6" t="n">
        <v>1</v>
      </c>
      <c r="P570">
        <f>MAX(P571,P572)</f>
        <v/>
      </c>
      <c r="S570">
        <f>S571+S572</f>
        <v/>
      </c>
      <c r="T570">
        <f>(E570/100000+F570/100+(P570/1000)*J570/5+S570/200)*200*I570*H570</f>
        <v/>
      </c>
      <c r="U570">
        <f>((E570*F570/25000)+((P570/1000)*J570*S570/2.5))*I570*H570</f>
        <v/>
      </c>
      <c r="V570">
        <f>(E570*F570*(P570/1000)*J570*S570*I570*H570)/12500000</f>
        <v/>
      </c>
      <c r="W570">
        <f>(T570+U570+V570)/3</f>
        <v/>
      </c>
      <c r="X570" s="6" t="n">
        <v>1300</v>
      </c>
      <c r="Y570">
        <f>IFERROR(W570-X570,"")</f>
        <v/>
      </c>
      <c r="Z570">
        <f>IFERROR(ABS(Y570)/MAX(X570,1),"")</f>
        <v/>
      </c>
      <c r="AA570">
        <f>IFERROR((X570-(((E570/100000+F570/100+S570/200)*200*I570*H570)+((E570*F570/25000)*I570*H570))/3)/(((J570/5)*200*I570*H570)+((J570*S570/2.5)*I570*H570)+((E570*F570*J570*S570*I570*H570)/12500000))/3*1000,"")</f>
        <v/>
      </c>
    </row>
    <row r="571">
      <c r="B571" s="7" t="inlineStr">
        <is>
          <t xml:space="preserve">  ↳ APCGunAllies</t>
        </is>
      </c>
      <c r="C571" s="7" t="inlineStr">
        <is>
          <t>Armament@PRIMARY</t>
        </is>
      </c>
      <c r="L571" s="6" t="n">
        <v>4000</v>
      </c>
      <c r="M571" s="6" t="n">
        <v>10</v>
      </c>
      <c r="N571" s="6" t="n">
        <v>1</v>
      </c>
      <c r="O571" s="6" t="n"/>
      <c r="P571" s="6" t="n">
        <v>5978</v>
      </c>
      <c r="Q571" s="6" t="n">
        <v>1</v>
      </c>
      <c r="R571">
        <f>M571+IF(MAX(N571-1,0)&gt;0,IF(ISBLANK(O571),5*MAX(N571-1,0),IF(ISNUMBER(O571),O571*MAX(N571-1,0),SUM(IFERROR(VALUE(TEXTSPLIT(O571,",")),0)))),0)</f>
        <v/>
      </c>
      <c r="S571">
        <f>IFERROR(L571*MAX(N571,1)/R571*IF(ISBLANK(K570),1,K570),0)</f>
        <v/>
      </c>
      <c r="AB571" s="7" t="inlineStr">
        <is>
          <t>^Warhead_Bullet_Medium, ^Warhead_Flak_Medium</t>
        </is>
      </c>
    </row>
    <row r="572">
      <c r="B572" s="7" t="inlineStr">
        <is>
          <t xml:space="preserve">  ↳ APCGunAllies_AA</t>
        </is>
      </c>
      <c r="C572" s="7" t="inlineStr">
        <is>
          <t>Armament@SECONDARY</t>
        </is>
      </c>
      <c r="L572" s="6" t="n">
        <v>4000</v>
      </c>
      <c r="M572" s="6" t="n">
        <v>10</v>
      </c>
      <c r="N572" s="6" t="n">
        <v>1</v>
      </c>
      <c r="O572" s="6" t="n"/>
      <c r="P572" s="6" t="n">
        <v>8967</v>
      </c>
      <c r="Q572" s="6" t="n">
        <v>1</v>
      </c>
      <c r="R572">
        <f>M572+IF(MAX(N572-1,0)&gt;0,IF(ISBLANK(O572),5*MAX(N572-1,0),IF(ISNUMBER(O572),O572*MAX(N572-1,0),SUM(IFERROR(VALUE(TEXTSPLIT(O572,",")),0)))),0)</f>
        <v/>
      </c>
      <c r="S572">
        <f>IFERROR(L572*MAX(N572,1)/R572*IF(ISBLANK(K570),1,K570),0)</f>
        <v/>
      </c>
      <c r="AB572" s="7" t="inlineStr">
        <is>
          <t>^Warhead_Bullet_Medium, ^Warhead_Flak_Medium</t>
        </is>
      </c>
    </row>
    <row r="573">
      <c r="A573" t="inlineStr">
        <is>
          <t>redalert</t>
        </is>
      </c>
      <c r="B573" t="inlineStr">
        <is>
          <t>japan_hovercrafttransport</t>
        </is>
      </c>
      <c r="C573" t="inlineStr">
        <is>
          <t>Hovercraft Transport</t>
        </is>
      </c>
      <c r="D573" s="6" t="inlineStr">
        <is>
          <t>SupportVehicle</t>
        </is>
      </c>
      <c r="E573" s="6" t="n">
        <v>65000</v>
      </c>
      <c r="F573" s="6" t="n">
        <v>130</v>
      </c>
      <c r="G573" t="inlineStr">
        <is>
          <t>Medium</t>
        </is>
      </c>
      <c r="H573" s="6" t="n">
        <v>0.6875</v>
      </c>
      <c r="I573" s="6" t="n">
        <v>1</v>
      </c>
      <c r="J573" s="6" t="n">
        <v>1</v>
      </c>
      <c r="K573" t="n">
        <v>0.005</v>
      </c>
      <c r="P573">
        <f>MAX(P574,P575,P576,P577,P578,P579)</f>
        <v/>
      </c>
      <c r="S573">
        <f>S574+S575+S576+S577+S578+S579</f>
        <v/>
      </c>
      <c r="T573">
        <f>(E573/100000+F573/100+(P573/1000)*J573/5+S573/200)*200*I573*H573</f>
        <v/>
      </c>
      <c r="U573">
        <f>((E573*F573/25000)+((P573/1000)*J573*S573/2.5))*I573*H573</f>
        <v/>
      </c>
      <c r="V573">
        <f>(E573*F573*(P573/1000)*J573*S573*I573*H573)/12500000</f>
        <v/>
      </c>
      <c r="W573">
        <f>(T573+U573+V573)/3</f>
        <v/>
      </c>
      <c r="X573" s="6" t="n">
        <v>1500</v>
      </c>
      <c r="Y573">
        <f>IFERROR(W573-X573,"")</f>
        <v/>
      </c>
      <c r="Z573">
        <f>IFERROR(ABS(Y573)/MAX(X573,1),"")</f>
        <v/>
      </c>
      <c r="AA573">
        <f>IFERROR((X573-(((E573/100000+F573/100+S573/200)*200*I573*H573)+((E573*F573/25000)*I573*H573))/3)/(((J573/5)*200*I573*H573)+((J573*S573/2.5)*I573*H573)+((E573*F573*J573*S573*I573*H573)/12500000))/3*1000,"")</f>
        <v/>
      </c>
    </row>
    <row r="574">
      <c r="B574" s="7" t="inlineStr">
        <is>
          <t xml:space="preserve">  ↳ HovercraftCannon</t>
        </is>
      </c>
      <c r="C574" s="7" t="inlineStr">
        <is>
          <t>Armament@cannon</t>
        </is>
      </c>
      <c r="L574" s="6" t="n">
        <v>12000</v>
      </c>
      <c r="M574" s="6" t="n">
        <v>25</v>
      </c>
      <c r="N574" s="6" t="n">
        <v>1</v>
      </c>
      <c r="O574" s="6" t="n"/>
      <c r="P574" s="6" t="n">
        <v>4876</v>
      </c>
      <c r="Q574" s="6" t="n">
        <v>1</v>
      </c>
      <c r="R574">
        <f>M574+IF(MAX(N574-1,0)&gt;0,IF(ISBLANK(O574),5*MAX(N574-1,0),IF(ISNUMBER(O574),O574*MAX(N574-1,0),SUM(IFERROR(VALUE(TEXTSPLIT(O574,",")),0)))),0)</f>
        <v/>
      </c>
      <c r="S574">
        <f>IFERROR(L574*MAX(N574,1)/R574*IF(ISBLANK(K573),1,K573),0)</f>
        <v/>
      </c>
      <c r="AB574" s="7" t="inlineStr">
        <is>
          <t>^SmallArms, ^Chaingun, ^Grenade, ^ShrapnelWeapon, ^TankDestroyerCannon, ^MediumCannon</t>
        </is>
      </c>
    </row>
    <row r="575">
      <c r="B575" s="7" t="inlineStr">
        <is>
          <t xml:space="preserve">  ↳ HovercraftPlasmaCannon</t>
        </is>
      </c>
      <c r="C575" s="7" t="inlineStr">
        <is>
          <t>Armament@Upgrade</t>
        </is>
      </c>
      <c r="L575" s="6" t="n">
        <v>26000</v>
      </c>
      <c r="M575" s="6" t="n">
        <v>25</v>
      </c>
      <c r="N575" s="6" t="n">
        <v>1</v>
      </c>
      <c r="O575" s="6" t="n"/>
      <c r="P575" s="6" t="n">
        <v>4876</v>
      </c>
      <c r="Q575" s="6" t="n">
        <v>1</v>
      </c>
      <c r="R575">
        <f>M575+IF(MAX(N575-1,0)&gt;0,IF(ISBLANK(O575),5*MAX(N575-1,0),IF(ISNUMBER(O575),O575*MAX(N575-1,0),SUM(IFERROR(VALUE(TEXTSPLIT(O575,",")),0)))),0)</f>
        <v/>
      </c>
      <c r="S575">
        <f>IFERROR(L575*MAX(N575,1)/R575*IF(ISBLANK(K573),1,K573),0)</f>
        <v/>
      </c>
      <c r="AB575" s="7" t="inlineStr">
        <is>
          <t>^TeslaWeapon, ^HeavyBomb, ^HeavyCannon, HovercraftCannon</t>
        </is>
      </c>
    </row>
    <row r="576">
      <c r="B576" s="7" t="inlineStr">
        <is>
          <t xml:space="preserve">  ↳ JapaneseHovercraftFlak</t>
        </is>
      </c>
      <c r="C576" s="7" t="inlineStr">
        <is>
          <t>Armament@flak</t>
        </is>
      </c>
      <c r="L576" s="6" t="n">
        <v>4000</v>
      </c>
      <c r="M576" s="6" t="n">
        <v>8</v>
      </c>
      <c r="N576" s="6" t="n">
        <v>1</v>
      </c>
      <c r="O576" s="6" t="n"/>
      <c r="P576" s="6" t="n">
        <v>4876</v>
      </c>
      <c r="Q576" s="6" t="n">
        <v>0.875</v>
      </c>
      <c r="R576">
        <f>M576+IF(MAX(N576-1,0)&gt;0,IF(ISBLANK(O576),5*MAX(N576-1,0),IF(ISNUMBER(O576),O576*MAX(N576-1,0),SUM(IFERROR(VALUE(TEXTSPLIT(O576,",")),0)))),0)</f>
        <v/>
      </c>
      <c r="S576">
        <f>IFERROR(L576*MAX(N576,1)/R576*IF(ISBLANK(K573),1,K573),0)</f>
        <v/>
      </c>
      <c r="AB576" s="7" t="inlineStr">
        <is>
          <t>^Warhead_Bullet_Light, ^Warhead_Flak_Medium</t>
        </is>
      </c>
    </row>
    <row r="577">
      <c r="B577" s="7" t="inlineStr">
        <is>
          <t xml:space="preserve">  ↳ JapaneseHovercraftFlakWaveforce</t>
        </is>
      </c>
      <c r="C577" s="7" t="inlineStr">
        <is>
          <t>Armament@Upgradeflak</t>
        </is>
      </c>
      <c r="L577" s="6" t="n">
        <v>6000</v>
      </c>
      <c r="M577" s="6" t="n">
        <v>8</v>
      </c>
      <c r="N577" s="6" t="n">
        <v>1</v>
      </c>
      <c r="O577" s="6" t="n"/>
      <c r="P577" s="6" t="n">
        <v>4876</v>
      </c>
      <c r="Q577" s="6" t="n">
        <v>1</v>
      </c>
      <c r="R577">
        <f>M577+IF(MAX(N577-1,0)&gt;0,IF(ISBLANK(O577),5*MAX(N577-1,0),IF(ISNUMBER(O577),O577*MAX(N577-1,0),SUM(IFERROR(VALUE(TEXTSPLIT(O577,",")),0)))),0)</f>
        <v/>
      </c>
      <c r="S577">
        <f>IFERROR(L577*MAX(N577,1)/R577*IF(ISBLANK(K573),1,K573),0)</f>
        <v/>
      </c>
      <c r="AB577" s="7" t="inlineStr">
        <is>
          <t>^Warhead_Railgun_Heavy, ^Warhead_Bullet_Light, ^Warhead_Flak_Medium</t>
        </is>
      </c>
    </row>
    <row r="578">
      <c r="B578" s="7" t="inlineStr">
        <is>
          <t xml:space="preserve">  ↳ JapaneseHovercraftFlakAA</t>
        </is>
      </c>
      <c r="C578" s="7" t="inlineStr">
        <is>
          <t>Armament@AA</t>
        </is>
      </c>
      <c r="L578" s="6" t="n">
        <v>4000</v>
      </c>
      <c r="M578" s="6" t="n">
        <v>8</v>
      </c>
      <c r="N578" s="6" t="n">
        <v>1</v>
      </c>
      <c r="O578" s="6" t="n"/>
      <c r="P578" s="6" t="n">
        <v>7314</v>
      </c>
      <c r="Q578" s="6" t="n">
        <v>0.875</v>
      </c>
      <c r="R578">
        <f>M578+IF(MAX(N578-1,0)&gt;0,IF(ISBLANK(O578),5*MAX(N578-1,0),IF(ISNUMBER(O578),O578*MAX(N578-1,0),SUM(IFERROR(VALUE(TEXTSPLIT(O578,",")),0)))),0)</f>
        <v/>
      </c>
      <c r="S578">
        <f>IFERROR(L578*MAX(N578,1)/R578*IF(ISBLANK(K573),1,K573),0)</f>
        <v/>
      </c>
      <c r="AB578" s="7" t="inlineStr">
        <is>
          <t>^Warhead_Bullet_Light, ^Warhead_Flak_Medium</t>
        </is>
      </c>
    </row>
    <row r="579">
      <c r="B579" s="7" t="inlineStr">
        <is>
          <t xml:space="preserve">  ↳ JapaneseHovercraftFlakAAkWaveforce</t>
        </is>
      </c>
      <c r="C579" s="7" t="inlineStr">
        <is>
          <t>Armament@UpgradeAA</t>
        </is>
      </c>
      <c r="L579" s="6" t="n">
        <v>6000</v>
      </c>
      <c r="M579" s="6" t="n">
        <v>8</v>
      </c>
      <c r="N579" s="6" t="n">
        <v>1</v>
      </c>
      <c r="O579" s="6" t="n"/>
      <c r="P579" s="6" t="n">
        <v>7314</v>
      </c>
      <c r="Q579" s="6" t="n">
        <v>1</v>
      </c>
      <c r="R579">
        <f>M579+IF(MAX(N579-1,0)&gt;0,IF(ISBLANK(O579),5*MAX(N579-1,0),IF(ISNUMBER(O579),O579*MAX(N579-1,0),SUM(IFERROR(VALUE(TEXTSPLIT(O579,",")),0)))),0)</f>
        <v/>
      </c>
      <c r="S579">
        <f>IFERROR(L579*MAX(N579,1)/R579*IF(ISBLANK(K573),1,K573),0)</f>
        <v/>
      </c>
      <c r="AB579" s="7" t="inlineStr">
        <is>
          <t>^Warhead_Railgun_Heavy, ^Warhead_Bullet_Light, ^Warhead_Flak_Medium</t>
        </is>
      </c>
    </row>
    <row r="580">
      <c r="A580" t="inlineStr">
        <is>
          <t>redalert</t>
        </is>
      </c>
      <c r="B580" t="inlineStr">
        <is>
          <t>japan_japanesemobileconstructionvehicle</t>
        </is>
      </c>
      <c r="C580" t="inlineStr">
        <is>
          <t>Japanese Mobile Construction Vehicle</t>
        </is>
      </c>
      <c r="D580" s="6" t="inlineStr">
        <is>
          <t>SupportVehicle</t>
        </is>
      </c>
      <c r="E580" s="6" t="n">
        <v>300000</v>
      </c>
      <c r="F580" s="6" t="n">
        <v>75</v>
      </c>
      <c r="G580" t="inlineStr">
        <is>
          <t>Medium</t>
        </is>
      </c>
      <c r="H580" s="6" t="n">
        <v>0.7857</v>
      </c>
      <c r="I580" s="6" t="n">
        <v>1</v>
      </c>
      <c r="J580" s="6" t="n">
        <v>1</v>
      </c>
      <c r="X580" s="6" t="n">
        <v>5000</v>
      </c>
    </row>
    <row r="581">
      <c r="A581" t="inlineStr">
        <is>
          <t>redalert</t>
        </is>
      </c>
      <c r="B581" t="inlineStr">
        <is>
          <t>ra1_soviets_btr80</t>
        </is>
      </c>
      <c r="C581" t="inlineStr">
        <is>
          <t>BTR-80</t>
        </is>
      </c>
      <c r="D581" s="6" t="inlineStr">
        <is>
          <t>SupportVehicle</t>
        </is>
      </c>
      <c r="E581" s="6" t="n">
        <v>90000</v>
      </c>
      <c r="F581" s="6" t="n">
        <v>90</v>
      </c>
      <c r="G581" t="inlineStr">
        <is>
          <t>Heavy</t>
        </is>
      </c>
      <c r="H581" s="6" t="n">
        <v>0.8919</v>
      </c>
      <c r="I581" s="6" t="n">
        <v>1</v>
      </c>
      <c r="J581" s="6" t="n">
        <v>1</v>
      </c>
      <c r="P581">
        <f>MAX(P582,P583,P584,P585,P586,P587)</f>
        <v/>
      </c>
      <c r="S581">
        <f>S582+S583+S584+S585+S586+S587</f>
        <v/>
      </c>
      <c r="T581">
        <f>(E581/100000+F581/100+(P581/1000)*J581/5+S581/200)*200*I581*H581</f>
        <v/>
      </c>
      <c r="U581">
        <f>((E581*F581/25000)+((P581/1000)*J581*S581/2.5))*I581*H581</f>
        <v/>
      </c>
      <c r="V581">
        <f>(E581*F581*(P581/1000)*J581*S581*I581*H581)/12500000</f>
        <v/>
      </c>
      <c r="W581">
        <f>(T581+U581+V581)/3</f>
        <v/>
      </c>
      <c r="X581" s="6" t="n">
        <v>1600</v>
      </c>
      <c r="Y581">
        <f>IFERROR(W581-X581,"")</f>
        <v/>
      </c>
      <c r="Z581">
        <f>IFERROR(ABS(Y581)/MAX(X581,1),"")</f>
        <v/>
      </c>
      <c r="AA581">
        <f>IFERROR((X581-(((E581/100000+F581/100+S581/200)*200*I581*H581)+((E581*F581/25000)*I581*H581))/3)/(((J581/5)*200*I581*H581)+((J581*S581/2.5)*I581*H581)+((E581*F581*J581*S581*I581*H581)/12500000))/3*1000,"")</f>
        <v/>
      </c>
    </row>
    <row r="582">
      <c r="B582" s="7" t="inlineStr">
        <is>
          <t xml:space="preserve">  ↳ BTRMachineGun</t>
        </is>
      </c>
      <c r="C582" s="7" t="inlineStr">
        <is>
          <t>Armament</t>
        </is>
      </c>
      <c r="L582" s="6" t="n">
        <v>4000</v>
      </c>
      <c r="M582" s="6" t="n">
        <v>20</v>
      </c>
      <c r="N582" s="6" t="n">
        <v>4</v>
      </c>
      <c r="O582" s="6" t="n">
        <v>4</v>
      </c>
      <c r="P582" s="6" t="n">
        <v>5454</v>
      </c>
      <c r="Q582" s="6" t="n">
        <v>0.875</v>
      </c>
      <c r="R582">
        <f>M582+IF(MAX(N582-1,0)&gt;0,IF(ISBLANK(O582),5*MAX(N582-1,0),IF(ISNUMBER(O582),O582*MAX(N582-1,0),SUM(IFERROR(VALUE(TEXTSPLIT(O582,",")),0)))),0)</f>
        <v/>
      </c>
      <c r="S582">
        <f>IFERROR(L582*MAX(N582,1)/R582*IF(ISBLANK(K581),1,K581),0)</f>
        <v/>
      </c>
      <c r="AB582" s="7" t="inlineStr">
        <is>
          <t>^Warhead_Bullet_Light, ^Warhead_Bullet_Medium</t>
        </is>
      </c>
    </row>
    <row r="583">
      <c r="B583" s="7" t="inlineStr">
        <is>
          <t xml:space="preserve">  ↳ BTRMachineGun_AA</t>
        </is>
      </c>
      <c r="C583" s="7" t="inlineStr">
        <is>
          <t>Armament@AA</t>
        </is>
      </c>
      <c r="L583" s="6" t="n">
        <v>4000</v>
      </c>
      <c r="M583" s="6" t="n">
        <v>20</v>
      </c>
      <c r="N583" s="6" t="n">
        <v>4</v>
      </c>
      <c r="O583" s="6" t="n">
        <v>4</v>
      </c>
      <c r="P583" s="6" t="n">
        <v>8181</v>
      </c>
      <c r="Q583" s="6" t="n">
        <v>0.875</v>
      </c>
      <c r="R583">
        <f>M583+IF(MAX(N583-1,0)&gt;0,IF(ISBLANK(O583),5*MAX(N583-1,0),IF(ISNUMBER(O583),O583*MAX(N583-1,0),SUM(IFERROR(VALUE(TEXTSPLIT(O583,",")),0)))),0)</f>
        <v/>
      </c>
      <c r="S583">
        <f>IFERROR(L583*MAX(N583,1)/R583*IF(ISBLANK(K581),1,K581),0)</f>
        <v/>
      </c>
      <c r="AB583" s="7" t="inlineStr">
        <is>
          <t>^Warhead_Bullet_Light, ^Warhead_Bullet_Medium</t>
        </is>
      </c>
    </row>
    <row r="584">
      <c r="B584" s="7" t="inlineStr">
        <is>
          <t xml:space="preserve">  ↳ BTRTeslaMachineGun</t>
        </is>
      </c>
      <c r="C584" s="7" t="inlineStr">
        <is>
          <t>Armament@TeslaUpgrade1</t>
        </is>
      </c>
      <c r="L584" s="6" t="n">
        <v>4000</v>
      </c>
      <c r="M584" s="6" t="n">
        <v>20</v>
      </c>
      <c r="N584" s="6" t="n">
        <v>4</v>
      </c>
      <c r="O584" s="6" t="n">
        <v>4</v>
      </c>
      <c r="P584" s="6" t="n">
        <v>5454</v>
      </c>
      <c r="Q584" s="6" t="n">
        <v>1</v>
      </c>
      <c r="R584">
        <f>M584+IF(MAX(N584-1,0)&gt;0,IF(ISBLANK(O584),5*MAX(N584-1,0),IF(ISNUMBER(O584),O584*MAX(N584-1,0),SUM(IFERROR(VALUE(TEXTSPLIT(O584,",")),0)))),0)</f>
        <v/>
      </c>
      <c r="S584">
        <f>IFERROR(L584*MAX(N584,1)/R584*IF(ISBLANK(K581),1,K581),0)</f>
        <v/>
      </c>
      <c r="AB584" s="7" t="inlineStr">
        <is>
          <t>^Warhead_MissileAP_Light, ^Warhead_Tesla_Heavy</t>
        </is>
      </c>
    </row>
    <row r="585">
      <c r="B585" s="7" t="inlineStr">
        <is>
          <t xml:space="preserve">  ↳ BTRTeslaMachineGunArc</t>
        </is>
      </c>
      <c r="C585" s="7" t="inlineStr">
        <is>
          <t>Armament@TeslaUpgrade2</t>
        </is>
      </c>
      <c r="L585" s="6" t="n">
        <v>4000</v>
      </c>
      <c r="M585" s="6" t="n">
        <v>20</v>
      </c>
      <c r="N585" s="6" t="n">
        <v>4</v>
      </c>
      <c r="O585" s="6" t="n">
        <v>4</v>
      </c>
      <c r="P585" s="6" t="n">
        <v>5454</v>
      </c>
      <c r="Q585" s="6" t="n">
        <v>1</v>
      </c>
      <c r="R585">
        <f>M585+IF(MAX(N585-1,0)&gt;0,IF(ISBLANK(O585),5*MAX(N585-1,0),IF(ISNUMBER(O585),O585*MAX(N585-1,0),SUM(IFERROR(VALUE(TEXTSPLIT(O585,",")),0)))),0)</f>
        <v/>
      </c>
      <c r="S585">
        <f>IFERROR(L585*MAX(N585,1)/R585*IF(ISBLANK(K581),1,K581),0)</f>
        <v/>
      </c>
      <c r="AB585" s="7" t="inlineStr">
        <is>
          <t>^Warhead_MissileAP_Light, ^Warhead_Tesla_Heavy</t>
        </is>
      </c>
    </row>
    <row r="586">
      <c r="B586" s="7" t="inlineStr">
        <is>
          <t xml:space="preserve">  ↳ BTRTeslaMachineGun_AA</t>
        </is>
      </c>
      <c r="C586" s="7" t="inlineStr">
        <is>
          <t>Armament@TeslaUpgrade1AA</t>
        </is>
      </c>
      <c r="L586" s="6" t="n">
        <v>4000</v>
      </c>
      <c r="M586" s="6" t="n">
        <v>20</v>
      </c>
      <c r="N586" s="6" t="n">
        <v>4</v>
      </c>
      <c r="O586" s="6" t="n">
        <v>4</v>
      </c>
      <c r="P586" s="6" t="n">
        <v>8181</v>
      </c>
      <c r="Q586" s="6" t="n">
        <v>1</v>
      </c>
      <c r="R586">
        <f>M586+IF(MAX(N586-1,0)&gt;0,IF(ISBLANK(O586),5*MAX(N586-1,0),IF(ISNUMBER(O586),O586*MAX(N586-1,0),SUM(IFERROR(VALUE(TEXTSPLIT(O586,",")),0)))),0)</f>
        <v/>
      </c>
      <c r="S586">
        <f>IFERROR(L586*MAX(N586,1)/R586*IF(ISBLANK(K581),1,K581),0)</f>
        <v/>
      </c>
      <c r="AB586" s="7" t="inlineStr">
        <is>
          <t>^Warhead_MissileAP_Light, ^Warhead_Tesla_Heavy</t>
        </is>
      </c>
    </row>
    <row r="587">
      <c r="B587" s="7" t="inlineStr">
        <is>
          <t xml:space="preserve">  ↳ BTRTeslaMachineGunArc_AA</t>
        </is>
      </c>
      <c r="C587" s="7" t="inlineStr">
        <is>
          <t>Armament@TeslaUpgrade2AA</t>
        </is>
      </c>
      <c r="L587" s="6" t="n">
        <v>4000</v>
      </c>
      <c r="M587" s="6" t="n">
        <v>20</v>
      </c>
      <c r="N587" s="6" t="n">
        <v>4</v>
      </c>
      <c r="O587" s="6" t="n">
        <v>4</v>
      </c>
      <c r="P587" s="6" t="n">
        <v>8181</v>
      </c>
      <c r="Q587" s="6" t="n">
        <v>1</v>
      </c>
      <c r="R587">
        <f>M587+IF(MAX(N587-1,0)&gt;0,IF(ISBLANK(O587),5*MAX(N587-1,0),IF(ISNUMBER(O587),O587*MAX(N587-1,0),SUM(IFERROR(VALUE(TEXTSPLIT(O587,",")),0)))),0)</f>
        <v/>
      </c>
      <c r="S587">
        <f>IFERROR(L587*MAX(N587,1)/R587*IF(ISBLANK(K581),1,K581),0)</f>
        <v/>
      </c>
      <c r="AB587" s="7" t="inlineStr">
        <is>
          <t>^Warhead_MissileAP_Light, ^Warhead_Tesla_Heavy</t>
        </is>
      </c>
    </row>
    <row r="588">
      <c r="A588" t="inlineStr">
        <is>
          <t>redalert</t>
        </is>
      </c>
      <c r="B588" t="inlineStr">
        <is>
          <t>ra1_soviets_mobileconstructionvehicle</t>
        </is>
      </c>
      <c r="C588" t="inlineStr">
        <is>
          <t>Soviet Mobile Construction Vehicle</t>
        </is>
      </c>
      <c r="D588" s="6" t="inlineStr">
        <is>
          <t>SupportVehicle</t>
        </is>
      </c>
      <c r="E588" s="6" t="n">
        <v>300000</v>
      </c>
      <c r="F588" s="6" t="n">
        <v>75</v>
      </c>
      <c r="G588" t="inlineStr">
        <is>
          <t>Medium</t>
        </is>
      </c>
      <c r="H588" s="6" t="n">
        <v>0.8048999999999999</v>
      </c>
      <c r="I588" s="6" t="n">
        <v>1</v>
      </c>
      <c r="J588" s="6" t="n">
        <v>1</v>
      </c>
      <c r="X588" s="6" t="n">
        <v>5000</v>
      </c>
    </row>
    <row r="589">
      <c r="A589" t="inlineStr">
        <is>
          <t>redalert</t>
        </is>
      </c>
      <c r="B589" t="inlineStr">
        <is>
          <t>ra1_soviets_stalinfist</t>
        </is>
      </c>
      <c r="C589" t="inlineStr">
        <is>
          <t>Stalin Fist</t>
        </is>
      </c>
      <c r="D589" s="6" t="inlineStr">
        <is>
          <t>SupportVehicle</t>
        </is>
      </c>
      <c r="E589" s="6" t="n">
        <v>100000</v>
      </c>
      <c r="F589" s="6" t="n">
        <v>60</v>
      </c>
      <c r="G589" t="inlineStr">
        <is>
          <t>Heavy</t>
        </is>
      </c>
      <c r="H589" s="6" t="n">
        <v>0.5593</v>
      </c>
      <c r="I589" s="6" t="n">
        <v>1</v>
      </c>
      <c r="J589" s="6" t="n">
        <v>1</v>
      </c>
      <c r="X589" s="6" t="n">
        <v>7000</v>
      </c>
    </row>
    <row r="590">
      <c r="A590" t="inlineStr">
        <is>
          <t>redalert</t>
        </is>
      </c>
      <c r="B590" t="inlineStr">
        <is>
          <t>ra1_allies_alliedmobileconstructionvehicle</t>
        </is>
      </c>
      <c r="C590" t="inlineStr">
        <is>
          <t>Allied Mobile Construction Vehicle</t>
        </is>
      </c>
      <c r="D590" s="6" t="inlineStr">
        <is>
          <t>SupportVehicle</t>
        </is>
      </c>
      <c r="E590" s="6" t="n">
        <v>300000</v>
      </c>
      <c r="F590" s="6" t="n">
        <v>75</v>
      </c>
      <c r="G590" t="inlineStr">
        <is>
          <t>Medium</t>
        </is>
      </c>
      <c r="H590" s="6" t="n">
        <v>0.8048999999999999</v>
      </c>
      <c r="I590" s="6" t="n">
        <v>1</v>
      </c>
      <c r="J590" s="6" t="n">
        <v>1</v>
      </c>
      <c r="X590" s="6" t="n">
        <v>5000</v>
      </c>
    </row>
    <row r="591">
      <c r="A591" t="inlineStr">
        <is>
          <t>redalert</t>
        </is>
      </c>
      <c r="B591" t="inlineStr">
        <is>
          <t>ra1_allies_phasetransport</t>
        </is>
      </c>
      <c r="C591" t="inlineStr">
        <is>
          <t>Phase Transport</t>
        </is>
      </c>
      <c r="D591" s="6" t="inlineStr">
        <is>
          <t>SupportVehicle</t>
        </is>
      </c>
      <c r="E591" s="6" t="n">
        <v>30000</v>
      </c>
      <c r="F591" s="6" t="n">
        <v>125</v>
      </c>
      <c r="G591" t="inlineStr">
        <is>
          <t>Light</t>
        </is>
      </c>
      <c r="H591" s="6" t="n">
        <v>0.75</v>
      </c>
      <c r="I591" s="6" t="n">
        <v>1.25</v>
      </c>
      <c r="J591" s="6" t="n">
        <v>1.25</v>
      </c>
      <c r="P591">
        <f>MAX(P592,P593)</f>
        <v/>
      </c>
      <c r="S591">
        <f>S592+S593</f>
        <v/>
      </c>
      <c r="T591">
        <f>(E591/100000+F591/100+(P591/1000)*J591/5+S591/200)*200*I591*H591</f>
        <v/>
      </c>
      <c r="U591">
        <f>((E591*F591/25000)+((P591/1000)*J591*S591/2.5))*I591*H591</f>
        <v/>
      </c>
      <c r="V591">
        <f>(E591*F591*(P591/1000)*J591*S591*I591*H591)/12500000</f>
        <v/>
      </c>
      <c r="W591">
        <f>(T591+U591+V591)/3</f>
        <v/>
      </c>
      <c r="X591" s="6" t="n">
        <v>1800</v>
      </c>
      <c r="Y591">
        <f>IFERROR(W591-X591,"")</f>
        <v/>
      </c>
      <c r="Z591">
        <f>IFERROR(ABS(Y591)/MAX(X591,1),"")</f>
        <v/>
      </c>
      <c r="AA591">
        <f>IFERROR((X591-(((E591/100000+F591/100+S591/200)*200*I591*H591)+((E591*F591/25000)*I591*H591))/3)/(((J591/5)*200*I591*H591)+((J591*S591/2.5)*I591*H591)+((E591*F591*J591*S591*I591*H591)/12500000))/3*1000,"")</f>
        <v/>
      </c>
    </row>
    <row r="592">
      <c r="B592" s="7" t="inlineStr">
        <is>
          <t xml:space="preserve">  ↳ APTusk</t>
        </is>
      </c>
      <c r="C592" s="7" t="inlineStr">
        <is>
          <t>Armament</t>
        </is>
      </c>
      <c r="L592" s="6" t="n">
        <v>16000</v>
      </c>
      <c r="M592" s="6" t="n">
        <v>51</v>
      </c>
      <c r="N592" s="6" t="n">
        <v>4</v>
      </c>
      <c r="O592" s="6" t="n">
        <v>3</v>
      </c>
      <c r="P592" s="6" t="n">
        <v>5038</v>
      </c>
      <c r="Q592" s="6" t="n">
        <v>1</v>
      </c>
      <c r="R592">
        <f>M592+IF(MAX(N592-1,0)&gt;0,IF(ISBLANK(O592),5*MAX(N592-1,0),IF(ISNUMBER(O592),O592*MAX(N592-1,0),SUM(IFERROR(VALUE(TEXTSPLIT(O592,",")),0)))),0)</f>
        <v/>
      </c>
      <c r="S592">
        <f>IFERROR(L592*MAX(N592,1)/R592*IF(ISBLANK(K591),1,K591),0)</f>
        <v/>
      </c>
      <c r="AB592" s="7" t="inlineStr">
        <is>
          <t>^TankDestroyerCannon, ^Grenade, ^FlakWeapon, ^MediumMissile</t>
        </is>
      </c>
    </row>
    <row r="593">
      <c r="B593" s="7" t="inlineStr">
        <is>
          <t xml:space="preserve">  ↳ APTuskCryo</t>
        </is>
      </c>
      <c r="C593" s="7" t="inlineStr">
        <is>
          <t>Armament@Upgrade</t>
        </is>
      </c>
      <c r="L593" s="6" t="n">
        <v>16000</v>
      </c>
      <c r="M593" s="6" t="n">
        <v>51</v>
      </c>
      <c r="N593" s="6" t="n">
        <v>4</v>
      </c>
      <c r="O593" s="6" t="n">
        <v>3</v>
      </c>
      <c r="P593" s="6" t="n">
        <v>5038</v>
      </c>
      <c r="Q593" s="6" t="n">
        <v>1</v>
      </c>
      <c r="R593">
        <f>M593+IF(MAX(N593-1,0)&gt;0,IF(ISBLANK(O593),5*MAX(N593-1,0),IF(ISNUMBER(O593),O593*MAX(N593-1,0),SUM(IFERROR(VALUE(TEXTSPLIT(O593,",")),0)))),0)</f>
        <v/>
      </c>
      <c r="S593">
        <f>IFERROR(L593*MAX(N593,1)/R593*IF(ISBLANK(K591),1,K591),0)</f>
        <v/>
      </c>
      <c r="AB593" s="7" t="inlineStr">
        <is>
          <t>APTusk, ^CryoMissileProjectile</t>
        </is>
      </c>
    </row>
    <row r="594">
      <c r="A594" t="inlineStr">
        <is>
          <t>redalert</t>
        </is>
      </c>
      <c r="B594" t="inlineStr">
        <is>
          <t>ra1_allies_reconranger</t>
        </is>
      </c>
      <c r="C594" t="inlineStr">
        <is>
          <t>Recon Ranger</t>
        </is>
      </c>
      <c r="D594" s="6" t="inlineStr">
        <is>
          <t>SupportVehicle</t>
        </is>
      </c>
      <c r="E594" s="6" t="n">
        <v>25000</v>
      </c>
      <c r="F594" s="6" t="n">
        <v>160</v>
      </c>
      <c r="G594" t="inlineStr">
        <is>
          <t>Light</t>
        </is>
      </c>
      <c r="H594" s="6" t="n">
        <v>1</v>
      </c>
      <c r="I594" s="6" t="n">
        <v>0.5</v>
      </c>
      <c r="J594" s="6" t="n">
        <v>1</v>
      </c>
      <c r="P594">
        <f>MAX(P595,P596)</f>
        <v/>
      </c>
      <c r="S594">
        <f>S595+S596</f>
        <v/>
      </c>
      <c r="T594">
        <f>(E594/100000+F594/100+(P594/1000)*J594/5+S594/200)*200*I594*H594</f>
        <v/>
      </c>
      <c r="U594">
        <f>((E594*F594/25000)+((P594/1000)*J594*S594/2.5))*I594*H594</f>
        <v/>
      </c>
      <c r="V594">
        <f>(E594*F594*(P594/1000)*J594*S594*I594*H594)/12500000</f>
        <v/>
      </c>
      <c r="W594">
        <f>(T594+U594+V594)/3</f>
        <v/>
      </c>
      <c r="X594" s="6" t="n">
        <v>500</v>
      </c>
      <c r="Y594">
        <f>IFERROR(W594-X594,"")</f>
        <v/>
      </c>
      <c r="Z594">
        <f>IFERROR(ABS(Y594)/MAX(X594,1),"")</f>
        <v/>
      </c>
      <c r="AA594">
        <f>IFERROR((X594-(((E594/100000+F594/100+S594/200)*200*I594*H594)+((E594*F594/25000)*I594*H594))/3)/(((J594/5)*200*I594*H594)+((J594*S594/2.5)*I594*H594)+((E594*F594*J594*S594*I594*H594)/12500000))/3*1000,"")</f>
        <v/>
      </c>
    </row>
    <row r="595">
      <c r="B595" s="7" t="inlineStr">
        <is>
          <t xml:space="preserve">  ↳ ReconRangerRecoillessGun</t>
        </is>
      </c>
      <c r="C595" s="7" t="inlineStr">
        <is>
          <t>Armament</t>
        </is>
      </c>
      <c r="L595" s="6" t="n">
        <v>32000</v>
      </c>
      <c r="M595" s="6" t="n">
        <v>64</v>
      </c>
      <c r="N595" s="6" t="n">
        <v>1</v>
      </c>
      <c r="O595" s="6" t="n"/>
      <c r="P595" s="6" t="n">
        <v>4925</v>
      </c>
      <c r="Q595" s="6" t="n">
        <v>1.25</v>
      </c>
      <c r="R595">
        <f>M595+IF(MAX(N595-1,0)&gt;0,IF(ISBLANK(O595),5*MAX(N595-1,0),IF(ISNUMBER(O595),O595*MAX(N595-1,0),SUM(IFERROR(VALUE(TEXTSPLIT(O595,",")),0)))),0)</f>
        <v/>
      </c>
      <c r="S595">
        <f>IFERROR(L595*MAX(N595,1)/R595*IF(ISBLANK(K594),1,K594),0)</f>
        <v/>
      </c>
      <c r="AB595" s="7" t="inlineStr">
        <is>
          <t>^Warhead_MissileAP_Heavy</t>
        </is>
      </c>
    </row>
    <row r="596">
      <c r="B596" s="7" t="inlineStr">
        <is>
          <t xml:space="preserve">  ↳ CryoReconRangerRecoillessGun</t>
        </is>
      </c>
      <c r="C596" s="7" t="inlineStr">
        <is>
          <t>Armament@Upgrade</t>
        </is>
      </c>
      <c r="L596" s="6" t="n">
        <v>32000</v>
      </c>
      <c r="M596" s="6" t="n">
        <v>64</v>
      </c>
      <c r="N596" s="6" t="n">
        <v>1</v>
      </c>
      <c r="O596" s="6" t="n"/>
      <c r="P596" s="6" t="n">
        <v>4925</v>
      </c>
      <c r="Q596" s="6" t="n">
        <v>1.25</v>
      </c>
      <c r="R596">
        <f>M596+IF(MAX(N596-1,0)&gt;0,IF(ISBLANK(O596),5*MAX(N596-1,0),IF(ISNUMBER(O596),O596*MAX(N596-1,0),SUM(IFERROR(VALUE(TEXTSPLIT(O596,",")),0)))),0)</f>
        <v/>
      </c>
      <c r="S596">
        <f>IFERROR(L596*MAX(N596,1)/R596*IF(ISBLANK(K594),1,K594),0)</f>
        <v/>
      </c>
      <c r="AB596" s="7" t="inlineStr">
        <is>
          <t>^Warhead_MissileAP_Heavy</t>
        </is>
      </c>
    </row>
    <row r="597">
      <c r="A597" t="inlineStr">
        <is>
          <t>tiberiansun</t>
        </is>
      </c>
      <c r="B597" t="inlineStr">
        <is>
          <t>cabal_constructionyard</t>
        </is>
      </c>
      <c r="C597" t="inlineStr">
        <is>
          <t>Construction Yard (CABAL)</t>
        </is>
      </c>
      <c r="D597" s="6" t="inlineStr">
        <is>
          <t>SupportVehicle</t>
        </is>
      </c>
      <c r="E597" s="6" t="n">
        <v>1000000</v>
      </c>
      <c r="G597" t="inlineStr">
        <is>
          <t>Wood</t>
        </is>
      </c>
      <c r="H597" s="6" t="n">
        <v>1</v>
      </c>
      <c r="I597" s="6" t="n">
        <v>1</v>
      </c>
      <c r="J597" s="6" t="n">
        <v>1</v>
      </c>
      <c r="X597" s="6" t="n">
        <v>2500</v>
      </c>
    </row>
    <row r="598">
      <c r="A598" t="inlineStr">
        <is>
          <t>tiberiansun</t>
        </is>
      </c>
      <c r="B598" t="inlineStr">
        <is>
          <t>cabal_cyborgreaper</t>
        </is>
      </c>
      <c r="C598" t="inlineStr">
        <is>
          <t>Cyborg Reaper</t>
        </is>
      </c>
      <c r="D598" s="6" t="inlineStr">
        <is>
          <t>SupportVehicle</t>
        </is>
      </c>
      <c r="E598" s="6" t="n">
        <v>70000</v>
      </c>
      <c r="F598" s="6" t="n">
        <v>65</v>
      </c>
      <c r="G598" t="inlineStr">
        <is>
          <t>Medium</t>
        </is>
      </c>
      <c r="H598" s="6" t="n">
        <v>1</v>
      </c>
      <c r="I598" s="6" t="n">
        <v>1.25</v>
      </c>
      <c r="J598" s="6" t="n">
        <v>1</v>
      </c>
      <c r="P598">
        <f>MAX(P599,P600)</f>
        <v/>
      </c>
      <c r="S598">
        <f>S599+S600</f>
        <v/>
      </c>
      <c r="T598">
        <f>(E598/100000+F598/100+(P598/1000)*J598/5+S598/200)*200*I598*H598</f>
        <v/>
      </c>
      <c r="U598">
        <f>((E598*F598/25000)+((P598/1000)*J598*S598/2.5))*I598*H598</f>
        <v/>
      </c>
      <c r="V598">
        <f>(E598*F598*(P598/1000)*J598*S598*I598*H598)/12500000</f>
        <v/>
      </c>
      <c r="W598">
        <f>(T598+U598+V598)/3</f>
        <v/>
      </c>
      <c r="X598" s="6" t="n">
        <v>1100</v>
      </c>
      <c r="Y598">
        <f>IFERROR(W598-X598,"")</f>
        <v/>
      </c>
      <c r="Z598">
        <f>IFERROR(ABS(Y598)/MAX(X598,1),"")</f>
        <v/>
      </c>
      <c r="AA598">
        <f>IFERROR((X598-(((E598/100000+F598/100+S598/200)*200*I598*H598)+((E598*F598/25000)*I598*H598))/3)/(((J598/5)*200*I598*H598)+((J598*S598/2.5)*I598*H598)+((E598*F598*J598*S598*I598*H598)/12500000))/3*1000,"")</f>
        <v/>
      </c>
    </row>
    <row r="599">
      <c r="B599" s="7" t="inlineStr">
        <is>
          <t xml:space="preserve">  ↳ CabalReaperMissiles</t>
        </is>
      </c>
      <c r="C599" s="7" t="inlineStr">
        <is>
          <t>Armament</t>
        </is>
      </c>
      <c r="L599" s="6" t="n">
        <v>32000</v>
      </c>
      <c r="M599" s="6" t="n">
        <v>24</v>
      </c>
      <c r="N599" s="6" t="n">
        <v>2</v>
      </c>
      <c r="O599" s="6" t="n">
        <v>12</v>
      </c>
      <c r="P599" s="6" t="n">
        <v>5785</v>
      </c>
      <c r="Q599" s="6" t="n">
        <v>1</v>
      </c>
      <c r="R599">
        <f>M599+IF(MAX(N599-1,0)&gt;0,IF(ISBLANK(O599),5*MAX(N599-1,0),IF(ISNUMBER(O599),O599*MAX(N599-1,0),SUM(IFERROR(VALUE(TEXTSPLIT(O599,",")),0)))),0)</f>
        <v/>
      </c>
      <c r="S599">
        <f>IFERROR(L599*MAX(N599,1)/R599*IF(ISBLANK(K598),1,K598),0)</f>
        <v/>
      </c>
      <c r="AB599" s="7" t="inlineStr">
        <is>
          <t>^Warhead_MissileHE_Light, ^Warhead_MissileHE_Medium, ^Warhead_Demolition_Light, ^Warhead_Concussion_Medium</t>
        </is>
      </c>
    </row>
    <row r="600">
      <c r="B600" s="7" t="inlineStr">
        <is>
          <t xml:space="preserve">  ↳ CabalReaperMissiles_AA</t>
        </is>
      </c>
      <c r="C600" s="7" t="inlineStr">
        <is>
          <t>Armament@SECONDARY</t>
        </is>
      </c>
      <c r="L600" s="6" t="n">
        <v>32000</v>
      </c>
      <c r="M600" s="6" t="n">
        <v>24</v>
      </c>
      <c r="N600" s="6" t="n">
        <v>2</v>
      </c>
      <c r="O600" s="6" t="n">
        <v>12</v>
      </c>
      <c r="P600" s="6" t="n">
        <v>8680</v>
      </c>
      <c r="Q600" s="6" t="n">
        <v>1</v>
      </c>
      <c r="R600">
        <f>M600+IF(MAX(N600-1,0)&gt;0,IF(ISBLANK(O600),5*MAX(N600-1,0),IF(ISNUMBER(O600),O600*MAX(N600-1,0),SUM(IFERROR(VALUE(TEXTSPLIT(O600,",")),0)))),0)</f>
        <v/>
      </c>
      <c r="S600">
        <f>IFERROR(L600*MAX(N600,1)/R600*IF(ISBLANK(K598),1,K598),0)</f>
        <v/>
      </c>
      <c r="AB600" s="7" t="inlineStr">
        <is>
          <t>^Warhead_MissileHE_Light, ^Warhead_MissileHE_Medium, ^Warhead_Demolition_Light, ^Warhead_Concussion_Medium</t>
        </is>
      </c>
    </row>
    <row r="601">
      <c r="B601" s="7" t="inlineStr">
        <is>
          <t xml:space="preserve">  ↳ CabalReaperTrapGround</t>
        </is>
      </c>
      <c r="C601" s="7" t="inlineStr">
        <is>
          <t>Armament@TRAPGROUND</t>
        </is>
      </c>
      <c r="M601" s="6" t="n">
        <v>250</v>
      </c>
      <c r="N601" s="6" t="n">
        <v>1</v>
      </c>
      <c r="O601" s="6" t="n"/>
      <c r="P601" s="6" t="n">
        <v>5785</v>
      </c>
      <c r="Q601" s="6" t="n">
        <v>1</v>
      </c>
      <c r="R601">
        <f>M601+IF(MAX(N601-1,0)&gt;0,IF(ISBLANK(O601),5*MAX(N601-1,0),IF(ISNUMBER(O601),O601*MAX(N601-1,0),SUM(IFERROR(VALUE(TEXTSPLIT(O601,",")),0)))),0)</f>
        <v/>
      </c>
      <c r="S601">
        <f>IFERROR(L601*MAX(N601,1)/R601*IF(ISBLANK(K598),1,K598),0)</f>
        <v/>
      </c>
      <c r="AB601" s="7" t="inlineStr"/>
    </row>
    <row r="602">
      <c r="B602" s="7" t="inlineStr">
        <is>
          <t xml:space="preserve">  ↳ CabalReaperTrapAir</t>
        </is>
      </c>
      <c r="C602" s="7" t="inlineStr">
        <is>
          <t>Armament@TRAPAIR</t>
        </is>
      </c>
      <c r="M602" s="6" t="n">
        <v>250</v>
      </c>
      <c r="N602" s="6" t="n">
        <v>1</v>
      </c>
      <c r="O602" s="6" t="n"/>
      <c r="P602" s="6" t="n">
        <v>8680</v>
      </c>
      <c r="Q602" s="6" t="n">
        <v>1</v>
      </c>
      <c r="R602">
        <f>M602+IF(MAX(N602-1,0)&gt;0,IF(ISBLANK(O602),5*MAX(N602-1,0),IF(ISNUMBER(O602),O602*MAX(N602-1,0),SUM(IFERROR(VALUE(TEXTSPLIT(O602,",")),0)))),0)</f>
        <v/>
      </c>
      <c r="S602">
        <f>IFERROR(L602*MAX(N602,1)/R602*IF(ISBLANK(K598),1,K598),0)</f>
        <v/>
      </c>
      <c r="AB602" s="7" t="inlineStr"/>
    </row>
    <row r="603">
      <c r="A603" t="inlineStr">
        <is>
          <t>tiberiansun</t>
        </is>
      </c>
      <c r="B603" t="inlineStr">
        <is>
          <t>cabal_heavyreaper</t>
        </is>
      </c>
      <c r="C603" t="inlineStr">
        <is>
          <t>Heavy Reaper</t>
        </is>
      </c>
      <c r="D603" s="6" t="inlineStr">
        <is>
          <t>SupportVehicle</t>
        </is>
      </c>
      <c r="E603" s="6" t="n">
        <v>75000</v>
      </c>
      <c r="F603" s="6" t="n">
        <v>65</v>
      </c>
      <c r="G603" t="inlineStr">
        <is>
          <t>Medium</t>
        </is>
      </c>
      <c r="H603" s="6" t="n">
        <v>1</v>
      </c>
      <c r="I603" s="6" t="n">
        <v>1.25</v>
      </c>
      <c r="J603" s="6" t="n">
        <v>1.5</v>
      </c>
      <c r="P603">
        <f>MAX(P604,P605)</f>
        <v/>
      </c>
      <c r="S603">
        <f>S604+S605</f>
        <v/>
      </c>
      <c r="T603">
        <f>(E603/100000+F603/100+(P603/1000)*J603/5+S603/200)*200*I603*H603</f>
        <v/>
      </c>
      <c r="U603">
        <f>((E603*F603/25000)+((P603/1000)*J603*S603/2.5))*I603*H603</f>
        <v/>
      </c>
      <c r="V603">
        <f>(E603*F603*(P603/1000)*J603*S603*I603*H603)/12500000</f>
        <v/>
      </c>
      <c r="W603">
        <f>(T603+U603+V603)/3</f>
        <v/>
      </c>
      <c r="X603" s="6" t="n">
        <v>1650</v>
      </c>
      <c r="Y603">
        <f>IFERROR(W603-X603,"")</f>
        <v/>
      </c>
      <c r="Z603">
        <f>IFERROR(ABS(Y603)/MAX(X603,1),"")</f>
        <v/>
      </c>
      <c r="AA603">
        <f>IFERROR((X603-(((E603/100000+F603/100+S603/200)*200*I603*H603)+((E603*F603/25000)*I603*H603))/3)/(((J603/5)*200*I603*H603)+((J603*S603/2.5)*I603*H603)+((E603*F603*J603*S603*I603*H603)/12500000))/3*1000,"")</f>
        <v/>
      </c>
    </row>
    <row r="604">
      <c r="B604" s="7" t="inlineStr">
        <is>
          <t xml:space="preserve">  ↳ CabalHeavyReaperMissiles</t>
        </is>
      </c>
      <c r="C604" s="7" t="inlineStr">
        <is>
          <t>Armament</t>
        </is>
      </c>
      <c r="L604" s="6" t="n">
        <v>48000</v>
      </c>
      <c r="M604" s="6" t="n">
        <v>30</v>
      </c>
      <c r="N604" s="6" t="n">
        <v>2</v>
      </c>
      <c r="O604" s="6" t="n">
        <v>12</v>
      </c>
      <c r="P604" s="6" t="n">
        <v>6085</v>
      </c>
      <c r="Q604" s="6" t="n">
        <v>1</v>
      </c>
      <c r="R604">
        <f>M604+IF(MAX(N604-1,0)&gt;0,IF(ISBLANK(O604),5*MAX(N604-1,0),IF(ISNUMBER(O604),O604*MAX(N604-1,0),SUM(IFERROR(VALUE(TEXTSPLIT(O604,",")),0)))),0)</f>
        <v/>
      </c>
      <c r="S604">
        <f>IFERROR(L604*MAX(N604,1)/R604*IF(ISBLANK(K603),1,K603),0)</f>
        <v/>
      </c>
      <c r="AB604" s="7" t="inlineStr">
        <is>
          <t>^Warhead_MissileHE_Medium, ^Warhead_MissileHE_Heavy, ^Warhead_Demolition_Light, ^Warhead_Concussion_Medium</t>
        </is>
      </c>
    </row>
    <row r="605">
      <c r="B605" s="7" t="inlineStr">
        <is>
          <t xml:space="preserve">  ↳ CabalHeavyReaperMissiles_AA</t>
        </is>
      </c>
      <c r="C605" s="7" t="inlineStr">
        <is>
          <t>Armament@SECONDARY</t>
        </is>
      </c>
      <c r="L605" s="6" t="n">
        <v>48000</v>
      </c>
      <c r="M605" s="6" t="n">
        <v>30</v>
      </c>
      <c r="N605" s="6" t="n">
        <v>2</v>
      </c>
      <c r="O605" s="6" t="n">
        <v>12</v>
      </c>
      <c r="P605" s="6" t="n">
        <v>9130</v>
      </c>
      <c r="Q605" s="6" t="n">
        <v>1</v>
      </c>
      <c r="R605">
        <f>M605+IF(MAX(N605-1,0)&gt;0,IF(ISBLANK(O605),5*MAX(N605-1,0),IF(ISNUMBER(O605),O605*MAX(N605-1,0),SUM(IFERROR(VALUE(TEXTSPLIT(O605,",")),0)))),0)</f>
        <v/>
      </c>
      <c r="S605">
        <f>IFERROR(L605*MAX(N605,1)/R605*IF(ISBLANK(K603),1,K603),0)</f>
        <v/>
      </c>
      <c r="AB605" s="7" t="inlineStr">
        <is>
          <t>^Warhead_MissileHE_Medium, ^Warhead_MissileHE_Heavy, ^Warhead_Demolition_Light, ^Warhead_Concussion_Medium</t>
        </is>
      </c>
    </row>
    <row r="606">
      <c r="B606" s="7" t="inlineStr">
        <is>
          <t xml:space="preserve">  ↳ CabalHeavyReaperTrap</t>
        </is>
      </c>
      <c r="C606" s="7" t="inlineStr">
        <is>
          <t>Armament@TRAP</t>
        </is>
      </c>
      <c r="M606" s="6" t="n">
        <v>250</v>
      </c>
      <c r="N606" s="6" t="n">
        <v>1</v>
      </c>
      <c r="O606" s="6" t="n"/>
      <c r="P606" s="6" t="n">
        <v>6085</v>
      </c>
      <c r="Q606" s="6" t="n">
        <v>1</v>
      </c>
      <c r="R606">
        <f>M606+IF(MAX(N606-1,0)&gt;0,IF(ISBLANK(O606),5*MAX(N606-1,0),IF(ISNUMBER(O606),O606*MAX(N606-1,0),SUM(IFERROR(VALUE(TEXTSPLIT(O606,",")),0)))),0)</f>
        <v/>
      </c>
      <c r="S606">
        <f>IFERROR(L606*MAX(N606,1)/R606*IF(ISBLANK(K603),1,K603),0)</f>
        <v/>
      </c>
      <c r="AB606" s="7" t="inlineStr"/>
    </row>
    <row r="607">
      <c r="A607" t="inlineStr">
        <is>
          <t>tiberiansun</t>
        </is>
      </c>
      <c r="B607" t="inlineStr">
        <is>
          <t>cabal_manticore</t>
        </is>
      </c>
      <c r="C607" t="inlineStr">
        <is>
          <t>Manticore</t>
        </is>
      </c>
      <c r="D607" s="6" t="inlineStr">
        <is>
          <t>SupportVehicle</t>
        </is>
      </c>
      <c r="E607" s="6" t="n">
        <v>100000</v>
      </c>
      <c r="F607" s="6" t="n">
        <v>65</v>
      </c>
      <c r="G607" t="inlineStr">
        <is>
          <t>Light</t>
        </is>
      </c>
      <c r="H607" s="6" t="n">
        <v>0.75</v>
      </c>
      <c r="I607" s="6" t="n">
        <v>1.25</v>
      </c>
      <c r="J607" s="6" t="n">
        <v>1</v>
      </c>
      <c r="P607">
        <f>MAX(P608,P609)</f>
        <v/>
      </c>
      <c r="S607">
        <f>S608+S609</f>
        <v/>
      </c>
      <c r="T607">
        <f>(E607/100000+F607/100+(P607/1000)*J607/5+S607/200)*200*I607*H607</f>
        <v/>
      </c>
      <c r="U607">
        <f>((E607*F607/25000)+((P607/1000)*J607*S607/2.5))*I607*H607</f>
        <v/>
      </c>
      <c r="V607">
        <f>(E607*F607*(P607/1000)*J607*S607*I607*H607)/12500000</f>
        <v/>
      </c>
      <c r="W607">
        <f>(T607+U607+V607)/3</f>
        <v/>
      </c>
      <c r="X607" s="6" t="n">
        <v>1400</v>
      </c>
      <c r="Y607">
        <f>IFERROR(W607-X607,"")</f>
        <v/>
      </c>
      <c r="Z607">
        <f>IFERROR(ABS(Y607)/MAX(X607,1),"")</f>
        <v/>
      </c>
      <c r="AA607">
        <f>IFERROR((X607-(((E607/100000+F607/100+S607/200)*200*I607*H607)+((E607*F607/25000)*I607*H607))/3)/(((J607/5)*200*I607*H607)+((J607*S607/2.5)*I607*H607)+((E607*F607*J607*S607*I607*H607)/12500000))/3*1000,"")</f>
        <v/>
      </c>
    </row>
    <row r="608">
      <c r="B608" s="7" t="inlineStr">
        <is>
          <t xml:space="preserve">  ↳ CabalManticoreLaser</t>
        </is>
      </c>
      <c r="C608" s="7" t="inlineStr">
        <is>
          <t>Armament@PRIMARY</t>
        </is>
      </c>
      <c r="L608" s="6" t="n">
        <v>10000</v>
      </c>
      <c r="M608" s="6" t="n">
        <v>30</v>
      </c>
      <c r="N608" s="6" t="n">
        <v>2</v>
      </c>
      <c r="O608" s="6" t="n">
        <v>3</v>
      </c>
      <c r="P608" s="6" t="n">
        <v>5358</v>
      </c>
      <c r="Q608" s="6" t="n">
        <v>1.25</v>
      </c>
      <c r="R608">
        <f>M608+IF(MAX(N608-1,0)&gt;0,IF(ISBLANK(O608),5*MAX(N608-1,0),IF(ISNUMBER(O608),O608*MAX(N608-1,0),SUM(IFERROR(VALUE(TEXTSPLIT(O608,",")),0)))),0)</f>
        <v/>
      </c>
      <c r="S608">
        <f>IFERROR(L608*MAX(N608,1)/R608*IF(ISBLANK(K607),1,K607),0)</f>
        <v/>
      </c>
      <c r="AB608" s="7" t="inlineStr">
        <is>
          <t>^Warhead_Laser_Heavy</t>
        </is>
      </c>
    </row>
    <row r="609">
      <c r="B609" s="7" t="inlineStr">
        <is>
          <t xml:space="preserve">  ↳ CabalManticoreMissilesAA</t>
        </is>
      </c>
      <c r="C609" s="7" t="inlineStr">
        <is>
          <t>Armament@SECONDARY</t>
        </is>
      </c>
      <c r="L609" s="6" t="n">
        <v>48000</v>
      </c>
      <c r="M609" s="6" t="n">
        <v>30</v>
      </c>
      <c r="N609" s="6" t="n">
        <v>2</v>
      </c>
      <c r="O609" s="6" t="n">
        <v>3</v>
      </c>
      <c r="P609" s="6" t="n">
        <v>5358</v>
      </c>
      <c r="Q609" s="6" t="n">
        <v>1</v>
      </c>
      <c r="R609">
        <f>M609+IF(MAX(N609-1,0)&gt;0,IF(ISBLANK(O609),5*MAX(N609-1,0),IF(ISNUMBER(O609),O609*MAX(N609-1,0),SUM(IFERROR(VALUE(TEXTSPLIT(O609,",")),0)))),0)</f>
        <v/>
      </c>
      <c r="S609">
        <f>IFERROR(L609*MAX(N609,1)/R609*IF(ISBLANK(K607),1,K607),0)</f>
        <v/>
      </c>
      <c r="AB609" s="7" t="inlineStr">
        <is>
          <t>^Warhead_MissileHE_Light, ^Warhead_MissileHE_Medium, ^Warhead_Demolition_Light, ^Warhead_Concussion_Medium</t>
        </is>
      </c>
    </row>
    <row r="610">
      <c r="A610" t="inlineStr">
        <is>
          <t>tiberiansun</t>
        </is>
      </c>
      <c r="B610" t="inlineStr">
        <is>
          <t>cabal_mobileconstructionvehicle</t>
        </is>
      </c>
      <c r="C610" t="inlineStr">
        <is>
          <t>CABAL Mobile Construction Vehicle</t>
        </is>
      </c>
      <c r="D610" s="6" t="inlineStr">
        <is>
          <t>SupportVehicle</t>
        </is>
      </c>
      <c r="E610" s="6" t="n">
        <v>300000</v>
      </c>
      <c r="F610" s="6" t="n">
        <v>75</v>
      </c>
      <c r="G610" t="inlineStr">
        <is>
          <t>Medium</t>
        </is>
      </c>
      <c r="H610" s="6" t="n">
        <v>1</v>
      </c>
      <c r="I610" s="6" t="n">
        <v>1</v>
      </c>
      <c r="J610" s="6" t="n">
        <v>1</v>
      </c>
      <c r="X610" s="6" t="n">
        <v>5000</v>
      </c>
    </row>
    <row r="611">
      <c r="A611" t="inlineStr">
        <is>
          <t>tiberiansun</t>
        </is>
      </c>
      <c r="B611" t="inlineStr">
        <is>
          <t>cabal_scarabapc</t>
        </is>
      </c>
      <c r="C611" t="inlineStr">
        <is>
          <t>Scarab APC</t>
        </is>
      </c>
      <c r="D611" s="6" t="inlineStr">
        <is>
          <t>SupportVehicle</t>
        </is>
      </c>
      <c r="E611" s="6" t="n">
        <v>30000</v>
      </c>
      <c r="F611" s="6" t="n">
        <v>75</v>
      </c>
      <c r="G611" t="inlineStr">
        <is>
          <t>Heavy</t>
        </is>
      </c>
      <c r="H611" s="6" t="n">
        <v>1</v>
      </c>
      <c r="I611" s="6" t="n">
        <v>1</v>
      </c>
      <c r="J611" s="6" t="n">
        <v>1</v>
      </c>
      <c r="X611" s="6" t="n">
        <v>4775</v>
      </c>
    </row>
    <row r="612">
      <c r="A612" t="inlineStr">
        <is>
          <t>tiberiansun</t>
        </is>
      </c>
      <c r="B612" t="inlineStr">
        <is>
          <t>ts_nod_mobileconstructionvehicle</t>
        </is>
      </c>
      <c r="C612" t="inlineStr">
        <is>
          <t>Nod Mobile Construction Vehicle</t>
        </is>
      </c>
      <c r="D612" s="6" t="inlineStr">
        <is>
          <t>SupportVehicle</t>
        </is>
      </c>
      <c r="E612" s="6" t="n">
        <v>300000</v>
      </c>
      <c r="F612" s="6" t="n">
        <v>75</v>
      </c>
      <c r="G612" t="inlineStr">
        <is>
          <t>Medium</t>
        </is>
      </c>
      <c r="H612" s="6" t="n">
        <v>1</v>
      </c>
      <c r="I612" s="6" t="n">
        <v>1</v>
      </c>
      <c r="J612" s="6" t="n">
        <v>1</v>
      </c>
      <c r="X612" s="6" t="n">
        <v>5000</v>
      </c>
    </row>
    <row r="613">
      <c r="A613" t="inlineStr">
        <is>
          <t>tiberiansun</t>
        </is>
      </c>
      <c r="B613" t="inlineStr">
        <is>
          <t>ts_nod_subterraneanapc</t>
        </is>
      </c>
      <c r="C613" t="inlineStr">
        <is>
          <t>Subterranean APC</t>
        </is>
      </c>
      <c r="D613" s="6" t="inlineStr">
        <is>
          <t>SupportVehicle</t>
        </is>
      </c>
      <c r="E613" s="6" t="n">
        <v>17500</v>
      </c>
      <c r="F613" s="6" t="n">
        <v>60</v>
      </c>
      <c r="G613" t="inlineStr">
        <is>
          <t>Medium</t>
        </is>
      </c>
      <c r="H613" s="6" t="n">
        <v>1</v>
      </c>
      <c r="I613" s="6" t="n">
        <v>1</v>
      </c>
      <c r="J613" s="6" t="n">
        <v>1</v>
      </c>
      <c r="P613">
        <f>MAX(P614,P615)</f>
        <v/>
      </c>
      <c r="S613">
        <f>S614+S615</f>
        <v/>
      </c>
      <c r="T613">
        <f>(E613/100000+F613/100+(P613/1000)*J613/5+S613/200)*200*I613*H613</f>
        <v/>
      </c>
      <c r="U613">
        <f>((E613*F613/25000)+((P613/1000)*J613*S613/2.5))*I613*H613</f>
        <v/>
      </c>
      <c r="V613">
        <f>(E613*F613*(P613/1000)*J613*S613*I613*H613)/12500000</f>
        <v/>
      </c>
      <c r="W613">
        <f>(T613+U613+V613)/3</f>
        <v/>
      </c>
      <c r="X613" s="6" t="n">
        <v>1410</v>
      </c>
      <c r="Y613">
        <f>IFERROR(W613-X613,"")</f>
        <v/>
      </c>
      <c r="Z613">
        <f>IFERROR(ABS(Y613)/MAX(X613,1),"")</f>
        <v/>
      </c>
      <c r="AA613">
        <f>IFERROR((X613-(((E613/100000+F613/100+S613/200)*200*I613*H613)+((E613*F613/25000)*I613*H613))/3)/(((J613/5)*200*I613*H613)+((J613*S613/2.5)*I613*H613)+((E613*F613*J613*S613*I613*H613)/12500000))/3*1000,"")</f>
        <v/>
      </c>
    </row>
    <row r="614">
      <c r="B614" s="7" t="inlineStr">
        <is>
          <t xml:space="preserve">  ↳ TSSAPCMissiles</t>
        </is>
      </c>
      <c r="C614" s="7" t="inlineStr">
        <is>
          <t>Armament@PRIMARY</t>
        </is>
      </c>
      <c r="L614" s="6" t="n">
        <v>16000</v>
      </c>
      <c r="M614" s="6" t="n">
        <v>18</v>
      </c>
      <c r="N614" s="6" t="n">
        <v>2</v>
      </c>
      <c r="O614" s="6" t="n">
        <v>2</v>
      </c>
      <c r="P614" s="6" t="n">
        <v>5300</v>
      </c>
      <c r="Q614" s="6" t="n">
        <v>1</v>
      </c>
      <c r="R614">
        <f>M614+IF(MAX(N614-1,0)&gt;0,IF(ISBLANK(O614),5*MAX(N614-1,0),IF(ISNUMBER(O614),O614*MAX(N614-1,0),SUM(IFERROR(VALUE(TEXTSPLIT(O614,",")),0)))),0)</f>
        <v/>
      </c>
      <c r="S614">
        <f>IFERROR(L614*MAX(N614,1)/R614*IF(ISBLANK(K613),1,K613),0)</f>
        <v/>
      </c>
      <c r="AB614" s="7" t="inlineStr">
        <is>
          <t>^Grenade, ^LightMissile</t>
        </is>
      </c>
    </row>
    <row r="615">
      <c r="B615" s="7" t="inlineStr">
        <is>
          <t xml:space="preserve">  ↳ TSSAPCCoreMissiles</t>
        </is>
      </c>
      <c r="C615" s="7" t="inlineStr">
        <is>
          <t>Armament@UPGRADE</t>
        </is>
      </c>
      <c r="L615" s="6" t="n">
        <v>24000</v>
      </c>
      <c r="M615" s="6" t="n">
        <v>18</v>
      </c>
      <c r="N615" s="6" t="n">
        <v>2</v>
      </c>
      <c r="O615" s="6" t="n">
        <v>2</v>
      </c>
      <c r="P615" s="6" t="n">
        <v>5300</v>
      </c>
      <c r="Q615" s="6" t="n">
        <v>0.75</v>
      </c>
      <c r="R615">
        <f>M615+IF(MAX(N615-1,0)&gt;0,IF(ISBLANK(O615),5*MAX(N615-1,0),IF(ISNUMBER(O615),O615*MAX(N615-1,0),SUM(IFERROR(VALUE(TEXTSPLIT(O615,",")),0)))),0)</f>
        <v/>
      </c>
      <c r="S615">
        <f>IFERROR(L615*MAX(N615,1)/R615*IF(ISBLANK(K613),1,K613),0)</f>
        <v/>
      </c>
      <c r="AB615" s="7" t="inlineStr">
        <is>
          <t>^Warhead_Chemical_Light</t>
        </is>
      </c>
    </row>
    <row r="616">
      <c r="A616" t="inlineStr">
        <is>
          <t>tiberiansun</t>
        </is>
      </c>
      <c r="B616" t="inlineStr">
        <is>
          <t>ts_gdi_amphibiousapc</t>
        </is>
      </c>
      <c r="C616" t="inlineStr">
        <is>
          <t>Amphibious APC</t>
        </is>
      </c>
      <c r="D616" s="6" t="inlineStr">
        <is>
          <t>SupportVehicle</t>
        </is>
      </c>
      <c r="E616" s="6" t="n">
        <v>80000</v>
      </c>
      <c r="F616" s="6" t="n">
        <v>100</v>
      </c>
      <c r="G616" t="inlineStr">
        <is>
          <t>Heavy</t>
        </is>
      </c>
      <c r="H616" s="6" t="n">
        <v>1</v>
      </c>
      <c r="I616" s="6" t="n">
        <v>1</v>
      </c>
      <c r="J616" s="6" t="n">
        <v>1</v>
      </c>
      <c r="P616">
        <f>MAX(P617)</f>
        <v/>
      </c>
      <c r="S616">
        <f>S617</f>
        <v/>
      </c>
      <c r="T616">
        <f>(E616/100000+F616/100+(P616/1000)*J616/5+S616/200)*200*I616*H616</f>
        <v/>
      </c>
      <c r="U616">
        <f>((E616*F616/25000)+((P616/1000)*J616*S616/2.5))*I616*H616</f>
        <v/>
      </c>
      <c r="V616">
        <f>(E616*F616*(P616/1000)*J616*S616*I616*H616)/12500000</f>
        <v/>
      </c>
      <c r="W616">
        <f>(T616+U616+V616)/3</f>
        <v/>
      </c>
      <c r="X616" s="6" t="n">
        <v>1640</v>
      </c>
      <c r="Y616">
        <f>IFERROR(W616-X616,"")</f>
        <v/>
      </c>
      <c r="Z616">
        <f>IFERROR(ABS(Y616)/MAX(X616,1),"")</f>
        <v/>
      </c>
      <c r="AA616">
        <f>IFERROR((X616-(((E616/100000+F616/100+S616/200)*200*I616*H616)+((E616*F616/25000)*I616*H616))/3)/(((J616/5)*200*I616*H616)+((J616*S616/2.5)*I616*H616)+((E616*F616*J616*S616*I616*H616)/12500000))/3*1000,"")</f>
        <v/>
      </c>
    </row>
    <row r="617">
      <c r="B617" s="7" t="inlineStr">
        <is>
          <t xml:space="preserve">  ↳ TSAAPCCannon</t>
        </is>
      </c>
      <c r="C617" s="7" t="inlineStr">
        <is>
          <t>Armament</t>
        </is>
      </c>
      <c r="L617" s="6" t="n">
        <v>4000</v>
      </c>
      <c r="M617" s="6" t="n">
        <v>10</v>
      </c>
      <c r="N617" s="6" t="n">
        <v>1</v>
      </c>
      <c r="O617" s="6" t="n"/>
      <c r="P617" s="6" t="n">
        <v>6263</v>
      </c>
      <c r="Q617" s="6" t="n">
        <v>1</v>
      </c>
      <c r="R617">
        <f>M617+IF(MAX(N617-1,0)&gt;0,IF(ISBLANK(O617),5*MAX(N617-1,0),IF(ISNUMBER(O617),O617*MAX(N617-1,0),SUM(IFERROR(VALUE(TEXTSPLIT(O617,",")),0)))),0)</f>
        <v/>
      </c>
      <c r="S617">
        <f>IFERROR(L617*MAX(N617,1)/R617*IF(ISBLANK(K616),1,K616),0)</f>
        <v/>
      </c>
      <c r="AB617" s="7" t="inlineStr">
        <is>
          <t>^Warhead_Bullet_Medium, ^Warhead_Flak_Medium</t>
        </is>
      </c>
    </row>
    <row r="618">
      <c r="A618" t="inlineStr">
        <is>
          <t>tiberiansun</t>
        </is>
      </c>
      <c r="B618" t="inlineStr">
        <is>
          <t>ts_gdi_mobileconstructionvehicle</t>
        </is>
      </c>
      <c r="C618" t="inlineStr">
        <is>
          <t>Mobile Construction Vehicle</t>
        </is>
      </c>
      <c r="D618" s="6" t="inlineStr">
        <is>
          <t>SupportVehicle</t>
        </is>
      </c>
      <c r="E618" s="6" t="n">
        <v>300000</v>
      </c>
      <c r="F618" s="6" t="n">
        <v>75</v>
      </c>
      <c r="G618" t="inlineStr">
        <is>
          <t>Medium</t>
        </is>
      </c>
      <c r="H618" s="6" t="n">
        <v>1</v>
      </c>
      <c r="I618" s="6" t="n">
        <v>1</v>
      </c>
      <c r="J618" s="6" t="n">
        <v>1</v>
      </c>
      <c r="X618" s="6" t="n">
        <v>5000</v>
      </c>
    </row>
    <row r="619">
      <c r="A619" t="inlineStr">
        <is>
          <t>tiberiansun</t>
        </is>
      </c>
      <c r="B619" t="inlineStr">
        <is>
          <t>forgotten_apctruck</t>
        </is>
      </c>
      <c r="C619" t="inlineStr">
        <is>
          <t>actor_forgotten_apctruck.name</t>
        </is>
      </c>
      <c r="D619" s="6" t="inlineStr">
        <is>
          <t>SupportVehicle</t>
        </is>
      </c>
      <c r="E619" s="6" t="n">
        <v>80000</v>
      </c>
      <c r="F619" s="6" t="n">
        <v>80</v>
      </c>
      <c r="G619" t="inlineStr">
        <is>
          <t>Light</t>
        </is>
      </c>
      <c r="H619" s="6" t="n">
        <v>1</v>
      </c>
      <c r="I619" s="6" t="n">
        <v>1</v>
      </c>
      <c r="J619" s="6" t="n">
        <v>1</v>
      </c>
      <c r="P619">
        <f>MAX(P620)</f>
        <v/>
      </c>
      <c r="S619">
        <f>S620</f>
        <v/>
      </c>
      <c r="T619">
        <f>(E619/100000+F619/100+(P619/1000)*J619/5+S619/200)*200*I619*H619</f>
        <v/>
      </c>
      <c r="U619">
        <f>((E619*F619/25000)+((P619/1000)*J619*S619/2.5))*I619*H619</f>
        <v/>
      </c>
      <c r="V619">
        <f>(E619*F619*(P619/1000)*J619*S619*I619*H619)/12500000</f>
        <v/>
      </c>
      <c r="W619">
        <f>(T619+U619+V619)/3</f>
        <v/>
      </c>
      <c r="X619" s="6" t="n">
        <v>1260</v>
      </c>
      <c r="Y619">
        <f>IFERROR(W619-X619,"")</f>
        <v/>
      </c>
      <c r="Z619">
        <f>IFERROR(ABS(Y619)/MAX(X619,1),"")</f>
        <v/>
      </c>
      <c r="AA619">
        <f>IFERROR((X619-(((E619/100000+F619/100+S619/200)*200*I619*H619)+((E619*F619/25000)*I619*H619))/3)/(((J619/5)*200*I619*H619)+((J619*S619/2.5)*I619*H619)+((E619*F619*J619*S619*I619*H619)/12500000))/3*1000,"")</f>
        <v/>
      </c>
    </row>
    <row r="620">
      <c r="B620" s="7" t="inlineStr">
        <is>
          <t xml:space="preserve">  ↳ TSMutApcCannon</t>
        </is>
      </c>
      <c r="C620" s="7" t="inlineStr">
        <is>
          <t>Armament</t>
        </is>
      </c>
      <c r="L620" s="6" t="n">
        <v>4000</v>
      </c>
      <c r="M620" s="6" t="n">
        <v>12</v>
      </c>
      <c r="N620" s="6" t="n">
        <v>1</v>
      </c>
      <c r="O620" s="6" t="n"/>
      <c r="P620" s="6" t="n">
        <v>6147</v>
      </c>
      <c r="Q620" s="6" t="n">
        <v>1</v>
      </c>
      <c r="R620">
        <f>M620+IF(MAX(N620-1,0)&gt;0,IF(ISBLANK(O620),5*MAX(N620-1,0),IF(ISNUMBER(O620),O620*MAX(N620-1,0),SUM(IFERROR(VALUE(TEXTSPLIT(O620,",")),0)))),0)</f>
        <v/>
      </c>
      <c r="S620">
        <f>IFERROR(L620*MAX(N620,1)/R620*IF(ISBLANK(K619),1,K619),0)</f>
        <v/>
      </c>
      <c r="AB620" s="7" t="inlineStr">
        <is>
          <t>^Warhead_Bullet_Medium, ^Warhead_Flak_Medium</t>
        </is>
      </c>
    </row>
    <row r="621">
      <c r="A621" t="inlineStr">
        <is>
          <t>tiberiansun</t>
        </is>
      </c>
      <c r="B621" t="inlineStr">
        <is>
          <t>forgotten_mobileconstructionvehicle</t>
        </is>
      </c>
      <c r="C621" t="inlineStr">
        <is>
          <t>actor_forgotten_mobileconstructionvehicle.name</t>
        </is>
      </c>
      <c r="D621" s="6" t="inlineStr">
        <is>
          <t>SupportVehicle</t>
        </is>
      </c>
      <c r="E621" s="6" t="n">
        <v>300000</v>
      </c>
      <c r="F621" s="6" t="n">
        <v>75</v>
      </c>
      <c r="G621" t="inlineStr">
        <is>
          <t>Medium</t>
        </is>
      </c>
      <c r="H621" s="6" t="n">
        <v>1</v>
      </c>
      <c r="I621" s="6" t="n">
        <v>1</v>
      </c>
      <c r="J621" s="6" t="n">
        <v>1</v>
      </c>
      <c r="X621" s="6" t="n">
        <v>5000</v>
      </c>
    </row>
    <row r="622">
      <c r="A622" t="inlineStr">
        <is>
          <t>tiberiansun</t>
        </is>
      </c>
      <c r="B622" t="inlineStr">
        <is>
          <t>forgotten_scarabapc</t>
        </is>
      </c>
      <c r="C622" t="inlineStr">
        <is>
          <t>actor_forgotten_scarabapc.name</t>
        </is>
      </c>
      <c r="D622" s="6" t="inlineStr">
        <is>
          <t>SupportVehicle</t>
        </is>
      </c>
      <c r="E622" s="6" t="n">
        <v>17500</v>
      </c>
      <c r="F622" s="6" t="n">
        <v>60</v>
      </c>
      <c r="G622" t="inlineStr">
        <is>
          <t>Medium</t>
        </is>
      </c>
      <c r="H622" s="6" t="n">
        <v>1</v>
      </c>
      <c r="I622" s="6" t="n">
        <v>1</v>
      </c>
      <c r="J622" s="6" t="n">
        <v>1</v>
      </c>
      <c r="P622">
        <f>MAX(P623,P624)</f>
        <v/>
      </c>
      <c r="S622">
        <f>S623+S624</f>
        <v/>
      </c>
      <c r="T622">
        <f>(E622/100000+F622/100+(P622/1000)*J622/5+S622/200)*200*I622*H622</f>
        <v/>
      </c>
      <c r="U622">
        <f>((E622*F622/25000)+((P622/1000)*J622*S622/2.5))*I622*H622</f>
        <v/>
      </c>
      <c r="V622">
        <f>(E622*F622*(P622/1000)*J622*S622*I622*H622)/12500000</f>
        <v/>
      </c>
      <c r="W622">
        <f>(T622+U622+V622)/3</f>
        <v/>
      </c>
      <c r="X622" s="6" t="n">
        <v>1410</v>
      </c>
      <c r="Y622">
        <f>IFERROR(W622-X622,"")</f>
        <v/>
      </c>
      <c r="Z622">
        <f>IFERROR(ABS(Y622)/MAX(X622,1),"")</f>
        <v/>
      </c>
      <c r="AA622">
        <f>IFERROR((X622-(((E622/100000+F622/100+S622/200)*200*I622*H622)+((E622*F622/25000)*I622*H622))/3)/(((J622/5)*200*I622*H622)+((J622*S622/2.5)*I622*H622)+((E622*F622*J622*S622*I622*H622)/12500000))/3*1000,"")</f>
        <v/>
      </c>
    </row>
    <row r="623">
      <c r="B623" s="7" t="inlineStr">
        <is>
          <t xml:space="preserve">  ↳ TSSAPCMissiles</t>
        </is>
      </c>
      <c r="C623" s="7" t="inlineStr">
        <is>
          <t>Armament@PRIMARY</t>
        </is>
      </c>
      <c r="L623" s="6" t="n">
        <v>16000</v>
      </c>
      <c r="M623" s="6" t="n">
        <v>18</v>
      </c>
      <c r="N623" s="6" t="n">
        <v>2</v>
      </c>
      <c r="O623" s="6" t="n">
        <v>2</v>
      </c>
      <c r="P623" s="6" t="n">
        <v>5300</v>
      </c>
      <c r="Q623" s="6" t="n">
        <v>1</v>
      </c>
      <c r="R623">
        <f>M623+IF(MAX(N623-1,0)&gt;0,IF(ISBLANK(O623),5*MAX(N623-1,0),IF(ISNUMBER(O623),O623*MAX(N623-1,0),SUM(IFERROR(VALUE(TEXTSPLIT(O623,",")),0)))),0)</f>
        <v/>
      </c>
      <c r="S623">
        <f>IFERROR(L623*MAX(N623,1)/R623*IF(ISBLANK(K622),1,K622),0)</f>
        <v/>
      </c>
      <c r="AB623" s="7" t="inlineStr">
        <is>
          <t>^Grenade, ^LightMissile</t>
        </is>
      </c>
    </row>
    <row r="624">
      <c r="B624" s="7" t="inlineStr">
        <is>
          <t xml:space="preserve">  ↳ TSSAPCCoreMissiles</t>
        </is>
      </c>
      <c r="C624" s="7" t="inlineStr">
        <is>
          <t>Armament@UPGRADE</t>
        </is>
      </c>
      <c r="L624" s="6" t="n">
        <v>24000</v>
      </c>
      <c r="M624" s="6" t="n">
        <v>18</v>
      </c>
      <c r="N624" s="6" t="n">
        <v>2</v>
      </c>
      <c r="O624" s="6" t="n">
        <v>2</v>
      </c>
      <c r="P624" s="6" t="n">
        <v>5300</v>
      </c>
      <c r="Q624" s="6" t="n">
        <v>0.75</v>
      </c>
      <c r="R624">
        <f>M624+IF(MAX(N624-1,0)&gt;0,IF(ISBLANK(O624),5*MAX(N624-1,0),IF(ISNUMBER(O624),O624*MAX(N624-1,0),SUM(IFERROR(VALUE(TEXTSPLIT(O624,",")),0)))),0)</f>
        <v/>
      </c>
      <c r="S624">
        <f>IFERROR(L624*MAX(N624,1)/R624*IF(ISBLANK(K622),1,K622),0)</f>
        <v/>
      </c>
      <c r="AB624" s="7" t="inlineStr">
        <is>
          <t>^Warhead_Chemical_Light</t>
        </is>
      </c>
    </row>
    <row r="625">
      <c r="A625" t="inlineStr">
        <is>
          <t>redalert2</t>
        </is>
      </c>
      <c r="B625" t="inlineStr">
        <is>
          <t>ra2_allies_alliedmobileconstructionvehicle</t>
        </is>
      </c>
      <c r="C625" t="inlineStr">
        <is>
          <t>Allied Mobile Construction Vehicle</t>
        </is>
      </c>
      <c r="D625" s="6" t="inlineStr">
        <is>
          <t>SupportVehicle</t>
        </is>
      </c>
      <c r="E625" s="6" t="n">
        <v>300000</v>
      </c>
      <c r="F625" s="6" t="n">
        <v>75</v>
      </c>
      <c r="G625" t="inlineStr">
        <is>
          <t>Medium</t>
        </is>
      </c>
      <c r="H625" s="6" t="n">
        <v>0.782</v>
      </c>
      <c r="I625" s="6" t="n">
        <v>1</v>
      </c>
      <c r="J625" s="6" t="n">
        <v>1</v>
      </c>
      <c r="X625" s="6" t="n">
        <v>5000</v>
      </c>
    </row>
    <row r="626">
      <c r="A626" t="inlineStr">
        <is>
          <t>redalert2</t>
        </is>
      </c>
      <c r="B626" t="inlineStr">
        <is>
          <t>ra2_soviets_mobileconstructionvehicle</t>
        </is>
      </c>
      <c r="C626" t="inlineStr">
        <is>
          <t>Soviet Mobile Construction Vehicle</t>
        </is>
      </c>
      <c r="D626" s="6" t="inlineStr">
        <is>
          <t>SupportVehicle</t>
        </is>
      </c>
      <c r="E626" s="6" t="n">
        <v>300000</v>
      </c>
      <c r="F626" s="6" t="n">
        <v>75</v>
      </c>
      <c r="G626" t="inlineStr">
        <is>
          <t>Medium</t>
        </is>
      </c>
      <c r="H626" s="6" t="n">
        <v>0.8824</v>
      </c>
      <c r="I626" s="6" t="n">
        <v>1</v>
      </c>
      <c r="J626" s="6" t="n">
        <v>1</v>
      </c>
      <c r="X626" s="6" t="n">
        <v>5000</v>
      </c>
    </row>
    <row r="627">
      <c r="A627" t="inlineStr">
        <is>
          <t>redalert2</t>
        </is>
      </c>
      <c r="B627" t="inlineStr">
        <is>
          <t>yuri_chaosdrone</t>
        </is>
      </c>
      <c r="C627" t="inlineStr">
        <is>
          <t>Chaos Drone</t>
        </is>
      </c>
      <c r="D627" s="6" t="inlineStr">
        <is>
          <t>SupportVehicle</t>
        </is>
      </c>
      <c r="E627" s="6" t="n">
        <v>12500</v>
      </c>
      <c r="F627" s="6" t="n">
        <v>140</v>
      </c>
      <c r="G627" t="inlineStr">
        <is>
          <t>Scout</t>
        </is>
      </c>
      <c r="H627" s="6" t="n">
        <v>0.8824</v>
      </c>
      <c r="I627" s="6" t="n">
        <v>1</v>
      </c>
      <c r="J627" s="6" t="n">
        <v>1</v>
      </c>
      <c r="X627" s="6" t="n">
        <v>600</v>
      </c>
    </row>
    <row r="628">
      <c r="B628" s="7" t="inlineStr">
        <is>
          <t xml:space="preserve">  ↳ RA2Dronegas</t>
        </is>
      </c>
      <c r="C628" s="7" t="inlineStr">
        <is>
          <t>Armament</t>
        </is>
      </c>
      <c r="M628" s="6" t="n">
        <v>125</v>
      </c>
      <c r="N628" s="6" t="n">
        <v>1</v>
      </c>
      <c r="O628" s="6" t="n"/>
      <c r="P628" s="6" t="n">
        <v>5000</v>
      </c>
      <c r="Q628" s="6" t="n">
        <v>1</v>
      </c>
      <c r="R628">
        <f>M628+IF(MAX(N628-1,0)&gt;0,IF(ISBLANK(O628),5*MAX(N628-1,0),IF(ISNUMBER(O628),O628*MAX(N628-1,0),SUM(IFERROR(VALUE(TEXTSPLIT(O628,",")),0)))),0)</f>
        <v/>
      </c>
      <c r="S628">
        <f>IFERROR(L628*MAX(N628,1)/R628*IF(ISBLANK(K627),1,K627),0)</f>
        <v/>
      </c>
      <c r="AB628" s="7" t="inlineStr"/>
    </row>
    <row r="629">
      <c r="B629" s="7" t="inlineStr">
        <is>
          <t xml:space="preserve">  ↳ RA2Dronegas</t>
        </is>
      </c>
      <c r="C629" s="7" t="inlineStr">
        <is>
          <t>Armament@GARRISONED</t>
        </is>
      </c>
      <c r="M629" s="6" t="n">
        <v>125</v>
      </c>
      <c r="N629" s="6" t="n">
        <v>1</v>
      </c>
      <c r="O629" s="6" t="n"/>
      <c r="P629" s="6" t="n">
        <v>5000</v>
      </c>
      <c r="Q629" s="6" t="n">
        <v>1</v>
      </c>
      <c r="R629">
        <f>M629+IF(MAX(N629-1,0)&gt;0,IF(ISBLANK(O629),5*MAX(N629-1,0),IF(ISNUMBER(O629),O629*MAX(N629-1,0),SUM(IFERROR(VALUE(TEXTSPLIT(O629,",")),0)))),0)</f>
        <v/>
      </c>
      <c r="S629">
        <f>IFERROR(L629*MAX(N629,1)/R629*IF(ISBLANK(K627),1,K627),0)</f>
        <v/>
      </c>
      <c r="AB629" s="7" t="inlineStr"/>
    </row>
    <row r="630">
      <c r="A630" t="inlineStr">
        <is>
          <t>redalert2</t>
        </is>
      </c>
      <c r="B630" t="inlineStr">
        <is>
          <t>yuri_mobileconstructionvehicle</t>
        </is>
      </c>
      <c r="C630" t="inlineStr">
        <is>
          <t>Yuri Mobile Construction Vehicle</t>
        </is>
      </c>
      <c r="D630" s="6" t="inlineStr">
        <is>
          <t>SupportVehicle</t>
        </is>
      </c>
      <c r="E630" s="6" t="n">
        <v>300000</v>
      </c>
      <c r="F630" s="6" t="n">
        <v>75</v>
      </c>
      <c r="G630" t="inlineStr">
        <is>
          <t>Medium</t>
        </is>
      </c>
      <c r="H630" s="6" t="n">
        <v>0.8376</v>
      </c>
      <c r="I630" s="6" t="n">
        <v>1</v>
      </c>
      <c r="J630" s="6" t="n">
        <v>1</v>
      </c>
      <c r="X630" s="6" t="n">
        <v>5000</v>
      </c>
    </row>
    <row r="631">
      <c r="A631" t="inlineStr">
        <is>
          <t>redalert2</t>
        </is>
      </c>
      <c r="B631" t="inlineStr">
        <is>
          <t>yuri_slaveminer</t>
        </is>
      </c>
      <c r="C631" t="inlineStr">
        <is>
          <t>Slave Miner</t>
        </is>
      </c>
      <c r="D631" s="6" t="inlineStr">
        <is>
          <t>SupportVehicle</t>
        </is>
      </c>
      <c r="E631" s="6" t="n">
        <v>200000</v>
      </c>
      <c r="F631" s="6" t="n">
        <v>50</v>
      </c>
      <c r="G631" t="inlineStr">
        <is>
          <t>Heavy</t>
        </is>
      </c>
      <c r="H631" s="6" t="n">
        <v>0.9322</v>
      </c>
      <c r="I631" s="6" t="n">
        <v>1</v>
      </c>
      <c r="J631" s="6" t="n">
        <v>1</v>
      </c>
      <c r="P631">
        <f>MAX(P632)</f>
        <v/>
      </c>
      <c r="S631">
        <f>S632</f>
        <v/>
      </c>
      <c r="T631">
        <f>(E631/100000+F631/100+(P631/1000)*J631/5+S631/200)*200*I631*H631</f>
        <v/>
      </c>
      <c r="U631">
        <f>((E631*F631/25000)+((P631/1000)*J631*S631/2.5))*I631*H631</f>
        <v/>
      </c>
      <c r="V631">
        <f>(E631*F631*(P631/1000)*J631*S631*I631*H631)/12500000</f>
        <v/>
      </c>
      <c r="W631">
        <f>(T631+U631+V631)/3</f>
        <v/>
      </c>
      <c r="X631" s="6" t="n">
        <v>2500</v>
      </c>
      <c r="Y631">
        <f>IFERROR(W631-X631,"")</f>
        <v/>
      </c>
      <c r="Z631">
        <f>IFERROR(ABS(Y631)/MAX(X631,1),"")</f>
        <v/>
      </c>
      <c r="AA631">
        <f>IFERROR((X631-(((E631/100000+F631/100+S631/200)*200*I631*H631)+((E631*F631/25000)*I631*H631))/3)/(((J631/5)*200*I631*H631)+((J631*S631/2.5)*I631*H631)+((E631*F631*J631*S631*I631*H631)/12500000))/3*1000,"")</f>
        <v/>
      </c>
    </row>
    <row r="632">
      <c r="B632" s="7" t="inlineStr">
        <is>
          <t xml:space="preserve">  ↳ RA220mmrapid</t>
        </is>
      </c>
      <c r="C632" s="7" t="inlineStr">
        <is>
          <t>Armament@primary</t>
        </is>
      </c>
      <c r="L632" s="6" t="n">
        <v>8000</v>
      </c>
      <c r="M632" s="6" t="n">
        <v>15</v>
      </c>
      <c r="N632" s="6" t="n">
        <v>1</v>
      </c>
      <c r="O632" s="6" t="n"/>
      <c r="P632" s="6" t="n">
        <v>5000</v>
      </c>
      <c r="Q632" s="6" t="n">
        <v>0.875</v>
      </c>
      <c r="R632">
        <f>M632+IF(MAX(N632-1,0)&gt;0,IF(ISBLANK(O632),5*MAX(N632-1,0),IF(ISNUMBER(O632),O632*MAX(N632-1,0),SUM(IFERROR(VALUE(TEXTSPLIT(O632,",")),0)))),0)</f>
        <v/>
      </c>
      <c r="S632">
        <f>IFERROR(L632*MAX(N632,1)/R632*IF(ISBLANK(K631),1,K631),0)</f>
        <v/>
      </c>
      <c r="AB632" s="7" t="inlineStr">
        <is>
          <t>^Warhead_Bullet_Light, ^Warhead_Bullet_Medium</t>
        </is>
      </c>
    </row>
    <row r="633">
      <c r="A633" t="inlineStr">
        <is>
          <t>redalert2mod</t>
        </is>
      </c>
      <c r="B633" t="inlineStr">
        <is>
          <t>asianalliance_asianmobileconstructionvehicle</t>
        </is>
      </c>
      <c r="C633" t="inlineStr">
        <is>
          <t>Asian Mobile Construction Vehicle</t>
        </is>
      </c>
      <c r="D633" s="6" t="inlineStr">
        <is>
          <t>SupportVehicle</t>
        </is>
      </c>
      <c r="E633" s="6" t="n">
        <v>300000</v>
      </c>
      <c r="F633" s="6" t="n">
        <v>75</v>
      </c>
      <c r="G633" t="inlineStr">
        <is>
          <t>Medium</t>
        </is>
      </c>
      <c r="H633" s="6" t="n">
        <v>0.7857</v>
      </c>
      <c r="I633" s="6" t="n">
        <v>1</v>
      </c>
      <c r="J633" s="6" t="n">
        <v>1</v>
      </c>
      <c r="X633" s="6" t="n">
        <v>5000</v>
      </c>
    </row>
    <row r="634">
      <c r="A634" t="inlineStr">
        <is>
          <t>redalert2mod</t>
        </is>
      </c>
      <c r="B634" t="inlineStr">
        <is>
          <t>asianalliance_dragonfly</t>
        </is>
      </c>
      <c r="C634" t="inlineStr">
        <is>
          <t>Dragonfly</t>
        </is>
      </c>
      <c r="D634" s="6" t="inlineStr">
        <is>
          <t>SupportVehicle</t>
        </is>
      </c>
      <c r="E634" s="6" t="n">
        <v>32500</v>
      </c>
      <c r="F634" s="6" t="n">
        <v>100</v>
      </c>
      <c r="G634" t="inlineStr">
        <is>
          <t>Light</t>
        </is>
      </c>
      <c r="H634" s="6" t="n">
        <v>1</v>
      </c>
      <c r="I634" s="6" t="n">
        <v>1.25</v>
      </c>
      <c r="J634" s="6" t="n">
        <v>1.25</v>
      </c>
      <c r="X634" s="6" t="n">
        <v>1200</v>
      </c>
    </row>
    <row r="635">
      <c r="A635" t="inlineStr">
        <is>
          <t>redalert2mod</t>
        </is>
      </c>
      <c r="B635" t="inlineStr">
        <is>
          <t>hummer.steel</t>
        </is>
      </c>
      <c r="C635" t="inlineStr">
        <is>
          <t>Federation Hummer</t>
        </is>
      </c>
      <c r="D635" s="6" t="inlineStr">
        <is>
          <t>SupportVehicle</t>
        </is>
      </c>
      <c r="E635" s="6" t="n">
        <v>45000</v>
      </c>
      <c r="F635" s="6" t="n">
        <v>110</v>
      </c>
      <c r="G635" t="inlineStr">
        <is>
          <t>Medium</t>
        </is>
      </c>
      <c r="H635" s="6" t="n">
        <v>1</v>
      </c>
      <c r="I635" s="6" t="n">
        <v>1</v>
      </c>
      <c r="J635" s="6" t="n">
        <v>1</v>
      </c>
      <c r="P635">
        <f>MAX(P636,P637)</f>
        <v/>
      </c>
      <c r="S635">
        <f>S636+S637</f>
        <v/>
      </c>
      <c r="T635">
        <f>(E635/100000+F635/100+(P635/1000)*J635/5+S635/200)*200*I635*H635</f>
        <v/>
      </c>
      <c r="U635">
        <f>((E635*F635/25000)+((P635/1000)*J635*S635/2.5))*I635*H635</f>
        <v/>
      </c>
      <c r="V635">
        <f>(E635*F635*(P635/1000)*J635*S635*I635*H635)/12500000</f>
        <v/>
      </c>
      <c r="W635">
        <f>(T635+U635+V635)/3</f>
        <v/>
      </c>
      <c r="X635" s="6" t="n">
        <v>2000</v>
      </c>
      <c r="Y635">
        <f>IFERROR(W635-X635,"")</f>
        <v/>
      </c>
      <c r="Z635">
        <f>IFERROR(ABS(Y635)/MAX(X635,1),"")</f>
        <v/>
      </c>
      <c r="AA635">
        <f>IFERROR((X635-(((E635/100000+F635/100+S635/200)*200*I635*H635)+((E635*F635/25000)*I635*H635))/3)/(((J635/5)*200*I635*H635)+((J635*S635/2.5)*I635*H635)+((E635*F635*J635*S635*I635*H635)/12500000))/3*1000,"")</f>
        <v/>
      </c>
    </row>
    <row r="636">
      <c r="B636" s="7" t="inlineStr">
        <is>
          <t xml:space="preserve">  ↳ SteelHoverMissile</t>
        </is>
      </c>
      <c r="C636" s="7" t="inlineStr">
        <is>
          <t>Armament@AG</t>
        </is>
      </c>
      <c r="L636" s="6" t="n">
        <v>8000</v>
      </c>
      <c r="M636" s="6" t="n">
        <v>25</v>
      </c>
      <c r="N636" s="6" t="n">
        <v>4</v>
      </c>
      <c r="O636" s="6" t="n">
        <v>4</v>
      </c>
      <c r="P636" s="6" t="n">
        <v>6666</v>
      </c>
      <c r="Q636" s="6" t="n">
        <v>0.75</v>
      </c>
      <c r="R636">
        <f>M636+IF(MAX(N636-1,0)&gt;0,IF(ISBLANK(O636),5*MAX(N636-1,0),IF(ISNUMBER(O636),O636*MAX(N636-1,0),SUM(IFERROR(VALUE(TEXTSPLIT(O636,",")),0)))),0)</f>
        <v/>
      </c>
      <c r="S636">
        <f>IFERROR(L636*MAX(N636,1)/R636*IF(ISBLANK(K635),1,K635),0)</f>
        <v/>
      </c>
      <c r="AB636" s="7" t="inlineStr">
        <is>
          <t>^Warhead_MissileAP_Light</t>
        </is>
      </c>
    </row>
    <row r="637">
      <c r="B637" s="7" t="inlineStr">
        <is>
          <t xml:space="preserve">  ↳ SteelHoverMissile_elite</t>
        </is>
      </c>
      <c r="C637" s="7" t="inlineStr">
        <is>
          <t>Armament@AGELITE</t>
        </is>
      </c>
      <c r="L637" s="6" t="n">
        <v>16000</v>
      </c>
      <c r="M637" s="6" t="n">
        <v>25</v>
      </c>
      <c r="N637" s="6" t="n">
        <v>4</v>
      </c>
      <c r="O637" s="6" t="n">
        <v>4</v>
      </c>
      <c r="P637" s="6" t="n">
        <v>7000</v>
      </c>
      <c r="Q637" s="6" t="n">
        <v>0.75</v>
      </c>
      <c r="R637">
        <f>M637+IF(MAX(N637-1,0)&gt;0,IF(ISBLANK(O637),5*MAX(N637-1,0),IF(ISNUMBER(O637),O637*MAX(N637-1,0),SUM(IFERROR(VALUE(TEXTSPLIT(O637,",")),0)))),0)</f>
        <v/>
      </c>
      <c r="S637">
        <f>IFERROR(L637*MAX(N637,1)/R637*IF(ISBLANK(K635),1,K635),0)</f>
        <v/>
      </c>
      <c r="AB637" s="7" t="inlineStr">
        <is>
          <t>^Warhead_MissileAP_Light</t>
        </is>
      </c>
    </row>
    <row r="638">
      <c r="A638" t="inlineStr">
        <is>
          <t>redalert2mod</t>
        </is>
      </c>
      <c r="B638" t="inlineStr">
        <is>
          <t>steelconsortium_consortiummobileconstructionvehicle</t>
        </is>
      </c>
      <c r="C638" t="inlineStr">
        <is>
          <t>Consortium Mobile Construction Vehicle</t>
        </is>
      </c>
      <c r="D638" s="6" t="inlineStr">
        <is>
          <t>SupportVehicle</t>
        </is>
      </c>
      <c r="E638" s="6" t="n">
        <v>150000</v>
      </c>
      <c r="F638" s="6" t="n">
        <v>60</v>
      </c>
      <c r="G638" t="inlineStr">
        <is>
          <t>Light</t>
        </is>
      </c>
      <c r="H638" s="6" t="n">
        <v>0.6735</v>
      </c>
      <c r="I638" s="6" t="n">
        <v>1</v>
      </c>
      <c r="J638" s="6" t="n">
        <v>1</v>
      </c>
      <c r="X638" s="6" t="n">
        <v>5000</v>
      </c>
    </row>
    <row r="639">
      <c r="A639" t="inlineStr">
        <is>
          <t>redalert2mod</t>
        </is>
      </c>
      <c r="B639" t="inlineStr">
        <is>
          <t>steelconsortium_defenderbot</t>
        </is>
      </c>
      <c r="C639" t="inlineStr">
        <is>
          <t>Defender Bot</t>
        </is>
      </c>
      <c r="D639" s="6" t="inlineStr">
        <is>
          <t>SupportVehicle</t>
        </is>
      </c>
      <c r="E639" s="6" t="n">
        <v>210000</v>
      </c>
      <c r="F639" s="6" t="n">
        <v>70</v>
      </c>
      <c r="G639" t="inlineStr">
        <is>
          <t>Medium</t>
        </is>
      </c>
      <c r="H639" s="6" t="n">
        <v>0.75</v>
      </c>
      <c r="I639" s="6" t="n">
        <v>1</v>
      </c>
      <c r="J639" s="6" t="n">
        <v>1.25</v>
      </c>
      <c r="P639">
        <f>MAX(P640,P641,P642,P643)</f>
        <v/>
      </c>
      <c r="S639">
        <f>S640+S641+S642+S643</f>
        <v/>
      </c>
      <c r="T639">
        <f>(E639/100000+F639/100+(P639/1000)*J639/5+S639/200)*200*I639*H639</f>
        <v/>
      </c>
      <c r="U639">
        <f>((E639*F639/25000)+((P639/1000)*J639*S639/2.5))*I639*H639</f>
        <v/>
      </c>
      <c r="V639">
        <f>(E639*F639*(P639/1000)*J639*S639*I639*H639)/12500000</f>
        <v/>
      </c>
      <c r="W639">
        <f>(T639+U639+V639)/3</f>
        <v/>
      </c>
      <c r="X639" s="6" t="n">
        <v>3200</v>
      </c>
      <c r="Y639">
        <f>IFERROR(W639-X639,"")</f>
        <v/>
      </c>
      <c r="Z639">
        <f>IFERROR(ABS(Y639)/MAX(X639,1),"")</f>
        <v/>
      </c>
      <c r="AA639">
        <f>IFERROR((X639-(((E639/100000+F639/100+S639/200)*200*I639*H639)+((E639*F639/25000)*I639*H639))/3)/(((J639/5)*200*I639*H639)+((J639*S639/2.5)*I639*H639)+((E639*F639*J639*S639*I639*H639)/12500000))/3*1000,"")</f>
        <v/>
      </c>
    </row>
    <row r="640">
      <c r="B640" s="7" t="inlineStr">
        <is>
          <t xml:space="preserve">  ↳ SteelInfRailgun</t>
        </is>
      </c>
      <c r="C640" s="7" t="inlineStr">
        <is>
          <t>Armament@PRIMARY</t>
        </is>
      </c>
      <c r="L640" s="6" t="n">
        <v>16000</v>
      </c>
      <c r="M640" s="6" t="n">
        <v>48</v>
      </c>
      <c r="N640" s="6" t="n">
        <v>2</v>
      </c>
      <c r="O640" s="6" t="n">
        <v>0</v>
      </c>
      <c r="P640" s="6" t="n">
        <v>8000</v>
      </c>
      <c r="Q640" s="6" t="n">
        <v>1</v>
      </c>
      <c r="R640">
        <f>M640+IF(MAX(N640-1,0)&gt;0,IF(ISBLANK(O640),5*MAX(N640-1,0),IF(ISNUMBER(O640),O640*MAX(N640-1,0),SUM(IFERROR(VALUE(TEXTSPLIT(O640,",")),0)))),0)</f>
        <v/>
      </c>
      <c r="S640">
        <f>IFERROR(L640*MAX(N640,1)/R640*IF(ISBLANK(K639),1,K639),0)</f>
        <v/>
      </c>
      <c r="AB640" s="7" t="inlineStr">
        <is>
          <t>^Warhead_Railgun_Heavy, ^Warhead_Flak_Medium, ^Warhead_Bullet_Medium, ^Warhead_MissileAP_Light</t>
        </is>
      </c>
    </row>
    <row r="641">
      <c r="B641" s="7" t="inlineStr">
        <is>
          <t xml:space="preserve">  ↳ SteelInfRailgun_elite</t>
        </is>
      </c>
      <c r="C641" s="7" t="inlineStr">
        <is>
          <t>Armament@PRIMARYELITE</t>
        </is>
      </c>
      <c r="L641" s="6" t="n">
        <v>16000</v>
      </c>
      <c r="M641" s="6" t="n">
        <v>48</v>
      </c>
      <c r="N641" s="6" t="n">
        <v>4</v>
      </c>
      <c r="O641" s="6" t="n">
        <v>0</v>
      </c>
      <c r="P641" s="6" t="n">
        <v>9000</v>
      </c>
      <c r="Q641" s="6" t="n">
        <v>1</v>
      </c>
      <c r="R641">
        <f>M641+IF(MAX(N641-1,0)&gt;0,IF(ISBLANK(O641),5*MAX(N641-1,0),IF(ISNUMBER(O641),O641*MAX(N641-1,0),SUM(IFERROR(VALUE(TEXTSPLIT(O641,",")),0)))),0)</f>
        <v/>
      </c>
      <c r="S641">
        <f>IFERROR(L641*MAX(N641,1)/R641*IF(ISBLANK(K639),1,K639),0)</f>
        <v/>
      </c>
      <c r="AB641" s="7" t="inlineStr">
        <is>
          <t>^Warhead_Railgun_Heavy, ^Warhead_Flak_Medium, ^Warhead_Bullet_Medium, ^Warhead_MissileAP_Light</t>
        </is>
      </c>
    </row>
    <row r="642">
      <c r="B642" s="7" t="inlineStr">
        <is>
          <t xml:space="preserve">  ↳ SteelInfRailgun_EMP</t>
        </is>
      </c>
      <c r="C642" s="7" t="inlineStr">
        <is>
          <t>Armament@UpgradePRIMARY</t>
        </is>
      </c>
      <c r="L642" s="6" t="n">
        <v>20000</v>
      </c>
      <c r="M642" s="6" t="n">
        <v>50</v>
      </c>
      <c r="N642" s="6" t="n">
        <v>2</v>
      </c>
      <c r="O642" s="6" t="n">
        <v>0</v>
      </c>
      <c r="P642" s="6" t="n">
        <v>8000</v>
      </c>
      <c r="Q642" s="6" t="n">
        <v>1</v>
      </c>
      <c r="R642">
        <f>M642+IF(MAX(N642-1,0)&gt;0,IF(ISBLANK(O642),5*MAX(N642-1,0),IF(ISNUMBER(O642),O642*MAX(N642-1,0),SUM(IFERROR(VALUE(TEXTSPLIT(O642,",")),0)))),0)</f>
        <v/>
      </c>
      <c r="S642">
        <f>IFERROR(L642*MAX(N642,1)/R642*IF(ISBLANK(K639),1,K639),0)</f>
        <v/>
      </c>
      <c r="AB642" s="7" t="inlineStr">
        <is>
          <t>^Warhead_Railgun_Heavy, ^Warhead_Flak_Medium, ^Warhead_Bullet_Medium, ^Warhead_MissileAP_Light</t>
        </is>
      </c>
    </row>
    <row r="643">
      <c r="B643" s="7" t="inlineStr">
        <is>
          <t xml:space="preserve">  ↳ SteelInfRailgun_EMP_elite</t>
        </is>
      </c>
      <c r="C643" s="7" t="inlineStr">
        <is>
          <t>Armament@UpgradePRIMARYELITE</t>
        </is>
      </c>
      <c r="L643" s="6" t="n">
        <v>20000</v>
      </c>
      <c r="M643" s="6" t="n">
        <v>50</v>
      </c>
      <c r="N643" s="6" t="n">
        <v>4</v>
      </c>
      <c r="O643" s="6" t="n">
        <v>0</v>
      </c>
      <c r="P643" s="6" t="n">
        <v>9000</v>
      </c>
      <c r="Q643" s="6" t="n">
        <v>1</v>
      </c>
      <c r="R643">
        <f>M643+IF(MAX(N643-1,0)&gt;0,IF(ISBLANK(O643),5*MAX(N643-1,0),IF(ISNUMBER(O643),O643*MAX(N643-1,0),SUM(IFERROR(VALUE(TEXTSPLIT(O643,",")),0)))),0)</f>
        <v/>
      </c>
      <c r="S643">
        <f>IFERROR(L643*MAX(N643,1)/R643*IF(ISBLANK(K639),1,K639),0)</f>
        <v/>
      </c>
      <c r="AB643" s="7" t="inlineStr">
        <is>
          <t>^Warhead_Railgun_Heavy, ^Warhead_Flak_Medium, ^Warhead_Bullet_Medium, ^Warhead_MissileAP_Light</t>
        </is>
      </c>
    </row>
    <row r="644">
      <c r="A644" t="inlineStr">
        <is>
          <t>redalert2mod</t>
        </is>
      </c>
      <c r="B644" t="inlineStr">
        <is>
          <t>steelconsortium_supportshieldgenerator</t>
        </is>
      </c>
      <c r="C644" t="inlineStr">
        <is>
          <t>Support Shield Generator</t>
        </is>
      </c>
      <c r="D644" s="6" t="inlineStr">
        <is>
          <t>SupportVehicle</t>
        </is>
      </c>
      <c r="E644" s="6" t="n">
        <v>100000</v>
      </c>
      <c r="F644" s="6" t="n">
        <v>75</v>
      </c>
      <c r="G644" t="inlineStr">
        <is>
          <t>Medium</t>
        </is>
      </c>
      <c r="H644" s="6" t="n">
        <v>0.4783</v>
      </c>
      <c r="I644" s="6" t="n">
        <v>1</v>
      </c>
      <c r="J644" s="6" t="n">
        <v>1</v>
      </c>
      <c r="X644" s="6" t="n">
        <v>3000</v>
      </c>
    </row>
    <row r="645">
      <c r="B645" s="7" t="inlineStr">
        <is>
          <t xml:space="preserve">  ↳ GLStingerTargeting</t>
        </is>
      </c>
      <c r="C645" s="7" t="inlineStr">
        <is>
          <t>Armament</t>
        </is>
      </c>
      <c r="M645" s="6" t="n">
        <v>25</v>
      </c>
      <c r="N645" s="6" t="n">
        <v>1</v>
      </c>
      <c r="O645" s="6" t="n"/>
      <c r="P645" s="6" t="n">
        <v>15000</v>
      </c>
      <c r="Q645" s="6" t="n">
        <v>1</v>
      </c>
      <c r="R645">
        <f>M645+IF(MAX(N645-1,0)&gt;0,IF(ISBLANK(O645),5*MAX(N645-1,0),IF(ISNUMBER(O645),O645*MAX(N645-1,0),SUM(IFERROR(VALUE(TEXTSPLIT(O645,",")),0)))),0)</f>
        <v/>
      </c>
      <c r="S645">
        <f>IFERROR(L645*MAX(N645,1)/R645*IF(ISBLANK(K644),1,K644),0)</f>
        <v/>
      </c>
      <c r="AB645" s="7" t="inlineStr"/>
    </row>
    <row r="646">
      <c r="A646" t="inlineStr">
        <is>
          <t>redalert2mod</t>
        </is>
      </c>
      <c r="B646" t="inlineStr">
        <is>
          <t>latinsyndicate_latinapc</t>
        </is>
      </c>
      <c r="C646" t="inlineStr">
        <is>
          <t>Latin APC</t>
        </is>
      </c>
      <c r="D646" s="6" t="inlineStr">
        <is>
          <t>SupportVehicle</t>
        </is>
      </c>
      <c r="E646" s="6" t="n">
        <v>180000</v>
      </c>
      <c r="F646" s="6" t="n">
        <v>90</v>
      </c>
      <c r="G646" t="inlineStr">
        <is>
          <t>Medium</t>
        </is>
      </c>
      <c r="H646" s="6" t="n">
        <v>0.4783</v>
      </c>
      <c r="I646" s="6" t="n">
        <v>1</v>
      </c>
      <c r="J646" s="6" t="n">
        <v>1</v>
      </c>
      <c r="P646">
        <f>MAX(P647,P648,P649,P650,P651,P652,P653,P654,P655,P656,P657,P658)</f>
        <v/>
      </c>
      <c r="S646">
        <f>S647+S648+S649+S650+S651+S652+S653+S654+S655+S656+S657+S658</f>
        <v/>
      </c>
      <c r="T646">
        <f>(E646/100000+F646/100+(P646/1000)*J646/5+S646/200)*200*I646*H646</f>
        <v/>
      </c>
      <c r="U646">
        <f>((E646*F646/25000)+((P646/1000)*J646*S646/2.5))*I646*H646</f>
        <v/>
      </c>
      <c r="V646">
        <f>(E646*F646*(P646/1000)*J646*S646*I646*H646)/12500000</f>
        <v/>
      </c>
      <c r="W646">
        <f>(T646+U646+V646)/3</f>
        <v/>
      </c>
      <c r="X646" s="6" t="n">
        <v>2400</v>
      </c>
      <c r="Y646">
        <f>IFERROR(W646-X646,"")</f>
        <v/>
      </c>
      <c r="Z646">
        <f>IFERROR(ABS(Y646)/MAX(X646,1),"")</f>
        <v/>
      </c>
      <c r="AA646">
        <f>IFERROR((X646-(((E646/100000+F646/100+S646/200)*200*I646*H646)+((E646*F646/25000)*I646*H646))/3)/(((J646/5)*200*I646*H646)+((J646*S646/2.5)*I646*H646)+((E646*F646*J646*S646*I646*H646)/12500000))/3*1000,"")</f>
        <v/>
      </c>
    </row>
    <row r="647">
      <c r="B647" s="7" t="inlineStr">
        <is>
          <t xml:space="preserve">  ↳ RA2APCFlakCannon</t>
        </is>
      </c>
      <c r="C647" s="7" t="inlineStr">
        <is>
          <t>Armament@Flak</t>
        </is>
      </c>
      <c r="L647" s="6" t="n">
        <v>8000</v>
      </c>
      <c r="M647" s="6" t="n">
        <v>12</v>
      </c>
      <c r="N647" s="6" t="n">
        <v>1</v>
      </c>
      <c r="O647" s="6" t="n"/>
      <c r="P647" s="6" t="n">
        <v>5740</v>
      </c>
      <c r="Q647" s="6" t="n">
        <v>1</v>
      </c>
      <c r="R647">
        <f>M647+IF(MAX(N647-1,0)&gt;0,IF(ISBLANK(O647),5*MAX(N647-1,0),IF(ISNUMBER(O647),O647*MAX(N647-1,0),SUM(IFERROR(VALUE(TEXTSPLIT(O647,",")),0)))),0)</f>
        <v/>
      </c>
      <c r="S647">
        <f>IFERROR(L647*MAX(N647,1)/R647*IF(ISBLANK(K646),1,K646),0)</f>
        <v/>
      </c>
      <c r="AB647" s="7" t="inlineStr">
        <is>
          <t>^Warhead_Flak_Medium</t>
        </is>
      </c>
    </row>
    <row r="648">
      <c r="B648" s="7" t="inlineStr">
        <is>
          <t xml:space="preserve">  ↳ RA2APCFlakCannon_elite</t>
        </is>
      </c>
      <c r="C648" s="7" t="inlineStr">
        <is>
          <t>Armament@FlakELITE</t>
        </is>
      </c>
      <c r="L648" s="6" t="n">
        <v>8000</v>
      </c>
      <c r="M648" s="6" t="n">
        <v>12</v>
      </c>
      <c r="N648" s="6" t="n">
        <v>2</v>
      </c>
      <c r="O648" s="6" t="n">
        <v>3</v>
      </c>
      <c r="P648" s="6" t="n">
        <v>6740</v>
      </c>
      <c r="Q648" s="6" t="n">
        <v>1</v>
      </c>
      <c r="R648">
        <f>M648+IF(MAX(N648-1,0)&gt;0,IF(ISBLANK(O648),5*MAX(N648-1,0),IF(ISNUMBER(O648),O648*MAX(N648-1,0),SUM(IFERROR(VALUE(TEXTSPLIT(O648,",")),0)))),0)</f>
        <v/>
      </c>
      <c r="S648">
        <f>IFERROR(L648*MAX(N648,1)/R648*IF(ISBLANK(K646),1,K646),0)</f>
        <v/>
      </c>
      <c r="AB648" s="7" t="inlineStr">
        <is>
          <t>^Warhead_Flak_Medium</t>
        </is>
      </c>
    </row>
    <row r="649">
      <c r="B649" s="7" t="inlineStr">
        <is>
          <t xml:space="preserve">  ↳ RA2APCFlakCannonAA</t>
        </is>
      </c>
      <c r="C649" s="7" t="inlineStr">
        <is>
          <t>Armament@FlakAA</t>
        </is>
      </c>
      <c r="L649" s="6" t="n">
        <v>8000</v>
      </c>
      <c r="M649" s="6" t="n">
        <v>12</v>
      </c>
      <c r="N649" s="6" t="n">
        <v>1</v>
      </c>
      <c r="O649" s="6" t="n"/>
      <c r="P649" s="6" t="n">
        <v>8610</v>
      </c>
      <c r="Q649" s="6" t="n">
        <v>1</v>
      </c>
      <c r="R649">
        <f>M649+IF(MAX(N649-1,0)&gt;0,IF(ISBLANK(O649),5*MAX(N649-1,0),IF(ISNUMBER(O649),O649*MAX(N649-1,0),SUM(IFERROR(VALUE(TEXTSPLIT(O649,",")),0)))),0)</f>
        <v/>
      </c>
      <c r="S649">
        <f>IFERROR(L649*MAX(N649,1)/R649*IF(ISBLANK(K646),1,K646),0)</f>
        <v/>
      </c>
      <c r="AB649" s="7" t="inlineStr">
        <is>
          <t>^Warhead_Flak_Medium</t>
        </is>
      </c>
    </row>
    <row r="650">
      <c r="B650" s="7" t="inlineStr">
        <is>
          <t xml:space="preserve">  ↳ RA2APCFlakCannonAA_elite</t>
        </is>
      </c>
      <c r="C650" s="7" t="inlineStr">
        <is>
          <t>Armament@FlakAAELITE</t>
        </is>
      </c>
      <c r="L650" s="6" t="n">
        <v>8000</v>
      </c>
      <c r="M650" s="6" t="n">
        <v>12</v>
      </c>
      <c r="N650" s="6" t="n">
        <v>2</v>
      </c>
      <c r="O650" s="6" t="n">
        <v>3</v>
      </c>
      <c r="P650" s="6" t="n">
        <v>9610</v>
      </c>
      <c r="Q650" s="6" t="n">
        <v>1</v>
      </c>
      <c r="R650">
        <f>M650+IF(MAX(N650-1,0)&gt;0,IF(ISBLANK(O650),5*MAX(N650-1,0),IF(ISNUMBER(O650),O650*MAX(N650-1,0),SUM(IFERROR(VALUE(TEXTSPLIT(O650,",")),0)))),0)</f>
        <v/>
      </c>
      <c r="S650">
        <f>IFERROR(L650*MAX(N650,1)/R650*IF(ISBLANK(K646),1,K646),0)</f>
        <v/>
      </c>
      <c r="AB650" s="7" t="inlineStr">
        <is>
          <t>^Warhead_Flak_Medium</t>
        </is>
      </c>
    </row>
    <row r="651">
      <c r="B651" s="7" t="inlineStr">
        <is>
          <t xml:space="preserve">  ↳ RA2APCMachineGun</t>
        </is>
      </c>
      <c r="C651" s="7" t="inlineStr">
        <is>
          <t>Armament@Machinegun</t>
        </is>
      </c>
      <c r="L651" s="6" t="n">
        <v>4000</v>
      </c>
      <c r="M651" s="6" t="n">
        <v>12</v>
      </c>
      <c r="N651" s="6" t="n">
        <v>4</v>
      </c>
      <c r="O651" s="6" t="n">
        <v>4</v>
      </c>
      <c r="P651" s="6" t="n">
        <v>5740</v>
      </c>
      <c r="Q651" s="6" t="n">
        <v>0.875</v>
      </c>
      <c r="R651">
        <f>M651+IF(MAX(N651-1,0)&gt;0,IF(ISBLANK(O651),5*MAX(N651-1,0),IF(ISNUMBER(O651),O651*MAX(N651-1,0),SUM(IFERROR(VALUE(TEXTSPLIT(O651,",")),0)))),0)</f>
        <v/>
      </c>
      <c r="S651">
        <f>IFERROR(L651*MAX(N651,1)/R651*IF(ISBLANK(K646),1,K646),0)</f>
        <v/>
      </c>
      <c r="AB651" s="7" t="inlineStr">
        <is>
          <t>^Warhead_Bullet_Light, ^Warhead_Bullet_Medium</t>
        </is>
      </c>
    </row>
    <row r="652">
      <c r="B652" s="7" t="inlineStr">
        <is>
          <t xml:space="preserve">  ↳ RA2APCMachineGun_elite</t>
        </is>
      </c>
      <c r="C652" s="7" t="inlineStr">
        <is>
          <t>Armament@MachinegunELITE</t>
        </is>
      </c>
      <c r="L652" s="6" t="n">
        <v>4000</v>
      </c>
      <c r="M652" s="6" t="n">
        <v>12</v>
      </c>
      <c r="N652" s="6" t="n">
        <v>8</v>
      </c>
      <c r="O652" s="6" t="n">
        <v>2</v>
      </c>
      <c r="P652" s="6" t="n">
        <v>6740</v>
      </c>
      <c r="Q652" s="6" t="n">
        <v>0.875</v>
      </c>
      <c r="R652">
        <f>M652+IF(MAX(N652-1,0)&gt;0,IF(ISBLANK(O652),5*MAX(N652-1,0),IF(ISNUMBER(O652),O652*MAX(N652-1,0),SUM(IFERROR(VALUE(TEXTSPLIT(O652,",")),0)))),0)</f>
        <v/>
      </c>
      <c r="S652">
        <f>IFERROR(L652*MAX(N652,1)/R652*IF(ISBLANK(K646),1,K646),0)</f>
        <v/>
      </c>
      <c r="AB652" s="7" t="inlineStr">
        <is>
          <t>^Warhead_Bullet_Light, ^Warhead_Bullet_Medium</t>
        </is>
      </c>
    </row>
    <row r="653">
      <c r="B653" s="7" t="inlineStr">
        <is>
          <t xml:space="preserve">  ↳ RA2APCMachineGun_AA</t>
        </is>
      </c>
      <c r="C653" s="7" t="inlineStr">
        <is>
          <t>Armament@MachinegunAA</t>
        </is>
      </c>
      <c r="L653" s="6" t="n">
        <v>4000</v>
      </c>
      <c r="M653" s="6" t="n">
        <v>12</v>
      </c>
      <c r="N653" s="6" t="n">
        <v>4</v>
      </c>
      <c r="O653" s="6" t="n">
        <v>4</v>
      </c>
      <c r="P653" s="6" t="n">
        <v>8610</v>
      </c>
      <c r="Q653" s="6" t="n">
        <v>0.875</v>
      </c>
      <c r="R653">
        <f>M653+IF(MAX(N653-1,0)&gt;0,IF(ISBLANK(O653),5*MAX(N653-1,0),IF(ISNUMBER(O653),O653*MAX(N653-1,0),SUM(IFERROR(VALUE(TEXTSPLIT(O653,",")),0)))),0)</f>
        <v/>
      </c>
      <c r="S653">
        <f>IFERROR(L653*MAX(N653,1)/R653*IF(ISBLANK(K646),1,K646),0)</f>
        <v/>
      </c>
      <c r="AB653" s="7" t="inlineStr">
        <is>
          <t>^Warhead_Bullet_Light, ^Warhead_Bullet_Medium</t>
        </is>
      </c>
    </row>
    <row r="654">
      <c r="B654" s="7" t="inlineStr">
        <is>
          <t xml:space="preserve">  ↳ RA2APCMachineGun_AA_elite</t>
        </is>
      </c>
      <c r="C654" s="7" t="inlineStr">
        <is>
          <t>Armament@MachinegunAAELITE</t>
        </is>
      </c>
      <c r="L654" s="6" t="n">
        <v>4000</v>
      </c>
      <c r="M654" s="6" t="n">
        <v>12</v>
      </c>
      <c r="N654" s="6" t="n">
        <v>8</v>
      </c>
      <c r="O654" s="6" t="n">
        <v>2</v>
      </c>
      <c r="P654" s="6" t="n">
        <v>9610</v>
      </c>
      <c r="Q654" s="6" t="n">
        <v>0.875</v>
      </c>
      <c r="R654">
        <f>M654+IF(MAX(N654-1,0)&gt;0,IF(ISBLANK(O654),5*MAX(N654-1,0),IF(ISNUMBER(O654),O654*MAX(N654-1,0),SUM(IFERROR(VALUE(TEXTSPLIT(O654,",")),0)))),0)</f>
        <v/>
      </c>
      <c r="S654">
        <f>IFERROR(L654*MAX(N654,1)/R654*IF(ISBLANK(K646),1,K646),0)</f>
        <v/>
      </c>
      <c r="AB654" s="7" t="inlineStr">
        <is>
          <t>^Warhead_Bullet_Light, ^Warhead_Bullet_Medium</t>
        </is>
      </c>
    </row>
    <row r="655">
      <c r="B655" s="7" t="inlineStr">
        <is>
          <t xml:space="preserve">  ↳ RA2APCRocket</t>
        </is>
      </c>
      <c r="C655" s="7" t="inlineStr">
        <is>
          <t>Armament@Rockets</t>
        </is>
      </c>
      <c r="L655" s="6" t="n">
        <v>8000</v>
      </c>
      <c r="M655" s="6" t="n">
        <v>53</v>
      </c>
      <c r="N655" s="6" t="n">
        <v>4</v>
      </c>
      <c r="O655" s="6" t="n">
        <v>3</v>
      </c>
      <c r="P655" s="6" t="n">
        <v>5740</v>
      </c>
      <c r="Q655" s="6" t="n">
        <v>1</v>
      </c>
      <c r="R655">
        <f>M655+IF(MAX(N655-1,0)&gt;0,IF(ISBLANK(O655),5*MAX(N655-1,0),IF(ISNUMBER(O655),O655*MAX(N655-1,0),SUM(IFERROR(VALUE(TEXTSPLIT(O655,",")),0)))),0)</f>
        <v/>
      </c>
      <c r="S655">
        <f>IFERROR(L655*MAX(N655,1)/R655*IF(ISBLANK(K646),1,K646),0)</f>
        <v/>
      </c>
      <c r="AB655" s="7" t="inlineStr">
        <is>
          <t>^Warhead_MissileAP_Medium</t>
        </is>
      </c>
    </row>
    <row r="656">
      <c r="B656" s="7" t="inlineStr">
        <is>
          <t xml:space="preserve">  ↳ RA2APCRocket_elite</t>
        </is>
      </c>
      <c r="C656" s="7" t="inlineStr">
        <is>
          <t>Armament@RocketsELITE</t>
        </is>
      </c>
      <c r="L656" s="6" t="n">
        <v>8000</v>
      </c>
      <c r="M656" s="6" t="n">
        <v>53</v>
      </c>
      <c r="N656" s="6" t="n">
        <v>8</v>
      </c>
      <c r="O656" s="6" t="n">
        <v>3</v>
      </c>
      <c r="P656" s="6" t="n">
        <v>6740</v>
      </c>
      <c r="Q656" s="6" t="n">
        <v>1</v>
      </c>
      <c r="R656">
        <f>M656+IF(MAX(N656-1,0)&gt;0,IF(ISBLANK(O656),5*MAX(N656-1,0),IF(ISNUMBER(O656),O656*MAX(N656-1,0),SUM(IFERROR(VALUE(TEXTSPLIT(O656,",")),0)))),0)</f>
        <v/>
      </c>
      <c r="S656">
        <f>IFERROR(L656*MAX(N656,1)/R656*IF(ISBLANK(K646),1,K646),0)</f>
        <v/>
      </c>
      <c r="AB656" s="7" t="inlineStr">
        <is>
          <t>^Warhead_MissileAP_Medium</t>
        </is>
      </c>
    </row>
    <row r="657">
      <c r="B657" s="7" t="inlineStr">
        <is>
          <t xml:space="preserve">  ↳ RA2APCRocket_AA</t>
        </is>
      </c>
      <c r="C657" s="7" t="inlineStr">
        <is>
          <t>Armament@RocketsAA</t>
        </is>
      </c>
      <c r="L657" s="6" t="n">
        <v>8000</v>
      </c>
      <c r="M657" s="6" t="n">
        <v>53</v>
      </c>
      <c r="N657" s="6" t="n">
        <v>4</v>
      </c>
      <c r="O657" s="6" t="n">
        <v>3</v>
      </c>
      <c r="P657" s="6" t="n">
        <v>8610</v>
      </c>
      <c r="Q657" s="6" t="n">
        <v>1</v>
      </c>
      <c r="R657">
        <f>M657+IF(MAX(N657-1,0)&gt;0,IF(ISBLANK(O657),5*MAX(N657-1,0),IF(ISNUMBER(O657),O657*MAX(N657-1,0),SUM(IFERROR(VALUE(TEXTSPLIT(O657,",")),0)))),0)</f>
        <v/>
      </c>
      <c r="S657">
        <f>IFERROR(L657*MAX(N657,1)/R657*IF(ISBLANK(K646),1,K646),0)</f>
        <v/>
      </c>
      <c r="AB657" s="7" t="inlineStr">
        <is>
          <t>^Warhead_MissileAP_Medium</t>
        </is>
      </c>
    </row>
    <row r="658">
      <c r="B658" s="7" t="inlineStr">
        <is>
          <t xml:space="preserve">  ↳ RA2APCRocket_AA_elite</t>
        </is>
      </c>
      <c r="C658" s="7" t="inlineStr">
        <is>
          <t>Armament@RocketsAAELITE</t>
        </is>
      </c>
      <c r="L658" s="6" t="n">
        <v>8000</v>
      </c>
      <c r="M658" s="6" t="n">
        <v>53</v>
      </c>
      <c r="N658" s="6" t="n">
        <v>8</v>
      </c>
      <c r="O658" s="6" t="n">
        <v>3</v>
      </c>
      <c r="P658" s="6" t="n">
        <v>9610</v>
      </c>
      <c r="Q658" s="6" t="n">
        <v>1</v>
      </c>
      <c r="R658">
        <f>M658+IF(MAX(N658-1,0)&gt;0,IF(ISBLANK(O658),5*MAX(N658-1,0),IF(ISNUMBER(O658),O658*MAX(N658-1,0),SUM(IFERROR(VALUE(TEXTSPLIT(O658,",")),0)))),0)</f>
        <v/>
      </c>
      <c r="S658">
        <f>IFERROR(L658*MAX(N658,1)/R658*IF(ISBLANK(K646),1,K646),0)</f>
        <v/>
      </c>
      <c r="AB658" s="7" t="inlineStr">
        <is>
          <t>^Warhead_MissileAP_Medium</t>
        </is>
      </c>
    </row>
    <row r="659">
      <c r="A659" t="inlineStr">
        <is>
          <t>redalert2mod</t>
        </is>
      </c>
      <c r="B659" t="inlineStr">
        <is>
          <t>latinsyndicate_narcohummer</t>
        </is>
      </c>
      <c r="C659" t="inlineStr">
        <is>
          <t>Narco Hummer</t>
        </is>
      </c>
      <c r="D659" s="6" t="inlineStr">
        <is>
          <t>SupportVehicle</t>
        </is>
      </c>
      <c r="E659" s="6" t="n">
        <v>97500</v>
      </c>
      <c r="F659" s="6" t="n">
        <v>110</v>
      </c>
      <c r="G659" t="inlineStr">
        <is>
          <t>Medium</t>
        </is>
      </c>
      <c r="H659" s="6" t="n">
        <v>0.75</v>
      </c>
      <c r="I659" s="6" t="n">
        <v>1.25</v>
      </c>
      <c r="J659" s="6" t="n">
        <v>1</v>
      </c>
      <c r="P659">
        <f>MAX(P660,P661)</f>
        <v/>
      </c>
      <c r="S659">
        <f>S660+S661</f>
        <v/>
      </c>
      <c r="T659">
        <f>(E659/100000+F659/100+(P659/1000)*J659/5+S659/200)*200*I659*H659</f>
        <v/>
      </c>
      <c r="U659">
        <f>((E659*F659/25000)+((P659/1000)*J659*S659/2.5))*I659*H659</f>
        <v/>
      </c>
      <c r="V659">
        <f>(E659*F659*(P659/1000)*J659*S659*I659*H659)/12500000</f>
        <v/>
      </c>
      <c r="W659">
        <f>(T659+U659+V659)/3</f>
        <v/>
      </c>
      <c r="X659" s="6" t="n">
        <v>3000</v>
      </c>
      <c r="Y659">
        <f>IFERROR(W659-X659,"")</f>
        <v/>
      </c>
      <c r="Z659">
        <f>IFERROR(ABS(Y659)/MAX(X659,1),"")</f>
        <v/>
      </c>
      <c r="AA659">
        <f>IFERROR((X659-(((E659/100000+F659/100+S659/200)*200*I659*H659)+((E659*F659/25000)*I659*H659))/3)/(((J659/5)*200*I659*H659)+((J659*S659/2.5)*I659*H659)+((E659*F659*J659*S659*I659*H659)/12500000))/3*1000,"")</f>
        <v/>
      </c>
    </row>
    <row r="660">
      <c r="B660" s="7" t="inlineStr">
        <is>
          <t xml:space="preserve">  ↳ RA2NarcoAKM</t>
        </is>
      </c>
      <c r="C660" s="7" t="inlineStr">
        <is>
          <t>Armament@AG</t>
        </is>
      </c>
      <c r="L660" s="6" t="n">
        <v>4000</v>
      </c>
      <c r="M660" s="6" t="n">
        <v>10</v>
      </c>
      <c r="N660" s="6" t="n">
        <v>1</v>
      </c>
      <c r="O660" s="6" t="n"/>
      <c r="P660" s="6" t="n">
        <v>5800</v>
      </c>
      <c r="Q660" s="6" t="n">
        <v>0.875</v>
      </c>
      <c r="R660">
        <f>M660+IF(MAX(N660-1,0)&gt;0,IF(ISBLANK(O660),5*MAX(N660-1,0),IF(ISNUMBER(O660),O660*MAX(N660-1,0),SUM(IFERROR(VALUE(TEXTSPLIT(O660,",")),0)))),0)</f>
        <v/>
      </c>
      <c r="S660">
        <f>IFERROR(L660*MAX(N660,1)/R660*IF(ISBLANK(K659),1,K659),0)</f>
        <v/>
      </c>
      <c r="AB660" s="7" t="inlineStr">
        <is>
          <t>^Warhead_Bullet_Light, ^Warhead_Bullet_Medium</t>
        </is>
      </c>
    </row>
    <row r="661">
      <c r="B661" s="7" t="inlineStr">
        <is>
          <t xml:space="preserve">  ↳ RA2NarcoAKM_elite</t>
        </is>
      </c>
      <c r="C661" s="7" t="inlineStr">
        <is>
          <t>Armament@AGE</t>
        </is>
      </c>
      <c r="L661" s="6" t="n">
        <v>4000</v>
      </c>
      <c r="M661" s="6" t="n">
        <v>10</v>
      </c>
      <c r="N661" s="6" t="n">
        <v>2</v>
      </c>
      <c r="O661" s="6" t="n">
        <v>3</v>
      </c>
      <c r="P661" s="6" t="n">
        <v>6800</v>
      </c>
      <c r="Q661" s="6" t="n">
        <v>0.875</v>
      </c>
      <c r="R661">
        <f>M661+IF(MAX(N661-1,0)&gt;0,IF(ISBLANK(O661),5*MAX(N661-1,0),IF(ISNUMBER(O661),O661*MAX(N661-1,0),SUM(IFERROR(VALUE(TEXTSPLIT(O661,",")),0)))),0)</f>
        <v/>
      </c>
      <c r="S661">
        <f>IFERROR(L661*MAX(N661,1)/R661*IF(ISBLANK(K659),1,K659),0)</f>
        <v/>
      </c>
      <c r="AB661" s="7" t="inlineStr">
        <is>
          <t>^Warhead_Bullet_Light, ^Warhead_Bullet_Medium</t>
        </is>
      </c>
    </row>
    <row r="662">
      <c r="A662" t="inlineStr">
        <is>
          <t>redalert2mod</t>
        </is>
      </c>
      <c r="B662" t="inlineStr">
        <is>
          <t>latinsyndicate_raiderbuggy</t>
        </is>
      </c>
      <c r="C662" t="inlineStr">
        <is>
          <t>Raider Buggy</t>
        </is>
      </c>
      <c r="D662" s="6" t="inlineStr">
        <is>
          <t>SupportVehicle</t>
        </is>
      </c>
      <c r="E662" s="6" t="n">
        <v>37500</v>
      </c>
      <c r="F662" s="6" t="n">
        <v>115</v>
      </c>
      <c r="G662" t="inlineStr">
        <is>
          <t>Light</t>
        </is>
      </c>
      <c r="H662" s="6" t="n">
        <v>0.8462</v>
      </c>
      <c r="I662" s="6" t="n">
        <v>1</v>
      </c>
      <c r="J662" s="6" t="n">
        <v>1</v>
      </c>
      <c r="K662" t="n">
        <v>0.005</v>
      </c>
      <c r="P662">
        <f>MAX(P663,P664,P665,P666,P667,P668)</f>
        <v/>
      </c>
      <c r="S662">
        <f>S663+S664+S665+S666+S667+S668</f>
        <v/>
      </c>
      <c r="T662">
        <f>(E662/100000+F662/100+(P662/1000)*J662/5+S662/200)*200*I662*H662</f>
        <v/>
      </c>
      <c r="U662">
        <f>((E662*F662/25000)+((P662/1000)*J662*S662/2.5))*I662*H662</f>
        <v/>
      </c>
      <c r="V662">
        <f>(E662*F662*(P662/1000)*J662*S662*I662*H662)/12500000</f>
        <v/>
      </c>
      <c r="W662">
        <f>(T662+U662+V662)/3</f>
        <v/>
      </c>
      <c r="X662" s="6" t="n">
        <v>700</v>
      </c>
      <c r="Y662">
        <f>IFERROR(W662-X662,"")</f>
        <v/>
      </c>
      <c r="Z662">
        <f>IFERROR(ABS(Y662)/MAX(X662,1),"")</f>
        <v/>
      </c>
      <c r="AA662">
        <f>IFERROR((X662-(((E662/100000+F662/100+S662/200)*200*I662*H662)+((E662*F662/25000)*I662*H662))/3)/(((J662/5)*200*I662*H662)+((J662*S662/2.5)*I662*H662)+((E662*F662*J662*S662*I662*H662)/12500000))/3*1000,"")</f>
        <v/>
      </c>
    </row>
    <row r="663">
      <c r="B663" s="7" t="inlineStr">
        <is>
          <t xml:space="preserve">  ↳ LatinBuggyMG</t>
        </is>
      </c>
      <c r="C663" s="7" t="inlineStr">
        <is>
          <t>Armament</t>
        </is>
      </c>
      <c r="L663" s="6" t="n">
        <v>8000</v>
      </c>
      <c r="M663" s="6" t="n">
        <v>35</v>
      </c>
      <c r="N663" s="6" t="n">
        <v>5</v>
      </c>
      <c r="O663" s="6" t="n">
        <v>5</v>
      </c>
      <c r="P663" s="6" t="n">
        <v>6000</v>
      </c>
      <c r="Q663" s="6" t="n">
        <v>0.875</v>
      </c>
      <c r="R663">
        <f>M663+IF(MAX(N663-1,0)&gt;0,IF(ISBLANK(O663),5*MAX(N663-1,0),IF(ISNUMBER(O663),O663*MAX(N663-1,0),SUM(IFERROR(VALUE(TEXTSPLIT(O663,",")),0)))),0)</f>
        <v/>
      </c>
      <c r="S663">
        <f>IFERROR(L663*MAX(N663,1)/R663*IF(ISBLANK(K662),1,K662),0)</f>
        <v/>
      </c>
      <c r="AB663" s="7" t="inlineStr">
        <is>
          <t>^Warhead_Bullet_Light, ^Warhead_Bullet_Medium</t>
        </is>
      </c>
    </row>
    <row r="664">
      <c r="B664" s="7" t="inlineStr">
        <is>
          <t xml:space="preserve">  ↳ LatinBuggyMG_elite</t>
        </is>
      </c>
      <c r="C664" s="7" t="inlineStr">
        <is>
          <t>Armament@Elite</t>
        </is>
      </c>
      <c r="L664" s="6" t="n">
        <v>8000</v>
      </c>
      <c r="M664" s="6" t="n">
        <v>35</v>
      </c>
      <c r="N664" s="6" t="n">
        <v>10</v>
      </c>
      <c r="O664" s="6" t="n">
        <v>3</v>
      </c>
      <c r="P664" s="6" t="n">
        <v>7000</v>
      </c>
      <c r="Q664" s="6" t="n">
        <v>0.875</v>
      </c>
      <c r="R664">
        <f>M664+IF(MAX(N664-1,0)&gt;0,IF(ISBLANK(O664),5*MAX(N664-1,0),IF(ISNUMBER(O664),O664*MAX(N664-1,0),SUM(IFERROR(VALUE(TEXTSPLIT(O664,",")),0)))),0)</f>
        <v/>
      </c>
      <c r="S664">
        <f>IFERROR(L664*MAX(N664,1)/R664*IF(ISBLANK(K662),1,K662),0)</f>
        <v/>
      </c>
      <c r="AB664" s="7" t="inlineStr">
        <is>
          <t>^Warhead_Bullet_Light, ^Warhead_Bullet_Medium</t>
        </is>
      </c>
    </row>
    <row r="665">
      <c r="B665" s="7" t="inlineStr">
        <is>
          <t xml:space="preserve">  ↳ LatinBuggyChaingun</t>
        </is>
      </c>
      <c r="C665" s="7" t="inlineStr">
        <is>
          <t>Armament@Gatling</t>
        </is>
      </c>
      <c r="L665" s="6" t="n">
        <v>8000</v>
      </c>
      <c r="M665" s="6" t="n">
        <v>11</v>
      </c>
      <c r="N665" s="6" t="n">
        <v>1</v>
      </c>
      <c r="O665" s="6" t="n"/>
      <c r="P665" s="6" t="n">
        <v>6000</v>
      </c>
      <c r="Q665" s="6" t="n">
        <v>1</v>
      </c>
      <c r="R665">
        <f>M665+IF(MAX(N665-1,0)&gt;0,IF(ISBLANK(O665),5*MAX(N665-1,0),IF(ISNUMBER(O665),O665*MAX(N665-1,0),SUM(IFERROR(VALUE(TEXTSPLIT(O665,",")),0)))),0)</f>
        <v/>
      </c>
      <c r="S665">
        <f>IFERROR(L665*MAX(N665,1)/R665*IF(ISBLANK(K662),1,K662),0)</f>
        <v/>
      </c>
      <c r="AB665" s="7" t="inlineStr">
        <is>
          <t>^Warhead_CannonAP_Light, ^Warhead_Flak_Medium, ^Warhead_Bullet_Light, ^Warhead_Bullet_Medium</t>
        </is>
      </c>
    </row>
    <row r="666">
      <c r="B666" s="7" t="inlineStr">
        <is>
          <t xml:space="preserve">  ↳ LatinBuggyChaingun_elite</t>
        </is>
      </c>
      <c r="C666" s="7" t="inlineStr">
        <is>
          <t>Armament@GatlingElite</t>
        </is>
      </c>
      <c r="L666" s="6" t="n">
        <v>8000</v>
      </c>
      <c r="M666" s="6" t="n">
        <v>11</v>
      </c>
      <c r="N666" s="6" t="n">
        <v>1</v>
      </c>
      <c r="O666" s="6" t="n"/>
      <c r="P666" s="6" t="n">
        <v>7000</v>
      </c>
      <c r="Q666" s="6" t="n">
        <v>1</v>
      </c>
      <c r="R666">
        <f>M666+IF(MAX(N666-1,0)&gt;0,IF(ISBLANK(O666),5*MAX(N666-1,0),IF(ISNUMBER(O666),O666*MAX(N666-1,0),SUM(IFERROR(VALUE(TEXTSPLIT(O666,",")),0)))),0)</f>
        <v/>
      </c>
      <c r="S666">
        <f>IFERROR(L666*MAX(N666,1)/R666*IF(ISBLANK(K662),1,K662),0)</f>
        <v/>
      </c>
      <c r="AB666" s="7" t="inlineStr">
        <is>
          <t>^Warhead_CannonAP_Light, ^Warhead_Flak_Medium, ^Warhead_Bullet_Light, ^Warhead_Bullet_Medium</t>
        </is>
      </c>
    </row>
    <row r="667">
      <c r="B667" s="7" t="inlineStr">
        <is>
          <t xml:space="preserve">  ↳ LatinBuggyRocket</t>
        </is>
      </c>
      <c r="C667" s="7" t="inlineStr">
        <is>
          <t>Armament@Rocket</t>
        </is>
      </c>
      <c r="L667" s="6" t="n">
        <v>40000</v>
      </c>
      <c r="M667" s="6" t="n">
        <v>55</v>
      </c>
      <c r="N667" s="6" t="n">
        <v>1</v>
      </c>
      <c r="O667" s="6" t="n"/>
      <c r="P667" s="6" t="n">
        <v>6000</v>
      </c>
      <c r="Q667" s="6" t="n">
        <v>1</v>
      </c>
      <c r="R667">
        <f>M667+IF(MAX(N667-1,0)&gt;0,IF(ISBLANK(O667),5*MAX(N667-1,0),IF(ISNUMBER(O667),O667*MAX(N667-1,0),SUM(IFERROR(VALUE(TEXTSPLIT(O667,",")),0)))),0)</f>
        <v/>
      </c>
      <c r="S667">
        <f>IFERROR(L667*MAX(N667,1)/R667*IF(ISBLANK(K662),1,K662),0)</f>
        <v/>
      </c>
      <c r="AB667" s="7" t="inlineStr">
        <is>
          <t>^Warhead_Demolition_Light, ^Warhead_Concussion_Medium, ^Warhead_MissileAP_Light, ^Warhead_MissileAP_Medium</t>
        </is>
      </c>
    </row>
    <row r="668">
      <c r="B668" s="7" t="inlineStr">
        <is>
          <t xml:space="preserve">  ↳ LatinBuggyRocket_elite</t>
        </is>
      </c>
      <c r="C668" s="7" t="inlineStr">
        <is>
          <t>Armament@RocketElite</t>
        </is>
      </c>
      <c r="L668" s="6" t="n">
        <v>40000</v>
      </c>
      <c r="M668" s="6" t="n">
        <v>55</v>
      </c>
      <c r="N668" s="6" t="n">
        <v>2</v>
      </c>
      <c r="O668" s="6" t="n">
        <v>3</v>
      </c>
      <c r="P668" s="6" t="n">
        <v>7000</v>
      </c>
      <c r="Q668" s="6" t="n">
        <v>1</v>
      </c>
      <c r="R668">
        <f>M668+IF(MAX(N668-1,0)&gt;0,IF(ISBLANK(O668),5*MAX(N668-1,0),IF(ISNUMBER(O668),O668*MAX(N668-1,0),SUM(IFERROR(VALUE(TEXTSPLIT(O668,",")),0)))),0)</f>
        <v/>
      </c>
      <c r="S668">
        <f>IFERROR(L668*MAX(N668,1)/R668*IF(ISBLANK(K662),1,K662),0)</f>
        <v/>
      </c>
      <c r="AB668" s="7" t="inlineStr">
        <is>
          <t>^Warhead_Demolition_Light, ^Warhead_Concussion_Medium, ^Warhead_MissileAP_Light, ^Warhead_MissileAP_Medium</t>
        </is>
      </c>
    </row>
    <row r="669">
      <c r="A669" t="inlineStr">
        <is>
          <t>redalert2mod</t>
        </is>
      </c>
      <c r="B669" t="inlineStr">
        <is>
          <t>latinsyndicate_syndicatemobileconstructionvehicle</t>
        </is>
      </c>
      <c r="C669" t="inlineStr">
        <is>
          <t>Syndicate Mobile Construction Vehicle</t>
        </is>
      </c>
      <c r="D669" s="6" t="inlineStr">
        <is>
          <t>SupportVehicle</t>
        </is>
      </c>
      <c r="E669" s="6" t="n">
        <v>300000</v>
      </c>
      <c r="F669" s="6" t="n">
        <v>75</v>
      </c>
      <c r="G669" t="inlineStr">
        <is>
          <t>Medium</t>
        </is>
      </c>
      <c r="H669" s="6" t="n">
        <v>0.7674</v>
      </c>
      <c r="I669" s="6" t="n">
        <v>1</v>
      </c>
      <c r="J669" s="6" t="n">
        <v>1</v>
      </c>
      <c r="X669" s="6" t="n">
        <v>5000</v>
      </c>
    </row>
    <row r="670">
      <c r="A670" t="inlineStr">
        <is>
          <t>redalert2mod</t>
        </is>
      </c>
      <c r="B670" t="inlineStr">
        <is>
          <t>car.nax</t>
        </is>
      </c>
      <c r="C670" t="inlineStr">
        <is>
          <t>Combat Car</t>
        </is>
      </c>
      <c r="D670" s="6" t="inlineStr">
        <is>
          <t>SupportVehicle</t>
        </is>
      </c>
      <c r="E670" s="6" t="n">
        <v>47500</v>
      </c>
      <c r="F670" s="6" t="n">
        <v>85</v>
      </c>
      <c r="G670" t="inlineStr">
        <is>
          <t>Medium</t>
        </is>
      </c>
      <c r="H670" s="6" t="n">
        <v>1</v>
      </c>
      <c r="I670" s="6" t="n">
        <v>1</v>
      </c>
      <c r="J670" s="6" t="n">
        <v>1</v>
      </c>
      <c r="P670">
        <f>MAX(P671,P672)</f>
        <v/>
      </c>
      <c r="S670">
        <f>S671+S672</f>
        <v/>
      </c>
      <c r="T670">
        <f>(E670/100000+F670/100+(P670/1000)*J670/5+S670/200)*200*I670*H670</f>
        <v/>
      </c>
      <c r="U670">
        <f>((E670*F670/25000)+((P670/1000)*J670*S670/2.5))*I670*H670</f>
        <v/>
      </c>
      <c r="V670">
        <f>(E670*F670*(P670/1000)*J670*S670*I670*H670)/12500000</f>
        <v/>
      </c>
      <c r="W670">
        <f>(T670+U670+V670)/3</f>
        <v/>
      </c>
      <c r="X670" s="6" t="n">
        <v>800</v>
      </c>
      <c r="Y670">
        <f>IFERROR(W670-X670,"")</f>
        <v/>
      </c>
      <c r="Z670">
        <f>IFERROR(ABS(Y670)/MAX(X670,1),"")</f>
        <v/>
      </c>
      <c r="AA670">
        <f>IFERROR((X670-(((E670/100000+F670/100+S670/200)*200*I670*H670)+((E670*F670/25000)*I670*H670))/3)/(((J670/5)*200*I670*H670)+((J670*S670/2.5)*I670*H670)+((E670*F670*J670*S670*I670*H670)/12500000))/3*1000,"")</f>
        <v/>
      </c>
    </row>
    <row r="671">
      <c r="B671" s="7" t="inlineStr">
        <is>
          <t xml:space="preserve">  ↳ NaxiWW2MachinegunTop</t>
        </is>
      </c>
      <c r="C671" s="7" t="inlineStr">
        <is>
          <t>Armament</t>
        </is>
      </c>
      <c r="L671" s="6" t="n">
        <v>8000</v>
      </c>
      <c r="M671" s="6" t="n">
        <v>60</v>
      </c>
      <c r="N671" s="6" t="n">
        <v>6</v>
      </c>
      <c r="O671" s="6" t="n">
        <v>4</v>
      </c>
      <c r="P671" s="6" t="n">
        <v>7555</v>
      </c>
      <c r="Q671" s="6" t="n">
        <v>0.875</v>
      </c>
      <c r="R671">
        <f>M671+IF(MAX(N671-1,0)&gt;0,IF(ISBLANK(O671),5*MAX(N671-1,0),IF(ISNUMBER(O671),O671*MAX(N671-1,0),SUM(IFERROR(VALUE(TEXTSPLIT(O671,",")),0)))),0)</f>
        <v/>
      </c>
      <c r="S671">
        <f>IFERROR(L671*MAX(N671,1)/R671*IF(ISBLANK(K670),1,K670),0)</f>
        <v/>
      </c>
      <c r="AB671" s="7" t="inlineStr">
        <is>
          <t>^Warhead_Bullet_Light, ^Warhead_Bullet_Medium</t>
        </is>
      </c>
    </row>
    <row r="672">
      <c r="B672" s="7" t="inlineStr">
        <is>
          <t xml:space="preserve">  ↳ NaxiWW2MachinegunTop_AA</t>
        </is>
      </c>
      <c r="C672" s="7" t="inlineStr">
        <is>
          <t>Armament@AA</t>
        </is>
      </c>
      <c r="L672" s="6" t="n">
        <v>8000</v>
      </c>
      <c r="M672" s="6" t="n">
        <v>60</v>
      </c>
      <c r="N672" s="6" t="n">
        <v>6</v>
      </c>
      <c r="O672" s="6" t="n">
        <v>4</v>
      </c>
      <c r="P672" s="6" t="n">
        <v>7555</v>
      </c>
      <c r="Q672" s="6" t="n">
        <v>0.875</v>
      </c>
      <c r="R672">
        <f>M672+IF(MAX(N672-1,0)&gt;0,IF(ISBLANK(O672),5*MAX(N672-1,0),IF(ISNUMBER(O672),O672*MAX(N672-1,0),SUM(IFERROR(VALUE(TEXTSPLIT(O672,",")),0)))),0)</f>
        <v/>
      </c>
      <c r="S672">
        <f>IFERROR(L672*MAX(N672,1)/R672*IF(ISBLANK(K670),1,K670),0)</f>
        <v/>
      </c>
      <c r="AB672" s="7" t="inlineStr">
        <is>
          <t>^Warhead_Bullet_Light, ^Warhead_Bullet_Medium</t>
        </is>
      </c>
    </row>
    <row r="673">
      <c r="A673" t="inlineStr">
        <is>
          <t>redalert2mod</t>
        </is>
      </c>
      <c r="B673" t="inlineStr">
        <is>
          <t>naxis_engineeringtruck</t>
        </is>
      </c>
      <c r="C673" t="inlineStr">
        <is>
          <t>Engineering Truck</t>
        </is>
      </c>
      <c r="D673" s="6" t="inlineStr">
        <is>
          <t>SupportVehicle</t>
        </is>
      </c>
      <c r="E673" s="6" t="n">
        <v>50000</v>
      </c>
      <c r="F673" s="6" t="n">
        <v>75</v>
      </c>
      <c r="G673" t="inlineStr">
        <is>
          <t>Light</t>
        </is>
      </c>
      <c r="H673" s="6" t="n">
        <v>1</v>
      </c>
      <c r="I673" s="6" t="n">
        <v>0.5</v>
      </c>
      <c r="J673" s="6" t="n">
        <v>2</v>
      </c>
      <c r="P673">
        <f>MAX(P674)</f>
        <v/>
      </c>
      <c r="S673">
        <f>S674</f>
        <v/>
      </c>
      <c r="T673">
        <f>(E673/100000+F673/100+(P673/1000)*J673/5+S673/200)*200*I673*H673</f>
        <v/>
      </c>
      <c r="U673">
        <f>((E673*F673/25000)+((P673/1000)*J673*S673/2.5))*I673*H673</f>
        <v/>
      </c>
      <c r="V673">
        <f>(E673*F673*(P673/1000)*J673*S673*I673*H673)/12500000</f>
        <v/>
      </c>
      <c r="W673">
        <f>(T673+U673+V673)/3</f>
        <v/>
      </c>
      <c r="X673" s="6" t="n">
        <v>1000</v>
      </c>
      <c r="Y673">
        <f>IFERROR(W673-X673,"")</f>
        <v/>
      </c>
      <c r="Z673">
        <f>IFERROR(ABS(Y673)/MAX(X673,1),"")</f>
        <v/>
      </c>
      <c r="AA673">
        <f>IFERROR((X673-(((E673/100000+F673/100+S673/200)*200*I673*H673)+((E673*F673/25000)*I673*H673))/3)/(((J673/5)*200*I673*H673)+((J673*S673/2.5)*I673*H673)+((E673*F673*J673*S673*I673*H673)/12500000))/3*1000,"")</f>
        <v/>
      </c>
    </row>
    <row r="674">
      <c r="B674" s="7" t="inlineStr">
        <is>
          <t xml:space="preserve">  ↳ RA2IFVRepair</t>
        </is>
      </c>
      <c r="C674" s="7" t="inlineStr">
        <is>
          <t>Armament</t>
        </is>
      </c>
      <c r="L674" s="6" t="n">
        <v>-3000</v>
      </c>
      <c r="M674" s="6" t="n">
        <v>50</v>
      </c>
      <c r="N674" s="6" t="n">
        <v>10</v>
      </c>
      <c r="O674" s="6" t="n">
        <v>1</v>
      </c>
      <c r="P674" s="6" t="n">
        <v>5000</v>
      </c>
      <c r="Q674" s="6" t="n">
        <v>1</v>
      </c>
      <c r="R674">
        <f>M674+IF(MAX(N674-1,0)&gt;0,IF(ISBLANK(O674),5*MAX(N674-1,0),IF(ISNUMBER(O674),O674*MAX(N674-1,0),SUM(IFERROR(VALUE(TEXTSPLIT(O674,",")),0)))),0)</f>
        <v/>
      </c>
      <c r="S674">
        <f>IFERROR(L674*MAX(N674,1)/R674*IF(ISBLANK(K673),1,K673),0)</f>
        <v/>
      </c>
      <c r="AB674" s="7" t="inlineStr">
        <is>
          <t>^RepairWeapon</t>
        </is>
      </c>
    </row>
    <row r="675">
      <c r="A675" t="inlineStr">
        <is>
          <t>redalert2mod</t>
        </is>
      </c>
      <c r="B675" t="inlineStr">
        <is>
          <t>naxis_halftrack</t>
        </is>
      </c>
      <c r="C675" t="inlineStr">
        <is>
          <t>Halftrack</t>
        </is>
      </c>
      <c r="D675" s="6" t="inlineStr">
        <is>
          <t>SupportVehicle</t>
        </is>
      </c>
      <c r="E675" s="6" t="n">
        <v>115000</v>
      </c>
      <c r="F675" s="6" t="n">
        <v>115</v>
      </c>
      <c r="G675" t="inlineStr">
        <is>
          <t>Medium</t>
        </is>
      </c>
      <c r="H675" s="6" t="n">
        <v>0.8639</v>
      </c>
      <c r="I675" s="6" t="n">
        <v>1</v>
      </c>
      <c r="J675" s="6" t="n">
        <v>1</v>
      </c>
      <c r="P675">
        <f>MAX(P676,P677)</f>
        <v/>
      </c>
      <c r="S675">
        <f>S676+S677</f>
        <v/>
      </c>
      <c r="T675">
        <f>(E675/100000+F675/100+(P675/1000)*J675/5+S675/200)*200*I675*H675</f>
        <v/>
      </c>
      <c r="U675">
        <f>((E675*F675/25000)+((P675/1000)*J675*S675/2.5))*I675*H675</f>
        <v/>
      </c>
      <c r="V675">
        <f>(E675*F675*(P675/1000)*J675*S675*I675*H675)/12500000</f>
        <v/>
      </c>
      <c r="W675">
        <f>(T675+U675+V675)/3</f>
        <v/>
      </c>
      <c r="X675" s="6" t="n">
        <v>2500</v>
      </c>
      <c r="Y675">
        <f>IFERROR(W675-X675,"")</f>
        <v/>
      </c>
      <c r="Z675">
        <f>IFERROR(ABS(Y675)/MAX(X675,1),"")</f>
        <v/>
      </c>
      <c r="AA675">
        <f>IFERROR((X675-(((E675/100000+F675/100+S675/200)*200*I675*H675)+((E675*F675/25000)*I675*H675))/3)/(((J675/5)*200*I675*H675)+((J675*S675/2.5)*I675*H675)+((E675*F675*J675*S675*I675*H675)/12500000))/3*1000,"")</f>
        <v/>
      </c>
    </row>
    <row r="676">
      <c r="B676" s="7" t="inlineStr">
        <is>
          <t xml:space="preserve">  ↳ NaxiWW2Machinegun</t>
        </is>
      </c>
      <c r="C676" s="7" t="inlineStr">
        <is>
          <t>Armament@AG</t>
        </is>
      </c>
      <c r="L676" s="6" t="n">
        <v>8000</v>
      </c>
      <c r="M676" s="6" t="n">
        <v>60</v>
      </c>
      <c r="N676" s="6" t="n">
        <v>6</v>
      </c>
      <c r="O676" s="6" t="n">
        <v>4</v>
      </c>
      <c r="P676" s="6" t="n">
        <v>5570</v>
      </c>
      <c r="Q676" s="6" t="n">
        <v>0.875</v>
      </c>
      <c r="R676">
        <f>M676+IF(MAX(N676-1,0)&gt;0,IF(ISBLANK(O676),5*MAX(N676-1,0),IF(ISNUMBER(O676),O676*MAX(N676-1,0),SUM(IFERROR(VALUE(TEXTSPLIT(O676,",")),0)))),0)</f>
        <v/>
      </c>
      <c r="S676">
        <f>IFERROR(L676*MAX(N676,1)/R676*IF(ISBLANK(K675),1,K675),0)</f>
        <v/>
      </c>
      <c r="AB676" s="7" t="inlineStr">
        <is>
          <t>^Warhead_Bullet_Light, ^Warhead_Bullet_Medium</t>
        </is>
      </c>
    </row>
    <row r="677">
      <c r="B677" s="7" t="inlineStr">
        <is>
          <t xml:space="preserve">  ↳ NaxiWW2Machinegun_AA</t>
        </is>
      </c>
      <c r="C677" s="7" t="inlineStr">
        <is>
          <t>Armament@AA</t>
        </is>
      </c>
      <c r="L677" s="6" t="n">
        <v>8000</v>
      </c>
      <c r="M677" s="6" t="n">
        <v>60</v>
      </c>
      <c r="N677" s="6" t="n">
        <v>6</v>
      </c>
      <c r="O677" s="6" t="n">
        <v>4</v>
      </c>
      <c r="P677" s="6" t="n">
        <v>8355</v>
      </c>
      <c r="Q677" s="6" t="n">
        <v>0.875</v>
      </c>
      <c r="R677">
        <f>M677+IF(MAX(N677-1,0)&gt;0,IF(ISBLANK(O677),5*MAX(N677-1,0),IF(ISNUMBER(O677),O677*MAX(N677-1,0),SUM(IFERROR(VALUE(TEXTSPLIT(O677,",")),0)))),0)</f>
        <v/>
      </c>
      <c r="S677">
        <f>IFERROR(L677*MAX(N677,1)/R677*IF(ISBLANK(K675),1,K675),0)</f>
        <v/>
      </c>
      <c r="AB677" s="7" t="inlineStr">
        <is>
          <t>^Warhead_Bullet_Light, ^Warhead_Bullet_Medium</t>
        </is>
      </c>
    </row>
    <row r="678">
      <c r="A678" t="inlineStr">
        <is>
          <t>redalert2mod</t>
        </is>
      </c>
      <c r="B678" t="inlineStr">
        <is>
          <t>naxis_naximobileconstructionvehicle</t>
        </is>
      </c>
      <c r="C678" t="inlineStr">
        <is>
          <t>Naxi Mobile Construction Vehicle</t>
        </is>
      </c>
      <c r="D678" s="6" t="inlineStr">
        <is>
          <t>SupportVehicle</t>
        </is>
      </c>
      <c r="E678" s="6" t="n">
        <v>300000</v>
      </c>
      <c r="F678" s="6" t="n">
        <v>75</v>
      </c>
      <c r="G678" t="inlineStr">
        <is>
          <t>Medium</t>
        </is>
      </c>
      <c r="H678" s="6" t="n">
        <v>0.5872000000000001</v>
      </c>
      <c r="I678" s="6" t="n">
        <v>1</v>
      </c>
      <c r="J678" s="6" t="n">
        <v>1</v>
      </c>
      <c r="X678" s="6" t="n">
        <v>5000</v>
      </c>
    </row>
    <row r="679">
      <c r="A679" t="inlineStr">
        <is>
          <t>redalert2mod</t>
        </is>
      </c>
      <c r="B679" t="inlineStr">
        <is>
          <t>schwarzermond_engineeringarmor</t>
        </is>
      </c>
      <c r="C679" t="inlineStr">
        <is>
          <t>Engineering Armor</t>
        </is>
      </c>
      <c r="D679" s="6" t="inlineStr">
        <is>
          <t>SupportVehicle</t>
        </is>
      </c>
      <c r="E679" s="6" t="n">
        <v>50000</v>
      </c>
      <c r="F679" s="6" t="n">
        <v>40</v>
      </c>
      <c r="G679" t="inlineStr">
        <is>
          <t>Plate</t>
        </is>
      </c>
      <c r="H679" s="6" t="n">
        <v>1</v>
      </c>
      <c r="I679" s="6" t="n">
        <v>0.5</v>
      </c>
      <c r="J679" s="6" t="n">
        <v>2</v>
      </c>
      <c r="P679">
        <f>MAX(P680)</f>
        <v/>
      </c>
      <c r="S679">
        <f>S680</f>
        <v/>
      </c>
      <c r="T679">
        <f>(E679/100000+F679/100+(P679/1000)*J679/5+S679/200)*200*I679*H679</f>
        <v/>
      </c>
      <c r="U679">
        <f>((E679*F679/25000)+((P679/1000)*J679*S679/2.5))*I679*H679</f>
        <v/>
      </c>
      <c r="V679">
        <f>(E679*F679*(P679/1000)*J679*S679*I679*H679)/12500000</f>
        <v/>
      </c>
      <c r="W679">
        <f>(T679+U679+V679)/3</f>
        <v/>
      </c>
      <c r="X679" s="6" t="n">
        <v>800</v>
      </c>
      <c r="Y679">
        <f>IFERROR(W679-X679,"")</f>
        <v/>
      </c>
      <c r="Z679">
        <f>IFERROR(ABS(Y679)/MAX(X679,1),"")</f>
        <v/>
      </c>
      <c r="AA679">
        <f>IFERROR((X679-(((E679/100000+F679/100+S679/200)*200*I679*H679)+((E679*F679/25000)*I679*H679))/3)/(((J679/5)*200*I679*H679)+((J679*S679/2.5)*I679*H679)+((E679*F679*J679*S679*I679*H679)/12500000))/3*1000,"")</f>
        <v/>
      </c>
    </row>
    <row r="680">
      <c r="B680" s="7" t="inlineStr">
        <is>
          <t xml:space="preserve">  ↳ RA2IFVRepair</t>
        </is>
      </c>
      <c r="C680" s="7" t="inlineStr">
        <is>
          <t>Armament</t>
        </is>
      </c>
      <c r="L680" s="6" t="n">
        <v>-3000</v>
      </c>
      <c r="M680" s="6" t="n">
        <v>50</v>
      </c>
      <c r="N680" s="6" t="n">
        <v>10</v>
      </c>
      <c r="O680" s="6" t="n">
        <v>1</v>
      </c>
      <c r="P680" s="6" t="n">
        <v>5000</v>
      </c>
      <c r="Q680" s="6" t="n">
        <v>1</v>
      </c>
      <c r="R680">
        <f>M680+IF(MAX(N680-1,0)&gt;0,IF(ISBLANK(O680),5*MAX(N680-1,0),IF(ISNUMBER(O680),O680*MAX(N680-1,0),SUM(IFERROR(VALUE(TEXTSPLIT(O680,",")),0)))),0)</f>
        <v/>
      </c>
      <c r="S680">
        <f>IFERROR(L680*MAX(N680,1)/R680*IF(ISBLANK(K679),1,K679),0)</f>
        <v/>
      </c>
      <c r="AB680" s="7" t="inlineStr">
        <is>
          <t>^RepairWeapon</t>
        </is>
      </c>
    </row>
    <row r="681">
      <c r="A681" t="inlineStr">
        <is>
          <t>redalert2mod</t>
        </is>
      </c>
      <c r="B681" t="inlineStr">
        <is>
          <t>schwarzermond_gravitycoretank</t>
        </is>
      </c>
      <c r="C681" t="inlineStr">
        <is>
          <t>Gravity Core Tank</t>
        </is>
      </c>
      <c r="D681" s="6" t="inlineStr">
        <is>
          <t>SupportVehicle</t>
        </is>
      </c>
      <c r="E681" s="6" t="n">
        <v>300000</v>
      </c>
      <c r="F681" s="6" t="n">
        <v>40</v>
      </c>
      <c r="G681" t="inlineStr">
        <is>
          <t>Medium</t>
        </is>
      </c>
      <c r="H681" s="6" t="n">
        <v>0.4839</v>
      </c>
      <c r="I681" s="6" t="n">
        <v>1</v>
      </c>
      <c r="J681" s="6" t="n">
        <v>1</v>
      </c>
      <c r="X681" s="6" t="n">
        <v>1500</v>
      </c>
    </row>
    <row r="682">
      <c r="B682" s="7" t="inlineStr">
        <is>
          <t xml:space="preserve">  ↳ GLStingerTargeting</t>
        </is>
      </c>
      <c r="C682" s="7" t="inlineStr">
        <is>
          <t>Armament@AG</t>
        </is>
      </c>
      <c r="M682" s="6" t="n">
        <v>25</v>
      </c>
      <c r="N682" s="6" t="n">
        <v>1</v>
      </c>
      <c r="O682" s="6" t="n"/>
      <c r="P682" s="6" t="n">
        <v>15000</v>
      </c>
      <c r="Q682" s="6" t="n">
        <v>1</v>
      </c>
      <c r="R682">
        <f>M682+IF(MAX(N682-1,0)&gt;0,IF(ISBLANK(O682),5*MAX(N682-1,0),IF(ISNUMBER(O682),O682*MAX(N682-1,0),SUM(IFERROR(VALUE(TEXTSPLIT(O682,",")),0)))),0)</f>
        <v/>
      </c>
      <c r="S682">
        <f>IFERROR(L682*MAX(N682,1)/R682*IF(ISBLANK(K681),1,K681),0)</f>
        <v/>
      </c>
      <c r="AB682" s="7" t="inlineStr"/>
    </row>
    <row r="683">
      <c r="A683" t="inlineStr">
        <is>
          <t>redalert2mod</t>
        </is>
      </c>
      <c r="B683" t="inlineStr">
        <is>
          <t>schwarzermond_komet</t>
        </is>
      </c>
      <c r="C683" t="inlineStr">
        <is>
          <t>Komet</t>
        </is>
      </c>
      <c r="D683" s="6" t="inlineStr">
        <is>
          <t>SupportVehicle</t>
        </is>
      </c>
      <c r="E683" s="6" t="n">
        <v>70000</v>
      </c>
      <c r="F683" s="6" t="n">
        <v>60</v>
      </c>
      <c r="G683" t="inlineStr">
        <is>
          <t>Medium</t>
        </is>
      </c>
      <c r="H683" s="6" t="n">
        <v>0.6846</v>
      </c>
      <c r="I683" s="6" t="n">
        <v>1</v>
      </c>
      <c r="J683" s="6" t="n">
        <v>1</v>
      </c>
      <c r="K683" t="n">
        <v>0.0125</v>
      </c>
      <c r="P683">
        <f>MAX(P684,P685)</f>
        <v/>
      </c>
      <c r="S683">
        <f>S684+S685</f>
        <v/>
      </c>
      <c r="T683">
        <f>(E683/100000+F683/100+(P683/1000)*J683/5+S683/200)*200*I683*H683</f>
        <v/>
      </c>
      <c r="U683">
        <f>((E683*F683/25000)+((P683/1000)*J683*S683/2.5))*I683*H683</f>
        <v/>
      </c>
      <c r="V683">
        <f>(E683*F683*(P683/1000)*J683*S683*I683*H683)/12500000</f>
        <v/>
      </c>
      <c r="W683">
        <f>(T683+U683+V683)/3</f>
        <v/>
      </c>
      <c r="X683" s="6" t="n">
        <v>2500</v>
      </c>
      <c r="Y683">
        <f>IFERROR(W683-X683,"")</f>
        <v/>
      </c>
      <c r="Z683">
        <f>IFERROR(ABS(Y683)/MAX(X683,1),"")</f>
        <v/>
      </c>
      <c r="AA683">
        <f>IFERROR((X683-(((E683/100000+F683/100+S683/200)*200*I683*H683)+((E683*F683/25000)*I683*H683))/3)/(((J683/5)*200*I683*H683)+((J683*S683/2.5)*I683*H683)+((E683*F683*J683*S683*I683*H683)/12500000))/3*1000,"")</f>
        <v/>
      </c>
    </row>
    <row r="684">
      <c r="B684" s="7" t="inlineStr">
        <is>
          <t xml:space="preserve">  ↳ Naxis_Komet</t>
        </is>
      </c>
      <c r="C684" s="7" t="inlineStr">
        <is>
          <t>Armament</t>
        </is>
      </c>
      <c r="L684" s="6" t="n">
        <v>32000</v>
      </c>
      <c r="M684" s="6" t="n">
        <v>60</v>
      </c>
      <c r="N684" s="6" t="n">
        <v>2</v>
      </c>
      <c r="O684" s="6" t="n">
        <v>4</v>
      </c>
      <c r="P684" s="6" t="n">
        <v>7825</v>
      </c>
      <c r="Q684" s="6" t="n">
        <v>1</v>
      </c>
      <c r="R684">
        <f>M684+IF(MAX(N684-1,0)&gt;0,IF(ISBLANK(O684),5*MAX(N684-1,0),IF(ISNUMBER(O684),O684*MAX(N684-1,0),SUM(IFERROR(VALUE(TEXTSPLIT(O684,",")),0)))),0)</f>
        <v/>
      </c>
      <c r="S684">
        <f>IFERROR(L684*MAX(N684,1)/R684*IF(ISBLANK(K683),1,K683),0)</f>
        <v/>
      </c>
      <c r="AB684" s="7" t="inlineStr">
        <is>
          <t>^FlakWeapon, ^Grenade, ^HeavyAAWeapon, ^MediumMissile</t>
        </is>
      </c>
    </row>
    <row r="685">
      <c r="B685" s="7" t="inlineStr">
        <is>
          <t xml:space="preserve">  ↳ Naxis_Komet_AA</t>
        </is>
      </c>
      <c r="C685" s="7" t="inlineStr">
        <is>
          <t>Armament@AA</t>
        </is>
      </c>
      <c r="L685" s="6" t="n">
        <v>32000</v>
      </c>
      <c r="M685" s="6" t="n">
        <v>60</v>
      </c>
      <c r="N685" s="6" t="n">
        <v>2</v>
      </c>
      <c r="O685" s="6" t="n">
        <v>4</v>
      </c>
      <c r="P685" s="6" t="n">
        <v>11740</v>
      </c>
      <c r="Q685" s="6" t="n">
        <v>1</v>
      </c>
      <c r="R685">
        <f>M685+IF(MAX(N685-1,0)&gt;0,IF(ISBLANK(O685),5*MAX(N685-1,0),IF(ISNUMBER(O685),O685*MAX(N685-1,0),SUM(IFERROR(VALUE(TEXTSPLIT(O685,",")),0)))),0)</f>
        <v/>
      </c>
      <c r="S685">
        <f>IFERROR(L685*MAX(N685,1)/R685*IF(ISBLANK(K683),1,K683),0)</f>
        <v/>
      </c>
      <c r="AB685" s="7" t="inlineStr">
        <is>
          <t>Naxis_Komet</t>
        </is>
      </c>
    </row>
    <row r="686">
      <c r="A686" t="inlineStr">
        <is>
          <t>redalert2mod</t>
        </is>
      </c>
      <c r="B686" t="inlineStr">
        <is>
          <t>schwarzermond_laserbeetle</t>
        </is>
      </c>
      <c r="C686" t="inlineStr">
        <is>
          <t>Laser Beetle</t>
        </is>
      </c>
      <c r="D686" s="6" t="inlineStr">
        <is>
          <t>SupportVehicle</t>
        </is>
      </c>
      <c r="E686" s="6" t="n">
        <v>47500</v>
      </c>
      <c r="F686" s="6" t="n">
        <v>85</v>
      </c>
      <c r="G686" t="inlineStr">
        <is>
          <t>Medium</t>
        </is>
      </c>
      <c r="H686" s="6" t="n">
        <v>1</v>
      </c>
      <c r="I686" s="6" t="n">
        <v>1</v>
      </c>
      <c r="J686" s="6" t="n">
        <v>1</v>
      </c>
      <c r="P686">
        <f>MAX(P687,P688,P689,P690,P691,P692)</f>
        <v/>
      </c>
      <c r="S686">
        <f>S687+S688+S689+S690+S691+S692</f>
        <v/>
      </c>
      <c r="T686">
        <f>(E686/100000+F686/100+(P686/1000)*J686/5+S686/200)*200*I686*H686</f>
        <v/>
      </c>
      <c r="U686">
        <f>((E686*F686/25000)+((P686/1000)*J686*S686/2.5))*I686*H686</f>
        <v/>
      </c>
      <c r="V686">
        <f>(E686*F686*(P686/1000)*J686*S686*I686*H686)/12500000</f>
        <v/>
      </c>
      <c r="W686">
        <f>(T686+U686+V686)/3</f>
        <v/>
      </c>
      <c r="X686" s="6" t="n">
        <v>700</v>
      </c>
      <c r="Y686">
        <f>IFERROR(W686-X686,"")</f>
        <v/>
      </c>
      <c r="Z686">
        <f>IFERROR(ABS(Y686)/MAX(X686,1),"")</f>
        <v/>
      </c>
      <c r="AA686">
        <f>IFERROR((X686-(((E686/100000+F686/100+S686/200)*200*I686*H686)+((E686*F686/25000)*I686*H686))/3)/(((J686/5)*200*I686*H686)+((J686*S686/2.5)*I686*H686)+((E686*F686*J686*S686*I686*H686)/12500000))/3*1000,"")</f>
        <v/>
      </c>
    </row>
    <row r="687">
      <c r="B687" s="7" t="inlineStr">
        <is>
          <t xml:space="preserve">  ↳ NaxiBeetleLaser_elite</t>
        </is>
      </c>
      <c r="C687" s="7" t="inlineStr">
        <is>
          <t>Armament</t>
        </is>
      </c>
      <c r="L687" s="6" t="n">
        <v>8000</v>
      </c>
      <c r="M687" s="6" t="n">
        <v>60</v>
      </c>
      <c r="N687" s="6" t="n">
        <v>2</v>
      </c>
      <c r="O687" s="6" t="n">
        <v>4</v>
      </c>
      <c r="P687" s="6" t="n">
        <v>6448</v>
      </c>
      <c r="Q687" s="6" t="n">
        <v>1</v>
      </c>
      <c r="R687">
        <f>M687+IF(MAX(N687-1,0)&gt;0,IF(ISBLANK(O687),5*MAX(N687-1,0),IF(ISNUMBER(O687),O687*MAX(N687-1,0),SUM(IFERROR(VALUE(TEXTSPLIT(O687,",")),0)))),0)</f>
        <v/>
      </c>
      <c r="S687">
        <f>IFERROR(L687*MAX(N687,1)/R687*IF(ISBLANK(K686),1,K686),0)</f>
        <v/>
      </c>
      <c r="AB687" s="7" t="inlineStr">
        <is>
          <t>^SmallArms, ^Chaingun, ^MediumMissile, ^LaserWeapon</t>
        </is>
      </c>
    </row>
    <row r="688">
      <c r="B688" s="7" t="inlineStr">
        <is>
          <t xml:space="preserve">  ↳ NaxiBeetleLaser_AA_elite</t>
        </is>
      </c>
      <c r="C688" s="7" t="inlineStr">
        <is>
          <t>Armament@AA</t>
        </is>
      </c>
      <c r="L688" s="6" t="n">
        <v>8000</v>
      </c>
      <c r="M688" s="6" t="n">
        <v>60</v>
      </c>
      <c r="N688" s="6" t="n">
        <v>2</v>
      </c>
      <c r="O688" s="6" t="n">
        <v>4</v>
      </c>
      <c r="P688" s="6" t="n">
        <v>9672</v>
      </c>
      <c r="Q688" s="6" t="n">
        <v>1</v>
      </c>
      <c r="R688">
        <f>M688+IF(MAX(N688-1,0)&gt;0,IF(ISBLANK(O688),5*MAX(N688-1,0),IF(ISNUMBER(O688),O688*MAX(N688-1,0),SUM(IFERROR(VALUE(TEXTSPLIT(O688,",")),0)))),0)</f>
        <v/>
      </c>
      <c r="S688">
        <f>IFERROR(L688*MAX(N688,1)/R688*IF(ISBLANK(K686),1,K686),0)</f>
        <v/>
      </c>
      <c r="AB688" s="7" t="inlineStr">
        <is>
          <t>NaxiBeetleLaser_elite</t>
        </is>
      </c>
    </row>
    <row r="689">
      <c r="B689" s="7" t="inlineStr">
        <is>
          <t xml:space="preserve">  ↳ Lunar_YellowBeetleLaser</t>
        </is>
      </c>
      <c r="C689" s="7" t="inlineStr">
        <is>
          <t>Armament@UP</t>
        </is>
      </c>
      <c r="L689" s="6" t="n">
        <v>8000</v>
      </c>
      <c r="M689" s="6" t="n">
        <v>60</v>
      </c>
      <c r="N689" s="6" t="n">
        <v>3</v>
      </c>
      <c r="O689" s="6" t="n">
        <v>4</v>
      </c>
      <c r="P689" s="6" t="n">
        <v>6448</v>
      </c>
      <c r="Q689" s="6" t="n">
        <v>1</v>
      </c>
      <c r="R689">
        <f>M689+IF(MAX(N689-1,0)&gt;0,IF(ISBLANK(O689),5*MAX(N689-1,0),IF(ISNUMBER(O689),O689*MAX(N689-1,0),SUM(IFERROR(VALUE(TEXTSPLIT(O689,",")),0)))),0)</f>
        <v/>
      </c>
      <c r="S689">
        <f>IFERROR(L689*MAX(N689,1)/R689*IF(ISBLANK(K686),1,K686),0)</f>
        <v/>
      </c>
      <c r="AB689" s="7" t="inlineStr">
        <is>
          <t>NaxiBeetleLaser_elite</t>
        </is>
      </c>
    </row>
    <row r="690">
      <c r="B690" s="7" t="inlineStr">
        <is>
          <t xml:space="preserve">  ↳ Lunar_YellowBeetleLaser_AA</t>
        </is>
      </c>
      <c r="C690" s="7" t="inlineStr">
        <is>
          <t>Armament@AA_UP</t>
        </is>
      </c>
      <c r="L690" s="6" t="n">
        <v>8000</v>
      </c>
      <c r="M690" s="6" t="n">
        <v>60</v>
      </c>
      <c r="N690" s="6" t="n">
        <v>3</v>
      </c>
      <c r="O690" s="6" t="n">
        <v>4</v>
      </c>
      <c r="P690" s="6" t="n">
        <v>9672</v>
      </c>
      <c r="Q690" s="6" t="n">
        <v>1</v>
      </c>
      <c r="R690">
        <f>M690+IF(MAX(N690-1,0)&gt;0,IF(ISBLANK(O690),5*MAX(N690-1,0),IF(ISNUMBER(O690),O690*MAX(N690-1,0),SUM(IFERROR(VALUE(TEXTSPLIT(O690,",")),0)))),0)</f>
        <v/>
      </c>
      <c r="S690">
        <f>IFERROR(L690*MAX(N690,1)/R690*IF(ISBLANK(K686),1,K686),0)</f>
        <v/>
      </c>
      <c r="AB690" s="7" t="inlineStr">
        <is>
          <t>NaxiBeetleLaser_AA_elite</t>
        </is>
      </c>
    </row>
    <row r="691">
      <c r="B691" s="7" t="inlineStr">
        <is>
          <t xml:space="preserve">  ↳ Lunar_AmplifiedBeetleLaser</t>
        </is>
      </c>
      <c r="C691" s="7" t="inlineStr">
        <is>
          <t>Armament@AMP</t>
        </is>
      </c>
      <c r="L691" s="6" t="n">
        <v>8000</v>
      </c>
      <c r="M691" s="6" t="n">
        <v>60</v>
      </c>
      <c r="N691" s="6" t="n">
        <v>4</v>
      </c>
      <c r="O691" s="6" t="n">
        <v>4</v>
      </c>
      <c r="P691" s="6" t="n">
        <v>6448</v>
      </c>
      <c r="Q691" s="6" t="n">
        <v>1</v>
      </c>
      <c r="R691">
        <f>M691+IF(MAX(N691-1,0)&gt;0,IF(ISBLANK(O691),5*MAX(N691-1,0),IF(ISNUMBER(O691),O691*MAX(N691-1,0),SUM(IFERROR(VALUE(TEXTSPLIT(O691,",")),0)))),0)</f>
        <v/>
      </c>
      <c r="S691">
        <f>IFERROR(L691*MAX(N691,1)/R691*IF(ISBLANK(K686),1,K686),0)</f>
        <v/>
      </c>
      <c r="AB691" s="7" t="inlineStr">
        <is>
          <t>NaxiBeetleLaser_elite</t>
        </is>
      </c>
    </row>
    <row r="692">
      <c r="B692" s="7" t="inlineStr">
        <is>
          <t xml:space="preserve">  ↳ Lunar_AmplifiedBeetleLaser_AA</t>
        </is>
      </c>
      <c r="C692" s="7" t="inlineStr">
        <is>
          <t>Armament@AA_AMP</t>
        </is>
      </c>
      <c r="L692" s="6" t="n">
        <v>8000</v>
      </c>
      <c r="M692" s="6" t="n">
        <v>60</v>
      </c>
      <c r="N692" s="6" t="n">
        <v>4</v>
      </c>
      <c r="O692" s="6" t="n">
        <v>4</v>
      </c>
      <c r="P692" s="6" t="n">
        <v>9672</v>
      </c>
      <c r="Q692" s="6" t="n">
        <v>1</v>
      </c>
      <c r="R692">
        <f>M692+IF(MAX(N692-1,0)&gt;0,IF(ISBLANK(O692),5*MAX(N692-1,0),IF(ISNUMBER(O692),O692*MAX(N692-1,0),SUM(IFERROR(VALUE(TEXTSPLIT(O692,",")),0)))),0)</f>
        <v/>
      </c>
      <c r="S692">
        <f>IFERROR(L692*MAX(N692,1)/R692*IF(ISBLANK(K686),1,K686),0)</f>
        <v/>
      </c>
      <c r="AB692" s="7" t="inlineStr">
        <is>
          <t>NaxiBeetleLaser_AA_elite</t>
        </is>
      </c>
    </row>
    <row r="693">
      <c r="A693" t="inlineStr">
        <is>
          <t>redalert2mod</t>
        </is>
      </c>
      <c r="B693" t="inlineStr">
        <is>
          <t>schwarzermond_lasertank</t>
        </is>
      </c>
      <c r="C693" t="inlineStr">
        <is>
          <t>Laser Tank</t>
        </is>
      </c>
      <c r="D693" s="6" t="inlineStr">
        <is>
          <t>SupportVehicle</t>
        </is>
      </c>
      <c r="E693" s="6" t="n">
        <v>100000</v>
      </c>
      <c r="F693" s="6" t="n">
        <v>70</v>
      </c>
      <c r="G693" t="inlineStr">
        <is>
          <t>Medium</t>
        </is>
      </c>
      <c r="H693" s="6" t="n">
        <v>0.8639</v>
      </c>
      <c r="I693" s="6" t="n">
        <v>1</v>
      </c>
      <c r="J693" s="6" t="n">
        <v>1</v>
      </c>
      <c r="P693">
        <f>MAX(P694,P695,P696,P697,P698,P699)</f>
        <v/>
      </c>
      <c r="S693">
        <f>S694+S695+S696+S697+S698+S699</f>
        <v/>
      </c>
      <c r="T693">
        <f>(E693/100000+F693/100+(P693/1000)*J693/5+S693/200)*200*I693*H693</f>
        <v/>
      </c>
      <c r="U693">
        <f>((E693*F693/25000)+((P693/1000)*J693*S693/2.5))*I693*H693</f>
        <v/>
      </c>
      <c r="V693">
        <f>(E693*F693*(P693/1000)*J693*S693*I693*H693)/12500000</f>
        <v/>
      </c>
      <c r="W693">
        <f>(T693+U693+V693)/3</f>
        <v/>
      </c>
      <c r="X693" s="6" t="n">
        <v>1500</v>
      </c>
      <c r="Y693">
        <f>IFERROR(W693-X693,"")</f>
        <v/>
      </c>
      <c r="Z693">
        <f>IFERROR(ABS(Y693)/MAX(X693,1),"")</f>
        <v/>
      </c>
      <c r="AA693">
        <f>IFERROR((X693-(((E693/100000+F693/100+S693/200)*200*I693*H693)+((E693*F693/25000)*I693*H693))/3)/(((J693/5)*200*I693*H693)+((J693*S693/2.5)*I693*H693)+((E693*F693*J693*S693*I693*H693)/12500000))/3*1000,"")</f>
        <v/>
      </c>
    </row>
    <row r="694">
      <c r="B694" s="7" t="inlineStr">
        <is>
          <t xml:space="preserve">  ↳ NaxiTank2Laser</t>
        </is>
      </c>
      <c r="C694" s="7" t="inlineStr">
        <is>
          <t>Armament</t>
        </is>
      </c>
      <c r="L694" s="6" t="n">
        <v>8000</v>
      </c>
      <c r="M694" s="6" t="n">
        <v>52</v>
      </c>
      <c r="N694" s="6" t="n">
        <v>4</v>
      </c>
      <c r="O694" s="6" t="n">
        <v>4</v>
      </c>
      <c r="P694" s="6" t="n">
        <v>6500</v>
      </c>
      <c r="Q694" s="6" t="n">
        <v>1</v>
      </c>
      <c r="R694">
        <f>M694+IF(MAX(N694-1,0)&gt;0,IF(ISBLANK(O694),5*MAX(N694-1,0),IF(ISNUMBER(O694),O694*MAX(N694-1,0),SUM(IFERROR(VALUE(TEXTSPLIT(O694,",")),0)))),0)</f>
        <v/>
      </c>
      <c r="S694">
        <f>IFERROR(L694*MAX(N694,1)/R694*IF(ISBLANK(K693),1,K693),0)</f>
        <v/>
      </c>
      <c r="AB694" s="7" t="inlineStr">
        <is>
          <t>^SmallArms, ^Chaingun, ^MediumMissile, ^LaserWeapon</t>
        </is>
      </c>
    </row>
    <row r="695">
      <c r="B695" s="7" t="inlineStr">
        <is>
          <t xml:space="preserve">  ↳ NaxiTank2Laser_AA</t>
        </is>
      </c>
      <c r="C695" s="7" t="inlineStr">
        <is>
          <t>Armament@AA</t>
        </is>
      </c>
      <c r="L695" s="6" t="n">
        <v>8000</v>
      </c>
      <c r="M695" s="6" t="n">
        <v>52</v>
      </c>
      <c r="N695" s="6" t="n">
        <v>4</v>
      </c>
      <c r="O695" s="6" t="n">
        <v>4</v>
      </c>
      <c r="P695" s="6" t="n">
        <v>9750</v>
      </c>
      <c r="Q695" s="6" t="n">
        <v>1</v>
      </c>
      <c r="R695">
        <f>M695+IF(MAX(N695-1,0)&gt;0,IF(ISBLANK(O695),5*MAX(N695-1,0),IF(ISNUMBER(O695),O695*MAX(N695-1,0),SUM(IFERROR(VALUE(TEXTSPLIT(O695,",")),0)))),0)</f>
        <v/>
      </c>
      <c r="S695">
        <f>IFERROR(L695*MAX(N695,1)/R695*IF(ISBLANK(K693),1,K693),0)</f>
        <v/>
      </c>
      <c r="AB695" s="7" t="inlineStr">
        <is>
          <t>NaxiTank2Laser</t>
        </is>
      </c>
    </row>
    <row r="696">
      <c r="B696" s="7" t="inlineStr">
        <is>
          <t xml:space="preserve">  ↳ Lunar_YellowTank2Laser</t>
        </is>
      </c>
      <c r="C696" s="7" t="inlineStr">
        <is>
          <t>Armament@UP</t>
        </is>
      </c>
      <c r="L696" s="6" t="n">
        <v>8000</v>
      </c>
      <c r="M696" s="6" t="n">
        <v>52</v>
      </c>
      <c r="N696" s="6" t="n">
        <v>5</v>
      </c>
      <c r="O696" s="6" t="n">
        <v>4</v>
      </c>
      <c r="P696" s="6" t="n">
        <v>6500</v>
      </c>
      <c r="Q696" s="6" t="n">
        <v>1</v>
      </c>
      <c r="R696">
        <f>M696+IF(MAX(N696-1,0)&gt;0,IF(ISBLANK(O696),5*MAX(N696-1,0),IF(ISNUMBER(O696),O696*MAX(N696-1,0),SUM(IFERROR(VALUE(TEXTSPLIT(O696,",")),0)))),0)</f>
        <v/>
      </c>
      <c r="S696">
        <f>IFERROR(L696*MAX(N696,1)/R696*IF(ISBLANK(K693),1,K693),0)</f>
        <v/>
      </c>
      <c r="AB696" s="7" t="inlineStr">
        <is>
          <t>NaxiTank2Laser</t>
        </is>
      </c>
    </row>
    <row r="697">
      <c r="B697" s="7" t="inlineStr">
        <is>
          <t xml:space="preserve">  ↳ Lunar_YellowTank2Laser_AA</t>
        </is>
      </c>
      <c r="C697" s="7" t="inlineStr">
        <is>
          <t>Armament@AA_UP</t>
        </is>
      </c>
      <c r="L697" s="6" t="n">
        <v>8000</v>
      </c>
      <c r="M697" s="6" t="n">
        <v>52</v>
      </c>
      <c r="N697" s="6" t="n">
        <v>5</v>
      </c>
      <c r="O697" s="6" t="n">
        <v>4</v>
      </c>
      <c r="P697" s="6" t="n">
        <v>9750</v>
      </c>
      <c r="Q697" s="6" t="n">
        <v>1</v>
      </c>
      <c r="R697">
        <f>M697+IF(MAX(N697-1,0)&gt;0,IF(ISBLANK(O697),5*MAX(N697-1,0),IF(ISNUMBER(O697),O697*MAX(N697-1,0),SUM(IFERROR(VALUE(TEXTSPLIT(O697,",")),0)))),0)</f>
        <v/>
      </c>
      <c r="S697">
        <f>IFERROR(L697*MAX(N697,1)/R697*IF(ISBLANK(K693),1,K693),0)</f>
        <v/>
      </c>
      <c r="AB697" s="7" t="inlineStr">
        <is>
          <t>NaxiTank2Laser_AA</t>
        </is>
      </c>
    </row>
    <row r="698">
      <c r="B698" s="7" t="inlineStr">
        <is>
          <t xml:space="preserve">  ↳ Lunar_AmplifiedTank2Laser</t>
        </is>
      </c>
      <c r="C698" s="7" t="inlineStr">
        <is>
          <t>Armament@AMP</t>
        </is>
      </c>
      <c r="L698" s="6" t="n">
        <v>8000</v>
      </c>
      <c r="M698" s="6" t="n">
        <v>52</v>
      </c>
      <c r="N698" s="6" t="n">
        <v>6</v>
      </c>
      <c r="O698" s="6" t="n">
        <v>4</v>
      </c>
      <c r="P698" s="6" t="n">
        <v>6500</v>
      </c>
      <c r="Q698" s="6" t="n">
        <v>1</v>
      </c>
      <c r="R698">
        <f>M698+IF(MAX(N698-1,0)&gt;0,IF(ISBLANK(O698),5*MAX(N698-1,0),IF(ISNUMBER(O698),O698*MAX(N698-1,0),SUM(IFERROR(VALUE(TEXTSPLIT(O698,",")),0)))),0)</f>
        <v/>
      </c>
      <c r="S698">
        <f>IFERROR(L698*MAX(N698,1)/R698*IF(ISBLANK(K693),1,K693),0)</f>
        <v/>
      </c>
      <c r="AB698" s="7" t="inlineStr">
        <is>
          <t>NaxiTank2Laser</t>
        </is>
      </c>
    </row>
    <row r="699">
      <c r="B699" s="7" t="inlineStr">
        <is>
          <t xml:space="preserve">  ↳ Lunar_AmplifiedTank2Laser_AA</t>
        </is>
      </c>
      <c r="C699" s="7" t="inlineStr">
        <is>
          <t>Armament@AA_AMP</t>
        </is>
      </c>
      <c r="L699" s="6" t="n">
        <v>8000</v>
      </c>
      <c r="M699" s="6" t="n">
        <v>52</v>
      </c>
      <c r="N699" s="6" t="n">
        <v>6</v>
      </c>
      <c r="O699" s="6" t="n">
        <v>4</v>
      </c>
      <c r="P699" s="6" t="n">
        <v>9750</v>
      </c>
      <c r="Q699" s="6" t="n">
        <v>1</v>
      </c>
      <c r="R699">
        <f>M699+IF(MAX(N699-1,0)&gt;0,IF(ISBLANK(O699),5*MAX(N699-1,0),IF(ISNUMBER(O699),O699*MAX(N699-1,0),SUM(IFERROR(VALUE(TEXTSPLIT(O699,",")),0)))),0)</f>
        <v/>
      </c>
      <c r="S699">
        <f>IFERROR(L699*MAX(N699,1)/R699*IF(ISBLANK(K693),1,K693),0)</f>
        <v/>
      </c>
      <c r="AB699" s="7" t="inlineStr">
        <is>
          <t>NaxiTank2Laser_AA</t>
        </is>
      </c>
    </row>
    <row r="700">
      <c r="A700" t="inlineStr">
        <is>
          <t>redalert2mod</t>
        </is>
      </c>
      <c r="B700" t="inlineStr">
        <is>
          <t>schwarzermond_naxismobileconstructionvehicle</t>
        </is>
      </c>
      <c r="C700" t="inlineStr">
        <is>
          <t>Naxis Mobile Construction Vehicle</t>
        </is>
      </c>
      <c r="D700" s="6" t="inlineStr">
        <is>
          <t>SupportVehicle</t>
        </is>
      </c>
      <c r="E700" s="6" t="n">
        <v>300000</v>
      </c>
      <c r="F700" s="6" t="n">
        <v>75</v>
      </c>
      <c r="G700" t="inlineStr">
        <is>
          <t>Medium</t>
        </is>
      </c>
      <c r="H700" s="6" t="n">
        <v>0.6846</v>
      </c>
      <c r="I700" s="6" t="n">
        <v>1</v>
      </c>
      <c r="J700" s="6" t="n">
        <v>1</v>
      </c>
      <c r="X700" s="6" t="n">
        <v>5000</v>
      </c>
    </row>
    <row r="701">
      <c r="A701" t="inlineStr">
        <is>
          <t>redalert2mod</t>
        </is>
      </c>
      <c r="B701" t="inlineStr">
        <is>
          <t>futuretech_mobileconstructionvehicle</t>
        </is>
      </c>
      <c r="C701" t="inlineStr">
        <is>
          <t>FutureTech Mobile Construction Vehicle</t>
        </is>
      </c>
      <c r="D701" s="6" t="inlineStr">
        <is>
          <t>SupportVehicle</t>
        </is>
      </c>
      <c r="E701" s="6" t="n">
        <v>300000</v>
      </c>
      <c r="F701" s="6" t="n">
        <v>75</v>
      </c>
      <c r="G701" t="inlineStr">
        <is>
          <t>Medium</t>
        </is>
      </c>
      <c r="H701" s="6" t="n">
        <v>0.5669999999999999</v>
      </c>
      <c r="I701" s="6" t="n">
        <v>1</v>
      </c>
      <c r="J701" s="6" t="n">
        <v>1</v>
      </c>
      <c r="X701" s="6" t="n">
        <v>5000</v>
      </c>
    </row>
    <row r="702">
      <c r="A702" t="inlineStr">
        <is>
          <t>redalert2mod</t>
        </is>
      </c>
      <c r="B702" t="inlineStr">
        <is>
          <t>futuretech_phalanxwip</t>
        </is>
      </c>
      <c r="C702" t="inlineStr">
        <is>
          <t>Phalanx (WIP)</t>
        </is>
      </c>
      <c r="D702" s="6" t="inlineStr">
        <is>
          <t>SupportVehicle</t>
        </is>
      </c>
      <c r="E702" s="6" t="n">
        <v>75000</v>
      </c>
      <c r="F702" s="6" t="n">
        <v>90</v>
      </c>
      <c r="G702" t="inlineStr">
        <is>
          <t>Medium</t>
        </is>
      </c>
      <c r="H702" s="6" t="n">
        <v>0.422</v>
      </c>
      <c r="I702" s="6" t="n">
        <v>1</v>
      </c>
      <c r="J702" s="6" t="n">
        <v>1</v>
      </c>
      <c r="P702">
        <f>MAX(P703,P704,P705)</f>
        <v/>
      </c>
      <c r="S702">
        <f>S703+S704+S705</f>
        <v/>
      </c>
      <c r="T702">
        <f>(E702/100000+F702/100+(P702/1000)*J702/5+S702/200)*200*I702*H702</f>
        <v/>
      </c>
      <c r="U702">
        <f>((E702*F702/25000)+((P702/1000)*J702*S702/2.5))*I702*H702</f>
        <v/>
      </c>
      <c r="V702">
        <f>(E702*F702*(P702/1000)*J702*S702*I702*H702)/12500000</f>
        <v/>
      </c>
      <c r="W702">
        <f>(T702+U702+V702)/3</f>
        <v/>
      </c>
      <c r="X702" s="6" t="n">
        <v>2500</v>
      </c>
      <c r="Y702">
        <f>IFERROR(W702-X702,"")</f>
        <v/>
      </c>
      <c r="Z702">
        <f>IFERROR(ABS(Y702)/MAX(X702,1),"")</f>
        <v/>
      </c>
      <c r="AA702">
        <f>IFERROR((X702-(((E702/100000+F702/100+S702/200)*200*I702*H702)+((E702*F702/25000)*I702*H702))/3)/(((J702/5)*200*I702*H702)+((J702*S702/2.5)*I702*H702)+((E702*F702*J702*S702*I702*H702)/12500000))/3*1000,"")</f>
        <v/>
      </c>
    </row>
    <row r="703">
      <c r="B703" s="7" t="inlineStr">
        <is>
          <t xml:space="preserve">  ↳ RA2RTruckRocket</t>
        </is>
      </c>
      <c r="C703" s="7" t="inlineStr">
        <is>
          <t>Armament</t>
        </is>
      </c>
      <c r="L703" s="6" t="n">
        <v>8000</v>
      </c>
      <c r="M703" s="6" t="n">
        <v>108</v>
      </c>
      <c r="N703" s="6" t="n">
        <v>8</v>
      </c>
      <c r="O703" s="6" t="n">
        <v>3</v>
      </c>
      <c r="P703" s="6" t="n">
        <v>7777</v>
      </c>
      <c r="Q703" s="6" t="n">
        <v>1</v>
      </c>
      <c r="R703">
        <f>M703+IF(MAX(N703-1,0)&gt;0,IF(ISBLANK(O703),5*MAX(N703-1,0),IF(ISNUMBER(O703),O703*MAX(N703-1,0),SUM(IFERROR(VALUE(TEXTSPLIT(O703,",")),0)))),0)</f>
        <v/>
      </c>
      <c r="S703">
        <f>IFERROR(L703*MAX(N703,1)/R703*IF(ISBLANK(K702),1,K702),0)</f>
        <v/>
      </c>
      <c r="AB703" s="7" t="inlineStr">
        <is>
          <t>^Warhead_MissileHE_Medium</t>
        </is>
      </c>
    </row>
    <row r="704">
      <c r="B704" s="7" t="inlineStr">
        <is>
          <t xml:space="preserve">  ↳ RA2RTruckRocket</t>
        </is>
      </c>
      <c r="C704" s="7" t="inlineStr">
        <is>
          <t>Armament@PRIMARYELITE</t>
        </is>
      </c>
      <c r="L704" s="6" t="n">
        <v>8000</v>
      </c>
      <c r="M704" s="6" t="n">
        <v>108</v>
      </c>
      <c r="N704" s="6" t="n">
        <v>8</v>
      </c>
      <c r="O704" s="6" t="n">
        <v>3</v>
      </c>
      <c r="P704" s="6" t="n">
        <v>7777</v>
      </c>
      <c r="Q704" s="6" t="n">
        <v>1</v>
      </c>
      <c r="R704">
        <f>M704+IF(MAX(N704-1,0)&gt;0,IF(ISBLANK(O704),5*MAX(N704-1,0),IF(ISNUMBER(O704),O704*MAX(N704-1,0),SUM(IFERROR(VALUE(TEXTSPLIT(O704,",")),0)))),0)</f>
        <v/>
      </c>
      <c r="S704">
        <f>IFERROR(L704*MAX(N704,1)/R704*IF(ISBLANK(K702),1,K702),0)</f>
        <v/>
      </c>
      <c r="AB704" s="7" t="inlineStr">
        <is>
          <t>^Warhead_MissileHE_Medium</t>
        </is>
      </c>
    </row>
    <row r="705">
      <c r="B705" s="7" t="inlineStr">
        <is>
          <t xml:space="preserve">  ↳ FutureMicrotorpedos</t>
        </is>
      </c>
      <c r="C705" s="7" t="inlineStr">
        <is>
          <t>Armament@WATER</t>
        </is>
      </c>
      <c r="L705" s="6" t="n">
        <v>12000</v>
      </c>
      <c r="M705" s="6" t="n">
        <v>240</v>
      </c>
      <c r="N705" s="6" t="n">
        <v>4</v>
      </c>
      <c r="O705" s="6" t="n">
        <v>8</v>
      </c>
      <c r="P705" s="6" t="n">
        <v>12000</v>
      </c>
      <c r="Q705" s="6" t="n">
        <v>1</v>
      </c>
      <c r="R705">
        <f>M705+IF(MAX(N705-1,0)&gt;0,IF(ISBLANK(O705),5*MAX(N705-1,0),IF(ISNUMBER(O705),O705*MAX(N705-1,0),SUM(IFERROR(VALUE(TEXTSPLIT(O705,",")),0)))),0)</f>
        <v/>
      </c>
      <c r="S705">
        <f>IFERROR(L705*MAX(N705,1)/R705*IF(ISBLANK(K702),1,K702),0)</f>
        <v/>
      </c>
      <c r="AB705" s="7" t="inlineStr">
        <is>
          <t>^Warhead_Demolition_Light, ^Warhead_MissileAP_Heavy</t>
        </is>
      </c>
    </row>
    <row r="706">
      <c r="A706" t="inlineStr">
        <is>
          <t>redalert2mod</t>
        </is>
      </c>
      <c r="B706" t="inlineStr">
        <is>
          <t>futuretech_repairdroid</t>
        </is>
      </c>
      <c r="C706" t="inlineStr">
        <is>
          <t>Repair Droid</t>
        </is>
      </c>
      <c r="D706" s="6" t="inlineStr">
        <is>
          <t>SupportVehicle</t>
        </is>
      </c>
      <c r="E706" s="6" t="n">
        <v>50000</v>
      </c>
      <c r="F706" s="6" t="n">
        <v>40</v>
      </c>
      <c r="G706" t="inlineStr">
        <is>
          <t>Plate</t>
        </is>
      </c>
      <c r="H706" s="6" t="n">
        <v>0.6322</v>
      </c>
      <c r="I706" s="6" t="n">
        <v>1</v>
      </c>
      <c r="J706" s="6" t="n">
        <v>1</v>
      </c>
      <c r="P706">
        <f>MAX(P707)</f>
        <v/>
      </c>
      <c r="S706">
        <f>S707</f>
        <v/>
      </c>
      <c r="T706">
        <f>(E706/100000+F706/100+(P706/1000)*J706/5+S706/200)*200*I706*H706</f>
        <v/>
      </c>
      <c r="U706">
        <f>((E706*F706/25000)+((P706/1000)*J706*S706/2.5))*I706*H706</f>
        <v/>
      </c>
      <c r="V706">
        <f>(E706*F706*(P706/1000)*J706*S706*I706*H706)/12500000</f>
        <v/>
      </c>
      <c r="W706">
        <f>IFERROR((((E706/5000)+(F706/50)+(S706/0)+((P706/0)*J706))*500/4+(((E706/5000)*(F706/50))+(((P706/0)*J706)*(S706/0)))*500/2+((E706/5000)*(F706/50)*((P706/0)*J706)*(S706/0))*500)*(H706/1.0)/3,"")</f>
        <v/>
      </c>
      <c r="X706" s="6" t="n">
        <v>800</v>
      </c>
      <c r="Y706">
        <f>IFERROR(W706-X706,"")</f>
        <v/>
      </c>
      <c r="Z706">
        <f>IFERROR(ABS(Y706)/MAX(X706,1),"")</f>
        <v/>
      </c>
      <c r="AA706">
        <f>IFERROR(ROUND(((3*X706-(((E706/5000)+(F706/50)+(S706/0))*500/4+((E706/5000)*(F706/50))*500/2)*(H706/1.0))/(500/4+((S706/0))*500/2+((E706/5000)*(F706/50)*(S706/0))*500)*(H706/1.0)*0)/J706,-1),"")</f>
        <v/>
      </c>
    </row>
    <row r="707">
      <c r="B707" s="7" t="inlineStr">
        <is>
          <t xml:space="preserve">  ↳ RA2IFVRepair</t>
        </is>
      </c>
      <c r="C707" s="7" t="inlineStr">
        <is>
          <t>Armament</t>
        </is>
      </c>
      <c r="L707" s="6" t="n">
        <v>-3000</v>
      </c>
      <c r="M707" s="6" t="n">
        <v>50</v>
      </c>
      <c r="N707" s="6" t="n">
        <v>10</v>
      </c>
      <c r="O707" s="6" t="n">
        <v>1</v>
      </c>
      <c r="P707" s="6" t="n">
        <v>5000</v>
      </c>
      <c r="Q707" s="6" t="n">
        <v>1</v>
      </c>
      <c r="R707">
        <f>M707+IF(MAX(N707-1,0)&gt;0,IF(ISBLANK(O707),5*MAX(N707-1,0),IF(ISNUMBER(O707),O707*MAX(N707-1,0),SUM(IFERROR(VALUE(TEXTSPLIT(O707,",")),0)))),0)</f>
        <v/>
      </c>
      <c r="S707">
        <f>IFERROR(L707*MAX(N707,1)/R707*IF(ISBLANK(K706),1,K706),0)</f>
        <v/>
      </c>
      <c r="AB707" s="7" t="inlineStr">
        <is>
          <t>^RepairWeapon</t>
        </is>
      </c>
    </row>
    <row r="708">
      <c r="A708" t="inlineStr">
        <is>
          <t>redalert2mod</t>
        </is>
      </c>
      <c r="B708" t="inlineStr">
        <is>
          <t>futuretech_riptideacv</t>
        </is>
      </c>
      <c r="C708" t="inlineStr">
        <is>
          <t>Riptide ACV</t>
        </is>
      </c>
      <c r="D708" s="6" t="inlineStr">
        <is>
          <t>SupportVehicle</t>
        </is>
      </c>
      <c r="E708" s="6" t="n">
        <v>65000</v>
      </c>
      <c r="F708" s="6" t="n">
        <v>105</v>
      </c>
      <c r="G708" t="inlineStr">
        <is>
          <t>Light</t>
        </is>
      </c>
      <c r="H708" s="6" t="n">
        <v>1</v>
      </c>
      <c r="I708" s="6" t="n">
        <v>1.25</v>
      </c>
      <c r="J708" s="6" t="n">
        <v>1</v>
      </c>
      <c r="P708">
        <f>MAX(P709,P710)</f>
        <v/>
      </c>
      <c r="S708">
        <f>S709+S710</f>
        <v/>
      </c>
      <c r="T708">
        <f>(E708/100000+F708/100+(P708/1000)*J708/5+S708/200)*200*I708*H708</f>
        <v/>
      </c>
      <c r="U708">
        <f>((E708*F708/25000)+((P708/1000)*J708*S708/2.5))*I708*H708</f>
        <v/>
      </c>
      <c r="V708">
        <f>(E708*F708*(P708/1000)*J708*S708*I708*H708)/12500000</f>
        <v/>
      </c>
      <c r="W708">
        <f>(T708+U708+V708)/3</f>
        <v/>
      </c>
      <c r="X708" s="6" t="n">
        <v>1700</v>
      </c>
      <c r="Y708">
        <f>IFERROR(W708-X708,"")</f>
        <v/>
      </c>
      <c r="Z708">
        <f>IFERROR(ABS(Y708)/MAX(X708,1),"")</f>
        <v/>
      </c>
      <c r="AA708">
        <f>IFERROR((X708-(((E708/100000+F708/100+S708/200)*200*I708*H708)+((E708*F708/25000)*I708*H708))/3)/(((J708/5)*200*I708*H708)+((J708*S708/2.5)*I708*H708)+((E708*F708*J708*S708*I708*H708)/12500000))/3*1000,"")</f>
        <v/>
      </c>
    </row>
    <row r="709">
      <c r="B709" s="7" t="inlineStr">
        <is>
          <t xml:space="preserve">  ↳ ACV_Machinegun</t>
        </is>
      </c>
      <c r="C709" s="7" t="inlineStr">
        <is>
          <t>Armament@AG</t>
        </is>
      </c>
      <c r="L709" s="6" t="n">
        <v>4000</v>
      </c>
      <c r="M709" s="6" t="n">
        <v>21</v>
      </c>
      <c r="N709" s="6" t="n">
        <v>4</v>
      </c>
      <c r="O709" s="6" t="n">
        <v>2</v>
      </c>
      <c r="P709" s="6" t="n">
        <v>5555</v>
      </c>
      <c r="Q709" s="6" t="n">
        <v>0.875</v>
      </c>
      <c r="R709">
        <f>M709+IF(MAX(N709-1,0)&gt;0,IF(ISBLANK(O709),5*MAX(N709-1,0),IF(ISNUMBER(O709),O709*MAX(N709-1,0),SUM(IFERROR(VALUE(TEXTSPLIT(O709,",")),0)))),0)</f>
        <v/>
      </c>
      <c r="S709">
        <f>IFERROR(L709*MAX(N709,1)/R709*IF(ISBLANK(K708),1,K708),0)</f>
        <v/>
      </c>
      <c r="AB709" s="7" t="inlineStr">
        <is>
          <t>^Warhead_Bullet_Light, ^Warhead_Bullet_Medium</t>
        </is>
      </c>
    </row>
    <row r="710">
      <c r="B710" s="7" t="inlineStr">
        <is>
          <t xml:space="preserve">  ↳ FutureMicrotorpedos</t>
        </is>
      </c>
      <c r="C710" s="7" t="inlineStr">
        <is>
          <t>Armament@WATER</t>
        </is>
      </c>
      <c r="L710" s="6" t="n">
        <v>12000</v>
      </c>
      <c r="M710" s="6" t="n">
        <v>240</v>
      </c>
      <c r="N710" s="6" t="n">
        <v>4</v>
      </c>
      <c r="O710" s="6" t="n">
        <v>8</v>
      </c>
      <c r="P710" s="6" t="n">
        <v>12000</v>
      </c>
      <c r="Q710" s="6" t="n">
        <v>1</v>
      </c>
      <c r="R710">
        <f>M710+IF(MAX(N710-1,0)&gt;0,IF(ISBLANK(O710),5*MAX(N710-1,0),IF(ISNUMBER(O710),O710*MAX(N710-1,0),SUM(IFERROR(VALUE(TEXTSPLIT(O710,",")),0)))),0)</f>
        <v/>
      </c>
      <c r="S710">
        <f>IFERROR(L710*MAX(N710,1)/R710*IF(ISBLANK(K708),1,K708),0)</f>
        <v/>
      </c>
      <c r="AB710" s="7" t="inlineStr">
        <is>
          <t>^Warhead_Demolition_Light, ^Warhead_MissileAP_Heavy</t>
        </is>
      </c>
    </row>
    <row r="711">
      <c r="A711" t="inlineStr">
        <is>
          <t>redalert2mod</t>
        </is>
      </c>
      <c r="B711" t="inlineStr">
        <is>
          <t>tkm_medictruck</t>
        </is>
      </c>
      <c r="C711" t="inlineStr">
        <is>
          <t>Medic Truck</t>
        </is>
      </c>
      <c r="D711" s="6" t="inlineStr">
        <is>
          <t>SupportVehicle</t>
        </is>
      </c>
      <c r="E711" s="6" t="n">
        <v>50000</v>
      </c>
      <c r="F711" s="6" t="n">
        <v>75</v>
      </c>
      <c r="G711" t="inlineStr">
        <is>
          <t>Light</t>
        </is>
      </c>
      <c r="H711" s="6" t="n">
        <v>0.9016</v>
      </c>
      <c r="I711" s="6" t="n">
        <v>1</v>
      </c>
      <c r="J711" s="6" t="n">
        <v>1</v>
      </c>
      <c r="P711">
        <f>MAX(P712)</f>
        <v/>
      </c>
      <c r="S711">
        <f>S712</f>
        <v/>
      </c>
      <c r="T711">
        <f>(E711/100000+F711/100+(P711/1000)*J711/5+S711/200)*200*I711*H711</f>
        <v/>
      </c>
      <c r="U711">
        <f>((E711*F711/25000)+((P711/1000)*J711*S711/2.5))*I711*H711</f>
        <v/>
      </c>
      <c r="V711">
        <f>(E711*F711*(P711/1000)*J711*S711*I711*H711)/12500000</f>
        <v/>
      </c>
      <c r="W711">
        <f>(T711+U711+V711)/3</f>
        <v/>
      </c>
      <c r="X711" s="6" t="n">
        <v>1000</v>
      </c>
      <c r="Y711">
        <f>IFERROR(W711-X711,"")</f>
        <v/>
      </c>
      <c r="Z711">
        <f>IFERROR(ABS(Y711)/MAX(X711,1),"")</f>
        <v/>
      </c>
      <c r="AA711">
        <f>IFERROR((X711-(((E711/100000+F711/100+S711/200)*200*I711*H711)+((E711*F711/25000)*I711*H711))/3)/(((J711/5)*200*I711*H711)+((J711*S711/2.5)*I711*H711)+((E711*F711*J711*S711*I711*H711)/12500000))/3*1000,"")</f>
        <v/>
      </c>
    </row>
    <row r="712">
      <c r="B712" s="7" t="inlineStr">
        <is>
          <t xml:space="preserve">  ↳ TKMMedicHeal</t>
        </is>
      </c>
      <c r="C712" s="7" t="inlineStr">
        <is>
          <t>Armament@Heal</t>
        </is>
      </c>
      <c r="L712" s="6" t="n">
        <v>-3000</v>
      </c>
      <c r="M712" s="6" t="n">
        <v>5</v>
      </c>
      <c r="N712" s="6" t="n">
        <v>1</v>
      </c>
      <c r="O712" s="6" t="n"/>
      <c r="P712" s="6" t="n">
        <v>4831</v>
      </c>
      <c r="Q712" s="6" t="n">
        <v>1</v>
      </c>
      <c r="R712">
        <f>M712+IF(MAX(N712-1,0)&gt;0,IF(ISBLANK(O712),5*MAX(N712-1,0),IF(ISNUMBER(O712),O712*MAX(N712-1,0),SUM(IFERROR(VALUE(TEXTSPLIT(O712,",")),0)))),0)</f>
        <v/>
      </c>
      <c r="S712">
        <f>IFERROR(L712*MAX(N712,1)/R712*IF(ISBLANK(K711),1,K711),0)</f>
        <v/>
      </c>
      <c r="AB712" s="7" t="inlineStr">
        <is>
          <t>^HealingWeapon</t>
        </is>
      </c>
    </row>
    <row r="713">
      <c r="A713" t="inlineStr">
        <is>
          <t>redalert2mod</t>
        </is>
      </c>
      <c r="B713" t="inlineStr">
        <is>
          <t>tkm_mobileconstructionvehicletkm</t>
        </is>
      </c>
      <c r="C713" t="inlineStr">
        <is>
          <t>Mobile Construction Vehicle (TKM)</t>
        </is>
      </c>
      <c r="D713" s="6" t="inlineStr">
        <is>
          <t>SupportVehicle</t>
        </is>
      </c>
      <c r="E713" s="6" t="n">
        <v>300000</v>
      </c>
      <c r="F713" s="6" t="n">
        <v>75</v>
      </c>
      <c r="G713" t="inlineStr">
        <is>
          <t>Medium</t>
        </is>
      </c>
      <c r="H713" s="6" t="n">
        <v>0.9016</v>
      </c>
      <c r="I713" s="6" t="n">
        <v>1</v>
      </c>
      <c r="J713" s="6" t="n">
        <v>1</v>
      </c>
      <c r="X713" s="6" t="n">
        <v>5000</v>
      </c>
    </row>
    <row r="714">
      <c r="A714" t="inlineStr">
        <is>
          <t>redalert2mod</t>
        </is>
      </c>
      <c r="B714" t="inlineStr">
        <is>
          <t>tkm_quadtruck</t>
        </is>
      </c>
      <c r="C714" t="inlineStr">
        <is>
          <t>TKM Quad Truck</t>
        </is>
      </c>
      <c r="D714" s="6" t="inlineStr">
        <is>
          <t>SupportVehicle</t>
        </is>
      </c>
      <c r="E714" s="6" t="n">
        <v>65000</v>
      </c>
      <c r="F714" s="6" t="n">
        <v>90</v>
      </c>
      <c r="G714" t="inlineStr">
        <is>
          <t>Light</t>
        </is>
      </c>
      <c r="H714" s="6" t="n">
        <v>0.7082000000000001</v>
      </c>
      <c r="I714" s="6" t="n">
        <v>1</v>
      </c>
      <c r="J714" s="6" t="n">
        <v>1</v>
      </c>
      <c r="P714">
        <f>MAX(P715,P716)</f>
        <v/>
      </c>
      <c r="S714">
        <f>S715+S716</f>
        <v/>
      </c>
      <c r="T714">
        <f>(E714/100000+F714/100+(P714/1000)*J714/5+S714/200)*200*I714*H714</f>
        <v/>
      </c>
      <c r="U714">
        <f>((E714*F714/25000)+((P714/1000)*J714*S714/2.5))*I714*H714</f>
        <v/>
      </c>
      <c r="V714">
        <f>(E714*F714*(P714/1000)*J714*S714*I714*H714)/12500000</f>
        <v/>
      </c>
      <c r="W714">
        <f>(T714+U714+V714)/3</f>
        <v/>
      </c>
      <c r="X714" s="6" t="n">
        <v>900</v>
      </c>
      <c r="Y714">
        <f>IFERROR(W714-X714,"")</f>
        <v/>
      </c>
      <c r="Z714">
        <f>IFERROR(ABS(Y714)/MAX(X714,1),"")</f>
        <v/>
      </c>
      <c r="AA714">
        <f>IFERROR((X714-(((E714/100000+F714/100+S714/200)*200*I714*H714)+((E714*F714/25000)*I714*H714))/3)/(((J714/5)*200*I714*H714)+((J714*S714/2.5)*I714*H714)+((E714*F714*J714*S714*I714*H714)/12500000))/3*1000,"")</f>
        <v/>
      </c>
    </row>
    <row r="715">
      <c r="B715" s="7" t="inlineStr">
        <is>
          <t xml:space="preserve">  ↳ TKMQuadCannonAG</t>
        </is>
      </c>
      <c r="C715" s="7" t="inlineStr">
        <is>
          <t>Armament@AG</t>
        </is>
      </c>
      <c r="L715" s="6" t="n">
        <v>4000</v>
      </c>
      <c r="M715" s="6" t="n">
        <v>10</v>
      </c>
      <c r="N715" s="6" t="n">
        <v>1</v>
      </c>
      <c r="O715" s="6" t="n"/>
      <c r="P715" s="6" t="n">
        <v>5253</v>
      </c>
      <c r="Q715" s="6" t="n">
        <v>0.875</v>
      </c>
      <c r="R715">
        <f>M715+IF(MAX(N715-1,0)&gt;0,IF(ISBLANK(O715),5*MAX(N715-1,0),IF(ISNUMBER(O715),O715*MAX(N715-1,0),SUM(IFERROR(VALUE(TEXTSPLIT(O715,",")),0)))),0)</f>
        <v/>
      </c>
      <c r="S715">
        <f>IFERROR(L715*MAX(N715,1)/R715*IF(ISBLANK(K714),1,K714),0)</f>
        <v/>
      </c>
      <c r="AB715" s="7" t="inlineStr">
        <is>
          <t>^Warhead_Bullet_Light, ^Warhead_Flak_Medium</t>
        </is>
      </c>
    </row>
    <row r="716">
      <c r="B716" s="7" t="inlineStr">
        <is>
          <t xml:space="preserve">  ↳ TKMQuadCannonAA</t>
        </is>
      </c>
      <c r="C716" s="7" t="inlineStr">
        <is>
          <t>Armament@AA</t>
        </is>
      </c>
      <c r="L716" s="6" t="n">
        <v>4000</v>
      </c>
      <c r="M716" s="6" t="n">
        <v>10</v>
      </c>
      <c r="N716" s="6" t="n">
        <v>1</v>
      </c>
      <c r="O716" s="6" t="n"/>
      <c r="P716" s="6" t="n">
        <v>7880</v>
      </c>
      <c r="Q716" s="6" t="n">
        <v>0.875</v>
      </c>
      <c r="R716">
        <f>M716+IF(MAX(N716-1,0)&gt;0,IF(ISBLANK(O716),5*MAX(N716-1,0),IF(ISNUMBER(O716),O716*MAX(N716-1,0),SUM(IFERROR(VALUE(TEXTSPLIT(O716,",")),0)))),0)</f>
        <v/>
      </c>
      <c r="S716">
        <f>IFERROR(L716*MAX(N716,1)/R716*IF(ISBLANK(K714),1,K714),0)</f>
        <v/>
      </c>
      <c r="AB716" s="7" t="inlineStr">
        <is>
          <t>^Warhead_Bullet_Light, ^Warhead_Flak_Medium</t>
        </is>
      </c>
    </row>
    <row r="717">
      <c r="A717" t="inlineStr">
        <is>
          <t>redalert2mod</t>
        </is>
      </c>
      <c r="B717" t="inlineStr">
        <is>
          <t>tkm_radartruck</t>
        </is>
      </c>
      <c r="C717" t="inlineStr">
        <is>
          <t>Radar Truck</t>
        </is>
      </c>
      <c r="D717" s="6" t="inlineStr">
        <is>
          <t>SupportVehicle</t>
        </is>
      </c>
      <c r="E717" s="6" t="n">
        <v>75000</v>
      </c>
      <c r="F717" s="6" t="n">
        <v>75</v>
      </c>
      <c r="G717" t="inlineStr">
        <is>
          <t>Light</t>
        </is>
      </c>
      <c r="H717" s="6" t="n">
        <v>0.9016</v>
      </c>
      <c r="I717" s="6" t="n">
        <v>1</v>
      </c>
      <c r="J717" s="6" t="n">
        <v>1</v>
      </c>
      <c r="X717" s="6" t="n">
        <v>1000</v>
      </c>
    </row>
    <row r="718">
      <c r="B718" s="7" t="inlineStr">
        <is>
          <t xml:space="preserve">  ↳ TKMLockOn</t>
        </is>
      </c>
      <c r="C718" s="7" t="inlineStr">
        <is>
          <t>Armament</t>
        </is>
      </c>
      <c r="M718" s="6" t="n">
        <v>20</v>
      </c>
      <c r="N718" s="6" t="n">
        <v>1</v>
      </c>
      <c r="O718" s="6" t="n"/>
      <c r="P718" s="6" t="n">
        <v>10000</v>
      </c>
      <c r="Q718" s="6" t="n">
        <v>1</v>
      </c>
      <c r="R718">
        <f>M718+IF(MAX(N718-1,0)&gt;0,IF(ISBLANK(O718),5*MAX(N718-1,0),IF(ISNUMBER(O718),O718*MAX(N718-1,0),SUM(IFERROR(VALUE(TEXTSPLIT(O718,",")),0)))),0)</f>
        <v/>
      </c>
      <c r="S718">
        <f>IFERROR(L718*MAX(N718,1)/R718*IF(ISBLANK(K717),1,K717),0)</f>
        <v/>
      </c>
      <c r="AB718" s="7" t="inlineStr"/>
    </row>
    <row r="719">
      <c r="A719" t="inlineStr">
        <is>
          <t>redalert2mod</t>
        </is>
      </c>
      <c r="B719" t="inlineStr">
        <is>
          <t>tkm_repairtruck</t>
        </is>
      </c>
      <c r="C719" t="inlineStr">
        <is>
          <t>Repair Truck</t>
        </is>
      </c>
      <c r="D719" s="6" t="inlineStr">
        <is>
          <t>SupportVehicle</t>
        </is>
      </c>
      <c r="E719" s="6" t="n">
        <v>50000</v>
      </c>
      <c r="F719" s="6" t="n">
        <v>75</v>
      </c>
      <c r="G719" t="inlineStr">
        <is>
          <t>Light</t>
        </is>
      </c>
      <c r="H719" s="6" t="n">
        <v>0.9016</v>
      </c>
      <c r="I719" s="6" t="n">
        <v>1</v>
      </c>
      <c r="J719" s="6" t="n">
        <v>1</v>
      </c>
      <c r="P719">
        <f>MAX(P720)</f>
        <v/>
      </c>
      <c r="S719">
        <f>S720</f>
        <v/>
      </c>
      <c r="T719">
        <f>(E719/100000+F719/100+(P719/1000)*J719/5+S719/200)*200*I719*H719</f>
        <v/>
      </c>
      <c r="U719">
        <f>((E719*F719/25000)+((P719/1000)*J719*S719/2.5))*I719*H719</f>
        <v/>
      </c>
      <c r="V719">
        <f>(E719*F719*(P719/1000)*J719*S719*I719*H719)/12500000</f>
        <v/>
      </c>
      <c r="W719">
        <f>(T719+U719+V719)/3</f>
        <v/>
      </c>
      <c r="X719" s="6" t="n">
        <v>1000</v>
      </c>
      <c r="Y719">
        <f>IFERROR(W719-X719,"")</f>
        <v/>
      </c>
      <c r="Z719">
        <f>IFERROR(ABS(Y719)/MAX(X719,1),"")</f>
        <v/>
      </c>
      <c r="AA719">
        <f>IFERROR((X719-(((E719/100000+F719/100+S719/200)*200*I719*H719)+((E719*F719/25000)*I719*H719))/3)/(((J719/5)*200*I719*H719)+((J719*S719/2.5)*I719*H719)+((E719*F719*J719*S719*I719*H719)/12500000))/3*1000,"")</f>
        <v/>
      </c>
    </row>
    <row r="720">
      <c r="B720" s="7" t="inlineStr">
        <is>
          <t xml:space="preserve">  ↳ RA2IFVRepair</t>
        </is>
      </c>
      <c r="C720" s="7" t="inlineStr">
        <is>
          <t>Armament@repair</t>
        </is>
      </c>
      <c r="L720" s="6" t="n">
        <v>-3000</v>
      </c>
      <c r="M720" s="6" t="n">
        <v>50</v>
      </c>
      <c r="N720" s="6" t="n">
        <v>10</v>
      </c>
      <c r="O720" s="6" t="n">
        <v>1</v>
      </c>
      <c r="P720" s="6" t="n">
        <v>5000</v>
      </c>
      <c r="Q720" s="6" t="n">
        <v>1</v>
      </c>
      <c r="R720">
        <f>M720+IF(MAX(N720-1,0)&gt;0,IF(ISBLANK(O720),5*MAX(N720-1,0),IF(ISNUMBER(O720),O720*MAX(N720-1,0),SUM(IFERROR(VALUE(TEXTSPLIT(O720,",")),0)))),0)</f>
        <v/>
      </c>
      <c r="S720">
        <f>IFERROR(L720*MAX(N720,1)/R720*IF(ISBLANK(K719),1,K719),0)</f>
        <v/>
      </c>
      <c r="AB720" s="7" t="inlineStr">
        <is>
          <t>^RepairWeapon</t>
        </is>
      </c>
    </row>
    <row r="721">
      <c r="A721" t="inlineStr">
        <is>
          <t>redalert2mod</t>
        </is>
      </c>
      <c r="B721" t="inlineStr">
        <is>
          <t>tkm_trenchtruck</t>
        </is>
      </c>
      <c r="C721" t="inlineStr">
        <is>
          <t>Trench Truck</t>
        </is>
      </c>
      <c r="D721" s="6" t="inlineStr">
        <is>
          <t>SupportVehicle</t>
        </is>
      </c>
      <c r="E721" s="6" t="n">
        <v>100000</v>
      </c>
      <c r="F721" s="6" t="n">
        <v>60</v>
      </c>
      <c r="G721" t="inlineStr">
        <is>
          <t>Heavy</t>
        </is>
      </c>
      <c r="H721" s="6" t="n">
        <v>0.4955</v>
      </c>
      <c r="I721" s="6" t="n">
        <v>1</v>
      </c>
      <c r="J721" s="6" t="n">
        <v>1</v>
      </c>
      <c r="X721" s="6" t="n">
        <v>2500</v>
      </c>
    </row>
    <row r="722">
      <c r="A722" t="inlineStr">
        <is>
          <t>redalert2mod</t>
        </is>
      </c>
      <c r="B722" t="inlineStr">
        <is>
          <t>tkm_zaza</t>
        </is>
      </c>
      <c r="C722" t="inlineStr">
        <is>
          <t>TKM Zaza</t>
        </is>
      </c>
      <c r="D722" s="6" t="inlineStr">
        <is>
          <t>SupportVehicle</t>
        </is>
      </c>
      <c r="E722" s="6" t="n">
        <v>125000</v>
      </c>
      <c r="F722" s="6" t="n">
        <v>75</v>
      </c>
      <c r="G722" t="inlineStr">
        <is>
          <t>Light</t>
        </is>
      </c>
      <c r="H722" s="6" t="n">
        <v>0.4955</v>
      </c>
      <c r="I722" s="6" t="n">
        <v>1</v>
      </c>
      <c r="J722" s="6" t="n">
        <v>1</v>
      </c>
      <c r="P722">
        <f>MAX(P723,P724)</f>
        <v/>
      </c>
      <c r="S722">
        <f>S723+S724</f>
        <v/>
      </c>
      <c r="T722">
        <f>(E722/100000+F722/100+(P722/1000)*J722/5+S722/200)*200*I722*H722</f>
        <v/>
      </c>
      <c r="U722">
        <f>((E722*F722/25000)+((P722/1000)*J722*S722/2.5))*I722*H722</f>
        <v/>
      </c>
      <c r="V722">
        <f>(E722*F722*(P722/1000)*J722*S722*I722*H722)/12500000</f>
        <v/>
      </c>
      <c r="W722">
        <f>(T722+U722+V722)/3</f>
        <v/>
      </c>
      <c r="X722" s="6" t="n">
        <v>1600</v>
      </c>
      <c r="Y722">
        <f>IFERROR(W722-X722,"")</f>
        <v/>
      </c>
      <c r="Z722">
        <f>IFERROR(ABS(Y722)/MAX(X722,1),"")</f>
        <v/>
      </c>
      <c r="AA722">
        <f>IFERROR((X722-(((E722/100000+F722/100+S722/200)*200*I722*H722)+((E722*F722/25000)*I722*H722))/3)/(((J722/5)*200*I722*H722)+((J722*S722/2.5)*I722*H722)+((E722*F722*J722*S722*I722*H722)/12500000))/3*1000,"")</f>
        <v/>
      </c>
    </row>
    <row r="723">
      <c r="B723" s="7" t="inlineStr">
        <is>
          <t xml:space="preserve">  ↳ TKMZazaCannonAG</t>
        </is>
      </c>
      <c r="C723" s="7" t="inlineStr">
        <is>
          <t>Armament@AG</t>
        </is>
      </c>
      <c r="L723" s="6" t="n">
        <v>4000</v>
      </c>
      <c r="M723" s="6" t="n">
        <v>8</v>
      </c>
      <c r="N723" s="6" t="n">
        <v>1</v>
      </c>
      <c r="O723" s="6" t="n"/>
      <c r="P723" s="6" t="n">
        <v>5284</v>
      </c>
      <c r="Q723" s="6" t="n">
        <v>0.875</v>
      </c>
      <c r="R723">
        <f>M723+IF(MAX(N723-1,0)&gt;0,IF(ISBLANK(O723),5*MAX(N723-1,0),IF(ISNUMBER(O723),O723*MAX(N723-1,0),SUM(IFERROR(VALUE(TEXTSPLIT(O723,",")),0)))),0)</f>
        <v/>
      </c>
      <c r="S723">
        <f>IFERROR(L723*MAX(N723,1)/R723*IF(ISBLANK(K722),1,K722),0)</f>
        <v/>
      </c>
      <c r="AB723" s="7" t="inlineStr">
        <is>
          <t>^Warhead_Bullet_Light, ^Warhead_Flak_Medium</t>
        </is>
      </c>
    </row>
    <row r="724">
      <c r="B724" s="7" t="inlineStr">
        <is>
          <t xml:space="preserve">  ↳ TKMZazaCannonAA</t>
        </is>
      </c>
      <c r="C724" s="7" t="inlineStr">
        <is>
          <t>Armament@AA</t>
        </is>
      </c>
      <c r="L724" s="6" t="n">
        <v>4000</v>
      </c>
      <c r="M724" s="6" t="n">
        <v>8</v>
      </c>
      <c r="N724" s="6" t="n">
        <v>1</v>
      </c>
      <c r="O724" s="6" t="n"/>
      <c r="P724" s="6" t="n">
        <v>7926</v>
      </c>
      <c r="Q724" s="6" t="n">
        <v>0.875</v>
      </c>
      <c r="R724">
        <f>M724+IF(MAX(N724-1,0)&gt;0,IF(ISBLANK(O724),5*MAX(N724-1,0),IF(ISNUMBER(O724),O724*MAX(N724-1,0),SUM(IFERROR(VALUE(TEXTSPLIT(O724,",")),0)))),0)</f>
        <v/>
      </c>
      <c r="S724">
        <f>IFERROR(L724*MAX(N724,1)/R724*IF(ISBLANK(K722),1,K722),0)</f>
        <v/>
      </c>
      <c r="AB724" s="7" t="inlineStr">
        <is>
          <t>^Warhead_Bullet_Light, ^Warhead_Flak_Medium</t>
        </is>
      </c>
    </row>
    <row r="725">
      <c r="A725" t="inlineStr">
        <is>
          <t>d2k</t>
        </is>
      </c>
      <c r="B725" t="inlineStr">
        <is>
          <t>ordos_apc</t>
        </is>
      </c>
      <c r="C725" t="inlineStr">
        <is>
          <t>Ordos APC</t>
        </is>
      </c>
      <c r="D725" s="6" t="inlineStr">
        <is>
          <t>SupportVehicle</t>
        </is>
      </c>
      <c r="E725" s="6" t="n">
        <v>67500</v>
      </c>
      <c r="F725" s="6" t="n">
        <v>105</v>
      </c>
      <c r="G725" t="inlineStr">
        <is>
          <t>Medium</t>
        </is>
      </c>
      <c r="H725" s="6" t="n">
        <v>1</v>
      </c>
      <c r="I725" s="6" t="n">
        <v>1.25</v>
      </c>
      <c r="J725" s="6" t="n">
        <v>1</v>
      </c>
      <c r="P725">
        <f>MAX(P726)</f>
        <v/>
      </c>
      <c r="S725">
        <f>S726</f>
        <v/>
      </c>
      <c r="T725">
        <f>(E725/100000+F725/100+(P725/1000)*J725/5+S725/200)*200*I725*H725</f>
        <v/>
      </c>
      <c r="U725">
        <f>((E725*F725/25000)+((P725/1000)*J725*S725/2.5))*I725*H725</f>
        <v/>
      </c>
      <c r="V725">
        <f>(E725*F725*(P725/1000)*J725*S725*I725*H725)/12500000</f>
        <v/>
      </c>
      <c r="W725">
        <f>(T725+U725+V725)/3</f>
        <v/>
      </c>
      <c r="X725" s="6" t="n">
        <v>2100</v>
      </c>
      <c r="Y725">
        <f>IFERROR(W725-X725,"")</f>
        <v/>
      </c>
      <c r="Z725">
        <f>IFERROR(ABS(Y725)/MAX(X725,1),"")</f>
        <v/>
      </c>
      <c r="AA725">
        <f>IFERROR((X725-(((E725/100000+F725/100+S725/200)*200*I725*H725)+((E725*F725/25000)*I725*H725))/3)/(((J725/5)*200*I725*H725)+((J725*S725/2.5)*I725*H725)+((E725*F725*J725*S725*I725*H725)/12500000))/3*1000,"")</f>
        <v/>
      </c>
    </row>
    <row r="726">
      <c r="B726" s="7" t="inlineStr">
        <is>
          <t xml:space="preserve">  ↳ D2K_APC_Rocket</t>
        </is>
      </c>
      <c r="C726" s="7" t="inlineStr">
        <is>
          <t>Armament</t>
        </is>
      </c>
      <c r="L726" s="6" t="n">
        <v>24000</v>
      </c>
      <c r="M726" s="6" t="n">
        <v>42</v>
      </c>
      <c r="N726" s="6" t="n">
        <v>1</v>
      </c>
      <c r="O726" s="6" t="n"/>
      <c r="P726" s="6" t="n">
        <v>6500</v>
      </c>
      <c r="Q726" s="6" t="n">
        <v>1</v>
      </c>
      <c r="R726">
        <f>M726+IF(MAX(N726-1,0)&gt;0,IF(ISBLANK(O726),5*MAX(N726-1,0),IF(ISNUMBER(O726),O726*MAX(N726-1,0),SUM(IFERROR(VALUE(TEXTSPLIT(O726,",")),0)))),0)</f>
        <v/>
      </c>
      <c r="S726">
        <f>IFERROR(L726*MAX(N726,1)/R726*IF(ISBLANK(K725),1,K725),0)</f>
        <v/>
      </c>
      <c r="AB726" s="7" t="inlineStr">
        <is>
          <t>^Warhead_MissileAP_Light, ^Warhead_MissileAP_Medium, ^Warhead_MissileAP_Heavy</t>
        </is>
      </c>
    </row>
    <row r="727">
      <c r="A727" t="inlineStr">
        <is>
          <t>d2k</t>
        </is>
      </c>
      <c r="B727" t="inlineStr">
        <is>
          <t>ordos_laboratorycrawler</t>
        </is>
      </c>
      <c r="C727" t="inlineStr">
        <is>
          <t>Laboratory Crawler</t>
        </is>
      </c>
      <c r="D727" s="6" t="inlineStr">
        <is>
          <t>SupportVehicle</t>
        </is>
      </c>
      <c r="E727" s="6" t="n">
        <v>137500</v>
      </c>
      <c r="F727" s="6" t="n">
        <v>105</v>
      </c>
      <c r="G727" t="inlineStr">
        <is>
          <t>Medium</t>
        </is>
      </c>
      <c r="H727" s="6" t="n">
        <v>0.75</v>
      </c>
      <c r="I727" s="6" t="n">
        <v>1.25</v>
      </c>
      <c r="J727" s="6" t="n">
        <v>1</v>
      </c>
      <c r="P727">
        <f>MAX(P728,P729,P730)</f>
        <v/>
      </c>
      <c r="S727">
        <f>S728+S729+S730</f>
        <v/>
      </c>
      <c r="T727">
        <f>(E727/100000+F727/100+(P727/1000)*J727/5+S727/200)*200*I727*H727</f>
        <v/>
      </c>
      <c r="U727">
        <f>((E727*F727/25000)+((P727/1000)*J727*S727/2.5))*I727*H727</f>
        <v/>
      </c>
      <c r="V727">
        <f>(E727*F727*(P727/1000)*J727*S727*I727*H727)/12500000</f>
        <v/>
      </c>
      <c r="W727">
        <f>(T727+U727+V727)/3</f>
        <v/>
      </c>
      <c r="X727" s="6" t="n">
        <v>4500</v>
      </c>
      <c r="Y727">
        <f>IFERROR(W727-X727,"")</f>
        <v/>
      </c>
      <c r="Z727">
        <f>IFERROR(ABS(Y727)/MAX(X727,1),"")</f>
        <v/>
      </c>
      <c r="AA727">
        <f>IFERROR((X727-(((E727/100000+F727/100+S727/200)*200*I727*H727)+((E727*F727/25000)*I727*H727))/3)/(((J727/5)*200*I727*H727)+((J727*S727/2.5)*I727*H727)+((E727*F727*J727*S727*I727*H727)/12500000))/3*1000,"")</f>
        <v/>
      </c>
    </row>
    <row r="728">
      <c r="B728" s="7" t="inlineStr">
        <is>
          <t xml:space="preserve">  ↳ Laboratory_Bioball</t>
        </is>
      </c>
      <c r="C728" s="7" t="inlineStr">
        <is>
          <t>Armament</t>
        </is>
      </c>
      <c r="L728" s="6" t="n">
        <v>50000</v>
      </c>
      <c r="M728" s="6" t="n">
        <v>42</v>
      </c>
      <c r="N728" s="6" t="n">
        <v>1</v>
      </c>
      <c r="O728" s="6" t="n"/>
      <c r="P728" s="6" t="n">
        <v>6500</v>
      </c>
      <c r="Q728" s="6" t="n">
        <v>1</v>
      </c>
      <c r="R728">
        <f>M728+IF(MAX(N728-1,0)&gt;0,IF(ISBLANK(O728),5*MAX(N728-1,0),IF(ISNUMBER(O728),O728*MAX(N728-1,0),SUM(IFERROR(VALUE(TEXTSPLIT(O728,",")),0)))),0)</f>
        <v/>
      </c>
      <c r="S728">
        <f>IFERROR(L728*MAX(N728,1)/R728*IF(ISBLANK(K727),1,K727),0)</f>
        <v/>
      </c>
      <c r="AB728" s="7" t="inlineStr">
        <is>
          <t>^Warhead_Demolition_Light, ^Warhead_Concussion_Medium, ^Warhead_CannonHE_Heavy</t>
        </is>
      </c>
    </row>
    <row r="729">
      <c r="B729" s="7" t="inlineStr">
        <is>
          <t xml:space="preserve">  ↳ D2K_APC_Rocket_AA</t>
        </is>
      </c>
      <c r="C729" s="7" t="inlineStr">
        <is>
          <t>Armament@aa1</t>
        </is>
      </c>
      <c r="L729" s="6" t="n">
        <v>24000</v>
      </c>
      <c r="M729" s="6" t="n">
        <v>42</v>
      </c>
      <c r="N729" s="6" t="n">
        <v>1</v>
      </c>
      <c r="O729" s="6" t="n"/>
      <c r="P729" s="6" t="n">
        <v>6500</v>
      </c>
      <c r="Q729" s="6" t="n">
        <v>1</v>
      </c>
      <c r="R729">
        <f>M729+IF(MAX(N729-1,0)&gt;0,IF(ISBLANK(O729),5*MAX(N729-1,0),IF(ISNUMBER(O729),O729*MAX(N729-1,0),SUM(IFERROR(VALUE(TEXTSPLIT(O729,",")),0)))),0)</f>
        <v/>
      </c>
      <c r="S729">
        <f>IFERROR(L729*MAX(N729,1)/R729*IF(ISBLANK(K727),1,K727),0)</f>
        <v/>
      </c>
      <c r="AB729" s="7" t="inlineStr">
        <is>
          <t>^Warhead_MissileAP_Light, ^Warhead_MissileAP_Medium, ^Warhead_MissileAP_Heavy</t>
        </is>
      </c>
    </row>
    <row r="730">
      <c r="B730" s="7" t="inlineStr">
        <is>
          <t xml:space="preserve">  ↳ D2K_APC_Rocket_AA</t>
        </is>
      </c>
      <c r="C730" s="7" t="inlineStr">
        <is>
          <t>Armament@aa2</t>
        </is>
      </c>
      <c r="L730" s="6" t="n">
        <v>24000</v>
      </c>
      <c r="M730" s="6" t="n">
        <v>42</v>
      </c>
      <c r="N730" s="6" t="n">
        <v>1</v>
      </c>
      <c r="O730" s="6" t="n"/>
      <c r="P730" s="6" t="n">
        <v>6500</v>
      </c>
      <c r="Q730" s="6" t="n">
        <v>1</v>
      </c>
      <c r="R730">
        <f>M730+IF(MAX(N730-1,0)&gt;0,IF(ISBLANK(O730),5*MAX(N730-1,0),IF(ISNUMBER(O730),O730*MAX(N730-1,0),SUM(IFERROR(VALUE(TEXTSPLIT(O730,",")),0)))),0)</f>
        <v/>
      </c>
      <c r="S730">
        <f>IFERROR(L730*MAX(N730,1)/R730*IF(ISBLANK(K727),1,K727),0)</f>
        <v/>
      </c>
      <c r="AB730" s="7" t="inlineStr">
        <is>
          <t>^Warhead_MissileAP_Light, ^Warhead_MissileAP_Medium, ^Warhead_MissileAP_Heavy</t>
        </is>
      </c>
    </row>
    <row r="731">
      <c r="A731" t="inlineStr">
        <is>
          <t>d2k</t>
        </is>
      </c>
      <c r="B731" t="inlineStr">
        <is>
          <t>ordos_mobileconstructionvehicle</t>
        </is>
      </c>
      <c r="C731" t="inlineStr">
        <is>
          <t>Ordos Mobile Construction Vehicle</t>
        </is>
      </c>
      <c r="D731" s="6" t="inlineStr">
        <is>
          <t>SupportVehicle</t>
        </is>
      </c>
      <c r="E731" s="6" t="n">
        <v>300000</v>
      </c>
      <c r="F731" s="6" t="n">
        <v>75</v>
      </c>
      <c r="G731" t="inlineStr">
        <is>
          <t>Medium</t>
        </is>
      </c>
      <c r="H731" s="6" t="n">
        <v>0.8048999999999999</v>
      </c>
      <c r="I731" s="6" t="n">
        <v>1</v>
      </c>
      <c r="J731" s="6" t="n">
        <v>1</v>
      </c>
      <c r="X731" s="6" t="n">
        <v>5000</v>
      </c>
    </row>
    <row r="732">
      <c r="A732" t="inlineStr">
        <is>
          <t>d2k</t>
        </is>
      </c>
      <c r="B732" t="inlineStr">
        <is>
          <t>heavy_rocket_raider.ixian</t>
        </is>
      </c>
      <c r="C732" t="inlineStr">
        <is>
          <t>Heavy Ix Raider</t>
        </is>
      </c>
      <c r="D732" s="6" t="inlineStr">
        <is>
          <t>SupportVehicle</t>
        </is>
      </c>
      <c r="E732" s="6" t="n">
        <v>85000</v>
      </c>
      <c r="F732" s="6" t="n">
        <v>140</v>
      </c>
      <c r="G732" t="inlineStr">
        <is>
          <t>Heavy</t>
        </is>
      </c>
      <c r="H732" s="6" t="n">
        <v>1</v>
      </c>
      <c r="I732" s="6" t="n">
        <v>1.25</v>
      </c>
      <c r="J732" s="6" t="n">
        <v>1.25</v>
      </c>
      <c r="K732" t="n">
        <v>0.005</v>
      </c>
      <c r="P732">
        <f>MAX(P733,P734,P735)</f>
        <v/>
      </c>
      <c r="S732">
        <f>S733+S734+S735</f>
        <v/>
      </c>
      <c r="T732">
        <f>(E732/100000+F732/100+(P732/1000)*J732/5+S732/200)*200*I732*H732</f>
        <v/>
      </c>
      <c r="U732">
        <f>((E732*F732/25000)+((P732/1000)*J732*S732/2.5))*I732*H732</f>
        <v/>
      </c>
      <c r="V732">
        <f>(E732*F732*(P732/1000)*J732*S732*I732*H732)/12500000</f>
        <v/>
      </c>
      <c r="W732">
        <f>(T732+U732+V732)/3</f>
        <v/>
      </c>
      <c r="X732" s="6" t="n">
        <v>2000</v>
      </c>
      <c r="Y732">
        <f>IFERROR(W732-X732,"")</f>
        <v/>
      </c>
      <c r="Z732">
        <f>IFERROR(ABS(Y732)/MAX(X732,1),"")</f>
        <v/>
      </c>
      <c r="AA732">
        <f>IFERROR((X732-(((E732/100000+F732/100+S732/200)*200*I732*H732)+((E732*F732/25000)*I732*H732))/3)/(((J732/5)*200*I732*H732)+((J732*S732/2.5)*I732*H732)+((E732*F732*J732*S732*I732*H732)/12500000))/3*1000,"")</f>
        <v/>
      </c>
    </row>
    <row r="733">
      <c r="B733" s="7" t="inlineStr">
        <is>
          <t xml:space="preserve">  ↳ D2K_Bazooka2</t>
        </is>
      </c>
      <c r="C733" s="7" t="inlineStr">
        <is>
          <t>Armament@damage</t>
        </is>
      </c>
      <c r="L733" s="6" t="n">
        <v>6000</v>
      </c>
      <c r="M733" s="6" t="n">
        <v>5</v>
      </c>
      <c r="N733" s="6" t="n">
        <v>1</v>
      </c>
      <c r="O733" s="6" t="n"/>
      <c r="P733" s="6" t="n">
        <v>6400</v>
      </c>
      <c r="Q733" s="6" t="n">
        <v>1.25</v>
      </c>
      <c r="R733">
        <f>M733+IF(MAX(N733-1,0)&gt;0,IF(ISBLANK(O733),5*MAX(N733-1,0),IF(ISNUMBER(O733),O733*MAX(N733-1,0),SUM(IFERROR(VALUE(TEXTSPLIT(O733,",")),0)))),0)</f>
        <v/>
      </c>
      <c r="S733">
        <f>IFERROR(L733*MAX(N733,1)/R733*IF(ISBLANK(K732),1,K732),0)</f>
        <v/>
      </c>
      <c r="AB733" s="7" t="inlineStr">
        <is>
          <t>^Warhead_MissileAP_Heavy</t>
        </is>
      </c>
    </row>
    <row r="734">
      <c r="B734" s="7" t="inlineStr">
        <is>
          <t xml:space="preserve">  ↳ RaiderGuns</t>
        </is>
      </c>
      <c r="C734" s="7" t="inlineStr">
        <is>
          <t>Armament@Guns</t>
        </is>
      </c>
      <c r="L734" s="6" t="n">
        <v>4000</v>
      </c>
      <c r="M734" s="6" t="n">
        <v>40</v>
      </c>
      <c r="N734" s="6" t="n">
        <v>4</v>
      </c>
      <c r="O734" s="6" t="n">
        <v>2</v>
      </c>
      <c r="P734" s="6" t="n">
        <v>6400</v>
      </c>
      <c r="Q734" s="6" t="n">
        <v>0.875</v>
      </c>
      <c r="R734">
        <f>M734+IF(MAX(N734-1,0)&gt;0,IF(ISBLANK(O734),5*MAX(N734-1,0),IF(ISNUMBER(O734),O734*MAX(N734-1,0),SUM(IFERROR(VALUE(TEXTSPLIT(O734,",")),0)))),0)</f>
        <v/>
      </c>
      <c r="S734">
        <f>IFERROR(L734*MAX(N734,1)/R734*IF(ISBLANK(K732),1,K732),0)</f>
        <v/>
      </c>
      <c r="AB734" s="7" t="inlineStr">
        <is>
          <t>^Warhead_Bullet_Light, ^Warhead_Bullet_Medium</t>
        </is>
      </c>
    </row>
    <row r="735">
      <c r="B735" s="7" t="inlineStr">
        <is>
          <t xml:space="preserve">  ↳ RaiderGuns_upgrade</t>
        </is>
      </c>
      <c r="C735" s="7" t="inlineStr">
        <is>
          <t>Armament@Upgrade</t>
        </is>
      </c>
      <c r="L735" s="6" t="n">
        <v>6000</v>
      </c>
      <c r="M735" s="6" t="n">
        <v>40</v>
      </c>
      <c r="N735" s="6" t="n">
        <v>4</v>
      </c>
      <c r="O735" s="6" t="n">
        <v>2</v>
      </c>
      <c r="P735" s="6" t="n">
        <v>6400</v>
      </c>
      <c r="Q735" s="6" t="n">
        <v>1</v>
      </c>
      <c r="R735">
        <f>M735+IF(MAX(N735-1,0)&gt;0,IF(ISBLANK(O735),5*MAX(N735-1,0),IF(ISNUMBER(O735),O735*MAX(N735-1,0),SUM(IFERROR(VALUE(TEXTSPLIT(O735,",")),0)))),0)</f>
        <v/>
      </c>
      <c r="S735">
        <f>IFERROR(L735*MAX(N735,1)/R735*IF(ISBLANK(K732),1,K732),0)</f>
        <v/>
      </c>
      <c r="AB735" s="7" t="inlineStr">
        <is>
          <t>^Warhead_CannonHE_Heavy, ^Warhead_Bullet_Light, ^Warhead_Bullet_Medium</t>
        </is>
      </c>
    </row>
    <row r="736">
      <c r="A736" t="inlineStr">
        <is>
          <t>d2k</t>
        </is>
      </c>
      <c r="B736" t="inlineStr">
        <is>
          <t>ixian_mobileconstructionvehicle</t>
        </is>
      </c>
      <c r="C736" t="inlineStr">
        <is>
          <t>Ixian Mobile Construction Vehicle</t>
        </is>
      </c>
      <c r="D736" s="6" t="inlineStr">
        <is>
          <t>SupportVehicle</t>
        </is>
      </c>
      <c r="E736" s="6" t="n">
        <v>300000</v>
      </c>
      <c r="F736" s="6" t="n">
        <v>75</v>
      </c>
      <c r="G736" t="inlineStr">
        <is>
          <t>Medium</t>
        </is>
      </c>
      <c r="H736" s="6" t="n">
        <v>0.8048999999999999</v>
      </c>
      <c r="I736" s="6" t="n">
        <v>1</v>
      </c>
      <c r="J736" s="6" t="n">
        <v>1</v>
      </c>
      <c r="X736" s="6" t="n">
        <v>5000</v>
      </c>
    </row>
    <row r="737">
      <c r="A737" t="inlineStr">
        <is>
          <t>d2k</t>
        </is>
      </c>
      <c r="B737" t="inlineStr">
        <is>
          <t>rocket_raider.ixian</t>
        </is>
      </c>
      <c r="C737" t="inlineStr">
        <is>
          <t>Ix Raider</t>
        </is>
      </c>
      <c r="D737" s="6" t="inlineStr">
        <is>
          <t>SupportVehicle</t>
        </is>
      </c>
      <c r="E737" s="6" t="n">
        <v>25000</v>
      </c>
      <c r="F737" s="6" t="n">
        <v>160</v>
      </c>
      <c r="G737" t="inlineStr">
        <is>
          <t>Medium</t>
        </is>
      </c>
      <c r="H737" s="6" t="n">
        <v>1</v>
      </c>
      <c r="I737" s="6" t="n">
        <v>1.25</v>
      </c>
      <c r="J737" s="6" t="n">
        <v>1.25</v>
      </c>
      <c r="P737">
        <f>MAX(P738)</f>
        <v/>
      </c>
      <c r="S737">
        <f>S738</f>
        <v/>
      </c>
      <c r="T737">
        <f>(E737/100000+F737/100+(P737/1000)*J737/5+S737/200)*200*I737*H737</f>
        <v/>
      </c>
      <c r="U737">
        <f>((E737*F737/25000)+((P737/1000)*J737*S737/2.5))*I737*H737</f>
        <v/>
      </c>
      <c r="V737">
        <f>(E737*F737*(P737/1000)*J737*S737*I737*H737)/12500000</f>
        <v/>
      </c>
      <c r="W737">
        <f>(T737+U737+V737)/3</f>
        <v/>
      </c>
      <c r="X737" s="6" t="n">
        <v>1200</v>
      </c>
      <c r="Y737">
        <f>IFERROR(W737-X737,"")</f>
        <v/>
      </c>
      <c r="Z737">
        <f>IFERROR(ABS(Y737)/MAX(X737,1),"")</f>
        <v/>
      </c>
      <c r="AA737">
        <f>IFERROR((X737-(((E737/100000+F737/100+S737/200)*200*I737*H737)+((E737*F737/25000)*I737*H737))/3)/(((J737/5)*200*I737*H737)+((J737*S737/2.5)*I737*H737)+((E737*F737*J737*S737*I737*H737)/12500000))/3*1000,"")</f>
        <v/>
      </c>
    </row>
    <row r="738">
      <c r="B738" s="7" t="inlineStr">
        <is>
          <t xml:space="preserve">  ↳ D2K_Bazooka2</t>
        </is>
      </c>
      <c r="C738" s="7" t="inlineStr">
        <is>
          <t>Armament@damage</t>
        </is>
      </c>
      <c r="L738" s="6" t="n">
        <v>6000</v>
      </c>
      <c r="M738" s="6" t="n">
        <v>5</v>
      </c>
      <c r="N738" s="6" t="n">
        <v>1</v>
      </c>
      <c r="O738" s="6" t="n"/>
      <c r="P738" s="6" t="n">
        <v>6400</v>
      </c>
      <c r="Q738" s="6" t="n">
        <v>1.25</v>
      </c>
      <c r="R738">
        <f>M738+IF(MAX(N738-1,0)&gt;0,IF(ISBLANK(O738),5*MAX(N738-1,0),IF(ISNUMBER(O738),O738*MAX(N738-1,0),SUM(IFERROR(VALUE(TEXTSPLIT(O738,",")),0)))),0)</f>
        <v/>
      </c>
      <c r="S738">
        <f>IFERROR(L738*MAX(N738,1)/R738*IF(ISBLANK(K737),1,K737),0)</f>
        <v/>
      </c>
      <c r="AB738" s="7" t="inlineStr">
        <is>
          <t>^Warhead_MissileAP_Heavy</t>
        </is>
      </c>
    </row>
    <row r="739">
      <c r="A739" t="inlineStr">
        <is>
          <t>d2k</t>
        </is>
      </c>
      <c r="B739" t="inlineStr">
        <is>
          <t>atreides_mobileconstructionvehicle</t>
        </is>
      </c>
      <c r="C739" t="inlineStr">
        <is>
          <t>Atreides Mobile Construction Vehicle</t>
        </is>
      </c>
      <c r="D739" s="6" t="inlineStr">
        <is>
          <t>SupportVehicle</t>
        </is>
      </c>
      <c r="E739" s="6" t="n">
        <v>300000</v>
      </c>
      <c r="F739" s="6" t="n">
        <v>75</v>
      </c>
      <c r="G739" t="inlineStr">
        <is>
          <t>Medium</t>
        </is>
      </c>
      <c r="H739" s="6" t="n">
        <v>0.8919</v>
      </c>
      <c r="I739" s="6" t="n">
        <v>1</v>
      </c>
      <c r="J739" s="6" t="n">
        <v>1</v>
      </c>
      <c r="X739" s="6" t="n">
        <v>5000</v>
      </c>
    </row>
    <row r="740">
      <c r="A740" t="inlineStr">
        <is>
          <t>d2k</t>
        </is>
      </c>
      <c r="B740" t="inlineStr">
        <is>
          <t>harkonnen_mobileconstructionvehicle</t>
        </is>
      </c>
      <c r="C740" t="inlineStr">
        <is>
          <t>Harkonnen Mobile Construction Vehicle</t>
        </is>
      </c>
      <c r="D740" s="6" t="inlineStr">
        <is>
          <t>SupportVehicle</t>
        </is>
      </c>
      <c r="E740" s="6" t="n">
        <v>300000</v>
      </c>
      <c r="F740" s="6" t="n">
        <v>75</v>
      </c>
      <c r="G740" t="inlineStr">
        <is>
          <t>Medium</t>
        </is>
      </c>
      <c r="H740" s="6" t="n">
        <v>0.8048999999999999</v>
      </c>
      <c r="I740" s="6" t="n">
        <v>1</v>
      </c>
      <c r="J740" s="6" t="n">
        <v>1</v>
      </c>
      <c r="X740" s="6" t="n">
        <v>5000</v>
      </c>
    </row>
    <row r="741">
      <c r="A741" t="inlineStr">
        <is>
          <t>starcraft</t>
        </is>
      </c>
      <c r="B741" t="inlineStr">
        <is>
          <t>protoss_analogue</t>
        </is>
      </c>
      <c r="C741" t="inlineStr">
        <is>
          <t>Analogue</t>
        </is>
      </c>
      <c r="D741" s="6" t="inlineStr">
        <is>
          <t>SupportVehicle</t>
        </is>
      </c>
      <c r="E741" s="6" t="n">
        <v>60000</v>
      </c>
      <c r="F741" s="6" t="n">
        <v>60</v>
      </c>
      <c r="G741" t="inlineStr">
        <is>
          <t>Light</t>
        </is>
      </c>
      <c r="H741" s="6" t="n">
        <v>1</v>
      </c>
      <c r="I741" s="6" t="n">
        <v>1</v>
      </c>
      <c r="J741" s="6" t="n">
        <v>1</v>
      </c>
      <c r="P741">
        <f>MAX(P742,P743)</f>
        <v/>
      </c>
      <c r="S741">
        <f>S742+S743</f>
        <v/>
      </c>
      <c r="T741">
        <f>(E741/100000+F741/100+(P741/1000)*J741/5+S741/200)*200*I741*H741</f>
        <v/>
      </c>
      <c r="U741">
        <f>((E741*F741/25000)+((P741/1000)*J741*S741/2.5))*I741*H741</f>
        <v/>
      </c>
      <c r="V741">
        <f>(E741*F741*(P741/1000)*J741*S741*I741*H741)/12500000</f>
        <v/>
      </c>
      <c r="W741">
        <f>(T741+U741+V741)/3</f>
        <v/>
      </c>
      <c r="X741" s="6" t="n">
        <v>1200</v>
      </c>
      <c r="Y741">
        <f>IFERROR(W741-X741,"")</f>
        <v/>
      </c>
      <c r="Z741">
        <f>IFERROR(ABS(Y741)/MAX(X741,1),"")</f>
        <v/>
      </c>
      <c r="AA741">
        <f>IFERROR((X741-(((E741/100000+F741/100+S741/200)*200*I741*H741)+((E741*F741/25000)*I741*H741))/3)/(((J741/5)*200*I741*H741)+((J741*S741/2.5)*I741*H741)+((E741*F741*J741*S741*I741*H741)/12500000))/3*1000,"")</f>
        <v/>
      </c>
    </row>
    <row r="742">
      <c r="B742" s="7" t="inlineStr">
        <is>
          <t xml:space="preserve">  ↳ SCVAttack</t>
        </is>
      </c>
      <c r="C742" s="7" t="inlineStr">
        <is>
          <t>Armament</t>
        </is>
      </c>
      <c r="L742" s="6" t="n">
        <v>10000</v>
      </c>
      <c r="M742" s="6" t="n">
        <v>25</v>
      </c>
      <c r="N742" s="6" t="n">
        <v>1</v>
      </c>
      <c r="O742" s="6" t="n"/>
      <c r="P742" s="6" t="n">
        <v>1500</v>
      </c>
      <c r="Q742" s="6" t="n">
        <v>1</v>
      </c>
      <c r="R742">
        <f>M742+IF(MAX(N742-1,0)&gt;0,IF(ISBLANK(O742),5*MAX(N742-1,0),IF(ISNUMBER(O742),O742*MAX(N742-1,0),SUM(IFERROR(VALUE(TEXTSPLIT(O742,",")),0)))),0)</f>
        <v/>
      </c>
      <c r="S742">
        <f>IFERROR(L742*MAX(N742,1)/R742*IF(ISBLANK(K741),1,K741),0)</f>
        <v/>
      </c>
      <c r="AB742" s="7" t="inlineStr">
        <is>
          <t>^Warhead_Melee_Medium</t>
        </is>
      </c>
    </row>
    <row r="743">
      <c r="B743" s="7" t="inlineStr">
        <is>
          <t xml:space="preserve">  ↳ SCVRepair</t>
        </is>
      </c>
      <c r="C743" s="7" t="inlineStr">
        <is>
          <t>Armament@repair</t>
        </is>
      </c>
      <c r="L743" s="6" t="n">
        <v>-3000</v>
      </c>
      <c r="M743" s="6" t="n">
        <v>5</v>
      </c>
      <c r="N743" s="6" t="n">
        <v>10</v>
      </c>
      <c r="O743" s="6" t="n">
        <v>1</v>
      </c>
      <c r="P743" s="6" t="n">
        <v>2000</v>
      </c>
      <c r="Q743" s="6" t="n">
        <v>1</v>
      </c>
      <c r="R743">
        <f>M743+IF(MAX(N743-1,0)&gt;0,IF(ISBLANK(O743),5*MAX(N743-1,0),IF(ISNUMBER(O743),O743*MAX(N743-1,0),SUM(IFERROR(VALUE(TEXTSPLIT(O743,",")),0)))),0)</f>
        <v/>
      </c>
      <c r="S743">
        <f>IFERROR(L743*MAX(N743,1)/R743*IF(ISBLANK(K741),1,K741),0)</f>
        <v/>
      </c>
      <c r="AB743" s="7" t="inlineStr">
        <is>
          <t>^RepairWeapon</t>
        </is>
      </c>
    </row>
    <row r="744">
      <c r="A744" t="inlineStr">
        <is>
          <t>starcraft</t>
        </is>
      </c>
      <c r="B744" t="inlineStr">
        <is>
          <t>protoss_manifold</t>
        </is>
      </c>
      <c r="C744" t="inlineStr">
        <is>
          <t>Manifold</t>
        </is>
      </c>
      <c r="D744" s="6" t="inlineStr">
        <is>
          <t>SupportVehicle</t>
        </is>
      </c>
      <c r="E744" s="6" t="n">
        <v>25000</v>
      </c>
      <c r="F744" s="6" t="n">
        <v>75</v>
      </c>
      <c r="G744" t="inlineStr">
        <is>
          <t>Light</t>
        </is>
      </c>
      <c r="H744" s="6" t="n">
        <v>1</v>
      </c>
      <c r="I744" s="6" t="n">
        <v>1</v>
      </c>
      <c r="J744" s="6" t="n">
        <v>1.25</v>
      </c>
      <c r="P744">
        <f>MAX(P745,P746)</f>
        <v/>
      </c>
      <c r="S744">
        <f>S745+S746</f>
        <v/>
      </c>
      <c r="T744">
        <f>(E744/100000+F744/100+(P744/1000)*J744/5+S744/200)*200*I744*H744</f>
        <v/>
      </c>
      <c r="U744">
        <f>((E744*F744/25000)+((P744/1000)*J744*S744/2.5))*I744*H744</f>
        <v/>
      </c>
      <c r="V744">
        <f>(E744*F744*(P744/1000)*J744*S744*I744*H744)/12500000</f>
        <v/>
      </c>
      <c r="W744">
        <f>(T744+U744+V744)/3</f>
        <v/>
      </c>
      <c r="X744" s="6" t="n">
        <v>600</v>
      </c>
      <c r="Y744">
        <f>IFERROR(W744-X744,"")</f>
        <v/>
      </c>
      <c r="Z744">
        <f>IFERROR(ABS(Y744)/MAX(X744,1),"")</f>
        <v/>
      </c>
      <c r="AA744">
        <f>IFERROR((X744-(((E744/100000+F744/100+S744/200)*200*I744*H744)+((E744*F744/25000)*I744*H744))/3)/(((J744/5)*200*I744*H744)+((J744*S744/2.5)*I744*H744)+((E744*F744*J744*S744*I744*H744)/12500000))/3*1000,"")</f>
        <v/>
      </c>
    </row>
    <row r="745">
      <c r="B745" s="7" t="inlineStr">
        <is>
          <t xml:space="preserve">  ↳ ManifoldMG</t>
        </is>
      </c>
      <c r="C745" s="7" t="inlineStr">
        <is>
          <t>Armament</t>
        </is>
      </c>
      <c r="L745" s="6" t="n">
        <v>6000</v>
      </c>
      <c r="M745" s="6" t="n">
        <v>20</v>
      </c>
      <c r="N745" s="6" t="n">
        <v>1</v>
      </c>
      <c r="O745" s="6" t="n"/>
      <c r="P745" s="6" t="n">
        <v>4780</v>
      </c>
      <c r="Q745" s="6" t="n">
        <v>1</v>
      </c>
      <c r="R745">
        <f>M745+IF(MAX(N745-1,0)&gt;0,IF(ISBLANK(O745),5*MAX(N745-1,0),IF(ISNUMBER(O745),O745*MAX(N745-1,0),SUM(IFERROR(VALUE(TEXTSPLIT(O745,",")),0)))),0)</f>
        <v/>
      </c>
      <c r="S745">
        <f>IFERROR(L745*MAX(N745,1)/R745*IF(ISBLANK(K744),1,K744),0)</f>
        <v/>
      </c>
      <c r="AB745" s="7" t="inlineStr">
        <is>
          <t>^Warhead_Concussion_Light, ^Warhead_CannonHE_Heavy, ^Warhead_Bullet_Medium</t>
        </is>
      </c>
    </row>
    <row r="746">
      <c r="B746" s="7" t="inlineStr">
        <is>
          <t xml:space="preserve">  ↳ ManifoldMG_AA</t>
        </is>
      </c>
      <c r="C746" s="7" t="inlineStr">
        <is>
          <t>Armament@AA</t>
        </is>
      </c>
      <c r="L746" s="6" t="n">
        <v>6000</v>
      </c>
      <c r="M746" s="6" t="n">
        <v>20</v>
      </c>
      <c r="N746" s="6" t="n">
        <v>1</v>
      </c>
      <c r="O746" s="6" t="n"/>
      <c r="P746" s="6" t="n">
        <v>7170</v>
      </c>
      <c r="Q746" s="6" t="n">
        <v>1</v>
      </c>
      <c r="R746">
        <f>M746+IF(MAX(N746-1,0)&gt;0,IF(ISBLANK(O746),5*MAX(N746-1,0),IF(ISNUMBER(O746),O746*MAX(N746-1,0),SUM(IFERROR(VALUE(TEXTSPLIT(O746,",")),0)))),0)</f>
        <v/>
      </c>
      <c r="S746">
        <f>IFERROR(L746*MAX(N746,1)/R746*IF(ISBLANK(K744),1,K744),0)</f>
        <v/>
      </c>
      <c r="AB746" s="7" t="inlineStr">
        <is>
          <t>^Warhead_Concussion_Light, ^Warhead_CannonHE_Heavy, ^Warhead_Bullet_Medium</t>
        </is>
      </c>
    </row>
    <row r="747">
      <c r="A747" t="inlineStr">
        <is>
          <t>starcraft</t>
        </is>
      </c>
      <c r="B747" t="inlineStr">
        <is>
          <t>protoss_mobilenexus</t>
        </is>
      </c>
      <c r="C747" t="inlineStr">
        <is>
          <t>Protoss Mobile Nexus</t>
        </is>
      </c>
      <c r="D747" s="6" t="inlineStr">
        <is>
          <t>SupportVehicle</t>
        </is>
      </c>
      <c r="E747" s="6" t="n">
        <v>300000</v>
      </c>
      <c r="F747" s="6" t="n">
        <v>75</v>
      </c>
      <c r="G747" t="inlineStr">
        <is>
          <t>Medium</t>
        </is>
      </c>
      <c r="H747" s="6" t="n">
        <v>1</v>
      </c>
      <c r="I747" s="6" t="n">
        <v>1</v>
      </c>
      <c r="J747" s="6" t="n">
        <v>1</v>
      </c>
      <c r="X747" s="6" t="n">
        <v>5000</v>
      </c>
    </row>
    <row r="748">
      <c r="A748" t="inlineStr">
        <is>
          <t>starcraft</t>
        </is>
      </c>
      <c r="B748" t="inlineStr">
        <is>
          <t>zerg_hatcherydrone</t>
        </is>
      </c>
      <c r="C748" t="inlineStr">
        <is>
          <t>Zerg Hatchery Drone</t>
        </is>
      </c>
      <c r="D748" s="6" t="inlineStr">
        <is>
          <t>SupportVehicle</t>
        </is>
      </c>
      <c r="E748" s="6" t="n">
        <v>300000</v>
      </c>
      <c r="F748" s="6" t="n">
        <v>75</v>
      </c>
      <c r="G748" t="inlineStr">
        <is>
          <t>Medium</t>
        </is>
      </c>
      <c r="H748" s="6" t="n">
        <v>1</v>
      </c>
      <c r="I748" s="6" t="n">
        <v>1</v>
      </c>
      <c r="J748" s="6" t="n">
        <v>1</v>
      </c>
      <c r="X748" s="6" t="n">
        <v>5000</v>
      </c>
    </row>
    <row r="749">
      <c r="A749" t="inlineStr">
        <is>
          <t>starcraft</t>
        </is>
      </c>
      <c r="B749" t="inlineStr">
        <is>
          <t>terran_mobilecommandcenter</t>
        </is>
      </c>
      <c r="C749" t="inlineStr">
        <is>
          <t>Terran Mobile Command Center</t>
        </is>
      </c>
      <c r="D749" s="6" t="inlineStr">
        <is>
          <t>SupportVehicle</t>
        </is>
      </c>
      <c r="E749" s="6" t="n">
        <v>300000</v>
      </c>
      <c r="F749" s="6" t="n">
        <v>75</v>
      </c>
      <c r="G749" t="inlineStr">
        <is>
          <t>Medium</t>
        </is>
      </c>
      <c r="H749" s="6" t="n">
        <v>1</v>
      </c>
      <c r="I749" s="6" t="n">
        <v>1</v>
      </c>
      <c r="J749" s="6" t="n">
        <v>1</v>
      </c>
      <c r="X749" s="6" t="n">
        <v>5000</v>
      </c>
    </row>
    <row r="750">
      <c r="A750" t="inlineStr">
        <is>
          <t>warcraft2</t>
        </is>
      </c>
      <c r="B750" t="inlineStr">
        <is>
          <t>wc2_orcs_mobileconstructionvehicleorc</t>
        </is>
      </c>
      <c r="C750" t="inlineStr">
        <is>
          <t>Mobile Construction Vehicle (Orc)</t>
        </is>
      </c>
      <c r="D750" s="6" t="inlineStr">
        <is>
          <t>SupportVehicle</t>
        </is>
      </c>
      <c r="E750" s="6" t="n">
        <v>300000</v>
      </c>
      <c r="F750" s="6" t="n">
        <v>75</v>
      </c>
      <c r="G750" t="inlineStr">
        <is>
          <t>Plate</t>
        </is>
      </c>
      <c r="H750" s="6" t="n">
        <v>1</v>
      </c>
      <c r="I750" s="6" t="n">
        <v>1</v>
      </c>
      <c r="J750" s="6" t="n">
        <v>1</v>
      </c>
      <c r="X750" s="6" t="n">
        <v>5000</v>
      </c>
    </row>
    <row r="751">
      <c r="A751" t="inlineStr">
        <is>
          <t>warcraft2</t>
        </is>
      </c>
      <c r="B751" t="inlineStr">
        <is>
          <t>wc2_humans_mobileconstructionvehiclehuman</t>
        </is>
      </c>
      <c r="C751" t="inlineStr">
        <is>
          <t>Mobile Construction Vehicle (Human)</t>
        </is>
      </c>
      <c r="D751" s="6" t="inlineStr">
        <is>
          <t>SupportVehicle</t>
        </is>
      </c>
      <c r="E751" s="6" t="n">
        <v>300000</v>
      </c>
      <c r="F751" s="6" t="n">
        <v>75</v>
      </c>
      <c r="G751" t="inlineStr">
        <is>
          <t>Plate</t>
        </is>
      </c>
      <c r="H751" s="6" t="n">
        <v>0.9762999999999999</v>
      </c>
      <c r="I751" s="6" t="n">
        <v>1</v>
      </c>
      <c r="J751" s="6" t="n">
        <v>1</v>
      </c>
      <c r="X751" s="6" t="n">
        <v>5000</v>
      </c>
    </row>
    <row r="752">
      <c r="A752" s="4" t="inlineStr">
        <is>
          <t>Harvester</t>
        </is>
      </c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  <c r="AB752" s="5" t="n"/>
    </row>
    <row r="753">
      <c r="A753" t="inlineStr">
        <is>
          <t>tiberiandawn</t>
        </is>
      </c>
      <c r="B753" t="inlineStr">
        <is>
          <t>td_gdi_tiberiumharvester</t>
        </is>
      </c>
      <c r="C753" t="inlineStr">
        <is>
          <t>GDI Tiberium Harvester</t>
        </is>
      </c>
      <c r="D753" s="6" t="inlineStr">
        <is>
          <t>Harvester</t>
        </is>
      </c>
      <c r="E753" s="6" t="n">
        <v>150000</v>
      </c>
      <c r="F753" s="6" t="n">
        <v>60</v>
      </c>
      <c r="G753" t="inlineStr">
        <is>
          <t>Heavy</t>
        </is>
      </c>
      <c r="H753" s="6" t="n">
        <v>0.8919</v>
      </c>
      <c r="I753" s="6" t="n">
        <v>1</v>
      </c>
      <c r="J753" s="6" t="n">
        <v>1</v>
      </c>
      <c r="X753" s="6" t="n">
        <v>1000</v>
      </c>
    </row>
    <row r="754">
      <c r="A754" t="inlineStr">
        <is>
          <t>tiberiandawn</t>
        </is>
      </c>
      <c r="B754" t="inlineStr">
        <is>
          <t>td_nod_stealthharvester</t>
        </is>
      </c>
      <c r="C754" t="inlineStr">
        <is>
          <t>Stealth Harvester</t>
        </is>
      </c>
      <c r="D754" s="6" t="inlineStr">
        <is>
          <t>Harvester</t>
        </is>
      </c>
      <c r="E754" s="6" t="n">
        <v>125000</v>
      </c>
      <c r="F754" s="6" t="n">
        <v>75</v>
      </c>
      <c r="G754" t="inlineStr">
        <is>
          <t>Heavy</t>
        </is>
      </c>
      <c r="H754" s="6" t="n">
        <v>0.9429</v>
      </c>
      <c r="I754" s="6" t="n">
        <v>1</v>
      </c>
      <c r="J754" s="6" t="n">
        <v>1</v>
      </c>
      <c r="X754" s="6" t="n">
        <v>1000</v>
      </c>
    </row>
    <row r="755">
      <c r="A755" t="inlineStr">
        <is>
          <t>tiberiandawn</t>
        </is>
      </c>
      <c r="B755" t="inlineStr">
        <is>
          <t>td_nod_tiberiumharvester</t>
        </is>
      </c>
      <c r="C755" t="inlineStr">
        <is>
          <t>Nod Tiberium Harvester</t>
        </is>
      </c>
      <c r="D755" s="6" t="inlineStr">
        <is>
          <t>Harvester</t>
        </is>
      </c>
      <c r="E755" s="6" t="n">
        <v>150000</v>
      </c>
      <c r="F755" s="6" t="n">
        <v>60</v>
      </c>
      <c r="G755" t="inlineStr">
        <is>
          <t>Heavy</t>
        </is>
      </c>
      <c r="H755" s="6" t="n">
        <v>0.9429</v>
      </c>
      <c r="I755" s="6" t="n">
        <v>1</v>
      </c>
      <c r="J755" s="6" t="n">
        <v>1</v>
      </c>
      <c r="X755" s="6" t="n">
        <v>1000</v>
      </c>
    </row>
    <row r="756">
      <c r="A756" t="inlineStr">
        <is>
          <t>redalert</t>
        </is>
      </c>
      <c r="B756" t="inlineStr">
        <is>
          <t>japan_japaneseoretruck</t>
        </is>
      </c>
      <c r="C756" t="inlineStr">
        <is>
          <t>Japanese Ore Truck</t>
        </is>
      </c>
      <c r="D756" s="6" t="inlineStr">
        <is>
          <t>Harvester</t>
        </is>
      </c>
      <c r="E756" s="6" t="n">
        <v>75000</v>
      </c>
      <c r="F756" s="6" t="n">
        <v>120</v>
      </c>
      <c r="G756" t="inlineStr">
        <is>
          <t>Light</t>
        </is>
      </c>
      <c r="H756" s="6" t="n">
        <v>1</v>
      </c>
      <c r="I756" s="6" t="n">
        <v>1</v>
      </c>
      <c r="J756" s="6" t="n">
        <v>1</v>
      </c>
      <c r="X756" s="6" t="n">
        <v>1000</v>
      </c>
    </row>
    <row r="757">
      <c r="A757" t="inlineStr">
        <is>
          <t>redalert</t>
        </is>
      </c>
      <c r="B757" t="inlineStr">
        <is>
          <t>ra1_soviets_heavyindustrialminer</t>
        </is>
      </c>
      <c r="C757" t="inlineStr">
        <is>
          <t>Soviet Heavy Industrial Miner</t>
        </is>
      </c>
      <c r="D757" s="6" t="inlineStr">
        <is>
          <t>Harvester</t>
        </is>
      </c>
      <c r="E757" s="6" t="n">
        <v>135000</v>
      </c>
      <c r="F757" s="6" t="n">
        <v>80</v>
      </c>
      <c r="G757" t="inlineStr">
        <is>
          <t>Medium</t>
        </is>
      </c>
      <c r="H757" s="6" t="n">
        <v>0.8919</v>
      </c>
      <c r="I757" s="6" t="n">
        <v>1</v>
      </c>
      <c r="J757" s="6" t="n">
        <v>1</v>
      </c>
      <c r="X757" s="6" t="n">
        <v>1200</v>
      </c>
    </row>
    <row r="758">
      <c r="A758" t="inlineStr">
        <is>
          <t>redalert</t>
        </is>
      </c>
      <c r="B758" t="inlineStr">
        <is>
          <t>ra1_soviets_oretruck</t>
        </is>
      </c>
      <c r="C758" t="inlineStr">
        <is>
          <t>Soviet Ore Truck</t>
        </is>
      </c>
      <c r="D758" s="6" t="inlineStr">
        <is>
          <t>Harvester</t>
        </is>
      </c>
      <c r="E758" s="6" t="n">
        <v>100000</v>
      </c>
      <c r="F758" s="6" t="n">
        <v>90</v>
      </c>
      <c r="G758" t="inlineStr">
        <is>
          <t>Medium</t>
        </is>
      </c>
      <c r="H758" s="6" t="n">
        <v>1</v>
      </c>
      <c r="I758" s="6" t="n">
        <v>1</v>
      </c>
      <c r="J758" s="6" t="n">
        <v>1</v>
      </c>
      <c r="X758" s="6" t="n">
        <v>1000</v>
      </c>
    </row>
    <row r="759">
      <c r="A759" t="inlineStr">
        <is>
          <t>redalert</t>
        </is>
      </c>
      <c r="B759" t="inlineStr">
        <is>
          <t>ra1_allies_alliedoretruck</t>
        </is>
      </c>
      <c r="C759" t="inlineStr">
        <is>
          <t>Allied Ore Truck</t>
        </is>
      </c>
      <c r="D759" s="6" t="inlineStr">
        <is>
          <t>Harvester</t>
        </is>
      </c>
      <c r="E759" s="6" t="n">
        <v>100000</v>
      </c>
      <c r="F759" s="6" t="n">
        <v>90</v>
      </c>
      <c r="G759" t="inlineStr">
        <is>
          <t>Medium</t>
        </is>
      </c>
      <c r="H759" s="6" t="n">
        <v>1</v>
      </c>
      <c r="I759" s="6" t="n">
        <v>1</v>
      </c>
      <c r="J759" s="6" t="n">
        <v>1</v>
      </c>
      <c r="X759" s="6" t="n">
        <v>1000</v>
      </c>
    </row>
    <row r="760">
      <c r="A760" t="inlineStr">
        <is>
          <t>tiberiansun</t>
        </is>
      </c>
      <c r="B760" t="inlineStr">
        <is>
          <t>cabal_tiberiumharvester</t>
        </is>
      </c>
      <c r="C760" t="inlineStr">
        <is>
          <t>Tiberium Harvester</t>
        </is>
      </c>
      <c r="D760" s="6" t="inlineStr">
        <is>
          <t>Harvester</t>
        </is>
      </c>
      <c r="E760" s="6" t="n">
        <v>150000</v>
      </c>
      <c r="F760" s="6" t="n">
        <v>60</v>
      </c>
      <c r="G760" t="inlineStr">
        <is>
          <t>Heavy</t>
        </is>
      </c>
      <c r="H760" s="6" t="n">
        <v>1</v>
      </c>
      <c r="I760" s="6" t="n">
        <v>1</v>
      </c>
      <c r="J760" s="6" t="n">
        <v>1</v>
      </c>
      <c r="X760" s="6" t="n">
        <v>1000</v>
      </c>
    </row>
    <row r="761">
      <c r="A761" t="inlineStr">
        <is>
          <t>tiberiansun</t>
        </is>
      </c>
      <c r="B761" t="inlineStr">
        <is>
          <t>ts_nod_tiberiumharvester</t>
        </is>
      </c>
      <c r="C761" t="inlineStr">
        <is>
          <t>Tiberium Harvester</t>
        </is>
      </c>
      <c r="D761" s="6" t="inlineStr">
        <is>
          <t>Harvester</t>
        </is>
      </c>
      <c r="E761" s="6" t="n">
        <v>150000</v>
      </c>
      <c r="F761" s="6" t="n">
        <v>60</v>
      </c>
      <c r="G761" t="inlineStr">
        <is>
          <t>Heavy</t>
        </is>
      </c>
      <c r="H761" s="6" t="n">
        <v>1</v>
      </c>
      <c r="I761" s="6" t="n">
        <v>1</v>
      </c>
      <c r="J761" s="6" t="n">
        <v>1</v>
      </c>
      <c r="X761" s="6" t="n">
        <v>1000</v>
      </c>
    </row>
    <row r="762">
      <c r="A762" t="inlineStr">
        <is>
          <t>tiberiansun</t>
        </is>
      </c>
      <c r="B762" t="inlineStr">
        <is>
          <t>ts_gdi_tiberiumharvester</t>
        </is>
      </c>
      <c r="C762" t="inlineStr">
        <is>
          <t>Tiberium Harvester</t>
        </is>
      </c>
      <c r="D762" s="6" t="inlineStr">
        <is>
          <t>Harvester</t>
        </is>
      </c>
      <c r="E762" s="6" t="n">
        <v>150000</v>
      </c>
      <c r="F762" s="6" t="n">
        <v>60</v>
      </c>
      <c r="G762" t="inlineStr">
        <is>
          <t>Heavy</t>
        </is>
      </c>
      <c r="H762" s="6" t="n">
        <v>1</v>
      </c>
      <c r="I762" s="6" t="n">
        <v>1</v>
      </c>
      <c r="J762" s="6" t="n">
        <v>1</v>
      </c>
      <c r="X762" s="6" t="n">
        <v>1000</v>
      </c>
    </row>
    <row r="763">
      <c r="A763" t="inlineStr">
        <is>
          <t>tiberiansun</t>
        </is>
      </c>
      <c r="B763" t="inlineStr">
        <is>
          <t>forgotten_tiberiumharvester</t>
        </is>
      </c>
      <c r="C763" t="inlineStr">
        <is>
          <t>actor_forgotten_tiberiumharvester.name</t>
        </is>
      </c>
      <c r="D763" s="6" t="inlineStr">
        <is>
          <t>Harvester</t>
        </is>
      </c>
      <c r="E763" s="6" t="n">
        <v>150000</v>
      </c>
      <c r="F763" s="6" t="n">
        <v>60</v>
      </c>
      <c r="G763" t="inlineStr">
        <is>
          <t>Heavy</t>
        </is>
      </c>
      <c r="H763" s="6" t="n">
        <v>1</v>
      </c>
      <c r="I763" s="6" t="n">
        <v>1</v>
      </c>
      <c r="J763" s="6" t="n">
        <v>1</v>
      </c>
      <c r="X763" s="6" t="n">
        <v>1000</v>
      </c>
    </row>
    <row r="764">
      <c r="A764" t="inlineStr">
        <is>
          <t>redalert2</t>
        </is>
      </c>
      <c r="B764" t="inlineStr">
        <is>
          <t>ra2_allies_chronominer</t>
        </is>
      </c>
      <c r="C764" t="inlineStr">
        <is>
          <t>Chrono Miner</t>
        </is>
      </c>
      <c r="D764" s="6" t="inlineStr">
        <is>
          <t>Harvester</t>
        </is>
      </c>
      <c r="E764" s="6" t="n">
        <v>100000</v>
      </c>
      <c r="F764" s="6" t="n">
        <v>100</v>
      </c>
      <c r="G764" t="inlineStr">
        <is>
          <t>Medium</t>
        </is>
      </c>
      <c r="H764" s="6" t="n">
        <v>1</v>
      </c>
      <c r="I764" s="6" t="n">
        <v>1</v>
      </c>
      <c r="J764" s="6" t="n">
        <v>1</v>
      </c>
      <c r="X764" s="6" t="n">
        <v>1000</v>
      </c>
    </row>
    <row r="765">
      <c r="A765" t="inlineStr">
        <is>
          <t>redalert2</t>
        </is>
      </c>
      <c r="B765" t="inlineStr">
        <is>
          <t>ra2_soviets_warminer</t>
        </is>
      </c>
      <c r="C765" t="inlineStr">
        <is>
          <t>War Miner</t>
        </is>
      </c>
      <c r="D765" s="6" t="inlineStr">
        <is>
          <t>Harvester</t>
        </is>
      </c>
      <c r="E765" s="6" t="n">
        <v>125000</v>
      </c>
      <c r="F765" s="6" t="n">
        <v>75</v>
      </c>
      <c r="G765" t="inlineStr">
        <is>
          <t>Medium</t>
        </is>
      </c>
      <c r="H765" s="6" t="n">
        <v>0.988</v>
      </c>
      <c r="I765" s="6" t="n">
        <v>1</v>
      </c>
      <c r="J765" s="6" t="n">
        <v>1</v>
      </c>
      <c r="P765">
        <f>MAX(P766)</f>
        <v/>
      </c>
      <c r="S765">
        <f>S766</f>
        <v/>
      </c>
      <c r="T765">
        <f>(E765/100000+F765/100+(P765/1000)*J765/5+S765/200)*200*I765*H765</f>
        <v/>
      </c>
      <c r="U765">
        <f>((E765*F765/25000)+((P765/1000)*J765*S765/2.5))*I765*H765</f>
        <v/>
      </c>
      <c r="V765">
        <f>(E765*F765*(P765/1000)*J765*S765*I765*H765)/12500000</f>
        <v/>
      </c>
      <c r="W765">
        <f>(T765+U765+V765)/3</f>
        <v/>
      </c>
      <c r="X765" s="6" t="n">
        <v>1200</v>
      </c>
      <c r="Y765">
        <f>IFERROR(W765-X765,"")</f>
        <v/>
      </c>
      <c r="Z765">
        <f>IFERROR(ABS(Y765)/MAX(X765,1),"")</f>
        <v/>
      </c>
      <c r="AA765">
        <f>IFERROR((X765-(((E765/100000+F765/100+S765/200)*200*I765*H765)+((E765*F765/25000)*I765*H765))/3)/(((J765/5)*200*I765*H765)+((J765*S765/2.5)*I765*H765)+((E765*F765*J765*S765*I765*H765)/12500000))/3*1000,"")</f>
        <v/>
      </c>
    </row>
    <row r="766">
      <c r="B766" s="7" t="inlineStr">
        <is>
          <t xml:space="preserve">  ↳ RA220mmrapid</t>
        </is>
      </c>
      <c r="C766" s="7" t="inlineStr">
        <is>
          <t>Armament@PRIMARY</t>
        </is>
      </c>
      <c r="L766" s="6" t="n">
        <v>8000</v>
      </c>
      <c r="M766" s="6" t="n">
        <v>15</v>
      </c>
      <c r="N766" s="6" t="n">
        <v>1</v>
      </c>
      <c r="O766" s="6" t="n"/>
      <c r="P766" s="6" t="n">
        <v>5000</v>
      </c>
      <c r="Q766" s="6" t="n">
        <v>0.875</v>
      </c>
      <c r="R766">
        <f>M766+IF(MAX(N766-1,0)&gt;0,IF(ISBLANK(O766),5*MAX(N766-1,0),IF(ISNUMBER(O766),O766*MAX(N766-1,0),SUM(IFERROR(VALUE(TEXTSPLIT(O766,",")),0)))),0)</f>
        <v/>
      </c>
      <c r="S766">
        <f>IFERROR(L766*MAX(N766,1)/R766*IF(ISBLANK(K765),1,K765),0)</f>
        <v/>
      </c>
      <c r="AB766" s="7" t="inlineStr">
        <is>
          <t>^Warhead_Bullet_Light, ^Warhead_Bullet_Medium</t>
        </is>
      </c>
    </row>
    <row r="767">
      <c r="A767" t="inlineStr">
        <is>
          <t>redalert2mod</t>
        </is>
      </c>
      <c r="B767" t="inlineStr">
        <is>
          <t>asianalliance_droneminer</t>
        </is>
      </c>
      <c r="C767" t="inlineStr">
        <is>
          <t>Drone Miner</t>
        </is>
      </c>
      <c r="D767" s="6" t="inlineStr">
        <is>
          <t>Harvester</t>
        </is>
      </c>
      <c r="E767" s="6" t="n">
        <v>25000</v>
      </c>
      <c r="F767" s="6" t="n">
        <v>125</v>
      </c>
      <c r="G767" t="inlineStr">
        <is>
          <t>Plate</t>
        </is>
      </c>
      <c r="H767" s="6" t="n">
        <v>1</v>
      </c>
      <c r="I767" s="6" t="n">
        <v>1</v>
      </c>
      <c r="J767" s="6" t="n">
        <v>1</v>
      </c>
      <c r="X767" s="6" t="n">
        <v>250</v>
      </c>
    </row>
    <row r="768">
      <c r="A768" t="inlineStr">
        <is>
          <t>redalert2mod</t>
        </is>
      </c>
      <c r="B768" t="inlineStr">
        <is>
          <t>steelconsortium_consortiumminer</t>
        </is>
      </c>
      <c r="C768" t="inlineStr">
        <is>
          <t>Consortium Miner</t>
        </is>
      </c>
      <c r="D768" s="6" t="inlineStr">
        <is>
          <t>Harvester</t>
        </is>
      </c>
      <c r="E768" s="6" t="n">
        <v>100000</v>
      </c>
      <c r="F768" s="6" t="n">
        <v>100</v>
      </c>
      <c r="G768" t="inlineStr">
        <is>
          <t>Medium</t>
        </is>
      </c>
      <c r="H768" s="6" t="n">
        <v>1</v>
      </c>
      <c r="I768" s="6" t="n">
        <v>1</v>
      </c>
      <c r="J768" s="6" t="n">
        <v>1</v>
      </c>
      <c r="X768" s="6" t="n">
        <v>1000</v>
      </c>
    </row>
    <row r="769">
      <c r="A769" t="inlineStr">
        <is>
          <t>redalert2mod</t>
        </is>
      </c>
      <c r="B769" t="inlineStr">
        <is>
          <t>latinsyndicate_collectiontruck</t>
        </is>
      </c>
      <c r="C769" t="inlineStr">
        <is>
          <t>Collection Truck</t>
        </is>
      </c>
      <c r="D769" s="6" t="inlineStr">
        <is>
          <t>Harvester</t>
        </is>
      </c>
      <c r="E769" s="6" t="n">
        <v>85000</v>
      </c>
      <c r="F769" s="6" t="n">
        <v>115</v>
      </c>
      <c r="G769" t="inlineStr">
        <is>
          <t>Medium</t>
        </is>
      </c>
      <c r="H769" s="6" t="n">
        <v>1</v>
      </c>
      <c r="I769" s="6" t="n">
        <v>1</v>
      </c>
      <c r="J769" s="6" t="n">
        <v>1</v>
      </c>
      <c r="X769" s="6" t="n">
        <v>1000</v>
      </c>
    </row>
    <row r="770">
      <c r="A770" t="inlineStr">
        <is>
          <t>redalert2mod</t>
        </is>
      </c>
      <c r="B770" t="inlineStr">
        <is>
          <t>schwarzermond_noidharvester</t>
        </is>
      </c>
      <c r="C770" t="inlineStr">
        <is>
          <t>Noid Harvester</t>
        </is>
      </c>
      <c r="D770" s="6" t="inlineStr">
        <is>
          <t>Harvester</t>
        </is>
      </c>
      <c r="E770" s="6" t="n">
        <v>75000</v>
      </c>
      <c r="F770" s="6" t="n">
        <v>50</v>
      </c>
      <c r="G770" t="inlineStr">
        <is>
          <t>Plate</t>
        </is>
      </c>
      <c r="H770" s="6" t="n">
        <v>1</v>
      </c>
      <c r="I770" s="6" t="n">
        <v>1</v>
      </c>
      <c r="J770" s="6" t="n">
        <v>1</v>
      </c>
      <c r="P770">
        <f>MAX(P771,P772)</f>
        <v/>
      </c>
      <c r="S770">
        <f>S771+S772</f>
        <v/>
      </c>
      <c r="T770">
        <f>(E770/100000+F770/100+(P770/1000)*J770/5+S770/200)*200*I770*H770</f>
        <v/>
      </c>
      <c r="U770">
        <f>((E770*F770/25000)+((P770/1000)*J770*S770/2.5))*I770*H770</f>
        <v/>
      </c>
      <c r="V770">
        <f>(E770*F770*(P770/1000)*J770*S770*I770*H770)/12500000</f>
        <v/>
      </c>
      <c r="W770">
        <f>(T770+U770+V770)/3</f>
        <v/>
      </c>
      <c r="X770" s="6" t="n">
        <v>500</v>
      </c>
      <c r="Y770">
        <f>IFERROR(W770-X770,"")</f>
        <v/>
      </c>
      <c r="Z770">
        <f>IFERROR(ABS(Y770)/MAX(X770,1),"")</f>
        <v/>
      </c>
      <c r="AA770">
        <f>IFERROR((X770-(((E770/100000+F770/100+S770/200)*200*I770*H770)+((E770*F770/25000)*I770*H770))/3)/(((J770/5)*200*I770*H770)+((J770*S770/2.5)*I770*H770)+((E770*F770*J770*S770*I770*H770)/12500000))/3*1000,"")</f>
        <v/>
      </c>
    </row>
    <row r="771">
      <c r="B771" s="7" t="inlineStr">
        <is>
          <t xml:space="preserve">  ↳ NaxiMP40Laser</t>
        </is>
      </c>
      <c r="C771" s="7" t="inlineStr">
        <is>
          <t>Armament@PRIMARY</t>
        </is>
      </c>
      <c r="L771" s="6" t="n">
        <v>12000</v>
      </c>
      <c r="M771" s="6" t="n">
        <v>100</v>
      </c>
      <c r="N771" s="6" t="n">
        <v>5</v>
      </c>
      <c r="O771" s="6" t="n">
        <v>5</v>
      </c>
      <c r="P771" s="6" t="n">
        <v>4384</v>
      </c>
      <c r="Q771" s="6" t="n">
        <v>1</v>
      </c>
      <c r="R771">
        <f>M771+IF(MAX(N771-1,0)&gt;0,IF(ISBLANK(O771),5*MAX(N771-1,0),IF(ISNUMBER(O771),O771*MAX(N771-1,0),SUM(IFERROR(VALUE(TEXTSPLIT(O771,",")),0)))),0)</f>
        <v/>
      </c>
      <c r="S771">
        <f>IFERROR(L771*MAX(N771,1)/R771*IF(ISBLANK(K770),1,K770),0)</f>
        <v/>
      </c>
      <c r="AB771" s="7" t="inlineStr">
        <is>
          <t>^Warhead_Bullet_Light, ^Warhead_Concussion_Light, ^Warhead_CannonHE_Heavy, ^Warhead_Bullet_Medium, ^Warhead_Laser_Heavy</t>
        </is>
      </c>
    </row>
    <row r="772">
      <c r="B772" s="7" t="inlineStr">
        <is>
          <t xml:space="preserve">  ↳ NaxiMP40Laser_elite</t>
        </is>
      </c>
      <c r="C772" s="7" t="inlineStr">
        <is>
          <t>Armament@ELITE</t>
        </is>
      </c>
      <c r="L772" s="6" t="n">
        <v>12000</v>
      </c>
      <c r="M772" s="6" t="n">
        <v>100</v>
      </c>
      <c r="N772" s="6" t="n">
        <v>10</v>
      </c>
      <c r="O772" s="6" t="n">
        <v>3</v>
      </c>
      <c r="P772" s="6" t="n">
        <v>5384</v>
      </c>
      <c r="Q772" s="6" t="n">
        <v>1</v>
      </c>
      <c r="R772">
        <f>M772+IF(MAX(N772-1,0)&gt;0,IF(ISBLANK(O772),5*MAX(N772-1,0),IF(ISNUMBER(O772),O772*MAX(N772-1,0),SUM(IFERROR(VALUE(TEXTSPLIT(O772,",")),0)))),0)</f>
        <v/>
      </c>
      <c r="S772">
        <f>IFERROR(L772*MAX(N772,1)/R772*IF(ISBLANK(K770),1,K770),0)</f>
        <v/>
      </c>
      <c r="AB772" s="7" t="inlineStr">
        <is>
          <t>^Warhead_Bullet_Light, ^Warhead_Concussion_Light, ^Warhead_CannonHE_Heavy, ^Warhead_Bullet_Medium, ^Warhead_Laser_Heavy</t>
        </is>
      </c>
    </row>
    <row r="773">
      <c r="A773" t="inlineStr">
        <is>
          <t>redalert2mod</t>
        </is>
      </c>
      <c r="B773" t="inlineStr">
        <is>
          <t>futuretech_prospector</t>
        </is>
      </c>
      <c r="C773" t="inlineStr">
        <is>
          <t>Prospector</t>
        </is>
      </c>
      <c r="D773" s="6" t="inlineStr">
        <is>
          <t>Harvester</t>
        </is>
      </c>
      <c r="E773" s="6" t="n">
        <v>100000</v>
      </c>
      <c r="F773" s="6" t="n">
        <v>100</v>
      </c>
      <c r="G773" t="inlineStr">
        <is>
          <t>Medium</t>
        </is>
      </c>
      <c r="H773" s="6" t="n">
        <v>1</v>
      </c>
      <c r="I773" s="6" t="n">
        <v>1</v>
      </c>
      <c r="J773" s="6" t="n">
        <v>1</v>
      </c>
      <c r="X773" s="6" t="n">
        <v>1000</v>
      </c>
    </row>
    <row r="774">
      <c r="A774" t="inlineStr">
        <is>
          <t>redalert2mod</t>
        </is>
      </c>
      <c r="B774" t="inlineStr">
        <is>
          <t>futuretech_prospectormk2</t>
        </is>
      </c>
      <c r="C774" t="inlineStr">
        <is>
          <t>Prospector MK2</t>
        </is>
      </c>
      <c r="D774" s="6" t="inlineStr">
        <is>
          <t>Harvester</t>
        </is>
      </c>
      <c r="E774" s="6" t="n">
        <v>120000</v>
      </c>
      <c r="F774" s="6" t="n">
        <v>120</v>
      </c>
      <c r="G774" t="inlineStr">
        <is>
          <t>Medium</t>
        </is>
      </c>
      <c r="H774" s="6" t="n">
        <v>0.8639</v>
      </c>
      <c r="I774" s="6" t="n">
        <v>1</v>
      </c>
      <c r="J774" s="6" t="n">
        <v>1</v>
      </c>
      <c r="X774" s="6" t="n">
        <v>1200</v>
      </c>
    </row>
    <row r="775">
      <c r="A775" t="inlineStr">
        <is>
          <t>redalert2mod</t>
        </is>
      </c>
      <c r="B775" t="inlineStr">
        <is>
          <t>tkm_templateharvesterraname</t>
        </is>
      </c>
      <c r="C775" t="inlineStr">
        <is>
          <t>template_harvester.raname</t>
        </is>
      </c>
      <c r="D775" s="6" t="inlineStr">
        <is>
          <t>Harvester</t>
        </is>
      </c>
      <c r="E775" s="6" t="n">
        <v>100000</v>
      </c>
      <c r="F775" s="6" t="n">
        <v>90</v>
      </c>
      <c r="G775" t="inlineStr">
        <is>
          <t>Medium</t>
        </is>
      </c>
      <c r="H775" s="6" t="n">
        <v>0.9016</v>
      </c>
      <c r="I775" s="6" t="n">
        <v>1</v>
      </c>
      <c r="J775" s="6" t="n">
        <v>1</v>
      </c>
      <c r="X775" s="6" t="n">
        <v>1000</v>
      </c>
    </row>
    <row r="776">
      <c r="A776" t="inlineStr">
        <is>
          <t>d2k</t>
        </is>
      </c>
      <c r="B776" t="inlineStr">
        <is>
          <t>ordos_spiceharvester</t>
        </is>
      </c>
      <c r="C776" t="inlineStr">
        <is>
          <t>Ordos Spice Harvester</t>
        </is>
      </c>
      <c r="D776" s="6" t="inlineStr">
        <is>
          <t>Harvester</t>
        </is>
      </c>
      <c r="E776" s="6" t="n">
        <v>200000</v>
      </c>
      <c r="F776" s="6" t="n">
        <v>45</v>
      </c>
      <c r="G776" t="inlineStr">
        <is>
          <t>Heavy</t>
        </is>
      </c>
      <c r="H776" s="6" t="n">
        <v>0.8919</v>
      </c>
      <c r="I776" s="6" t="n">
        <v>1</v>
      </c>
      <c r="J776" s="6" t="n">
        <v>1</v>
      </c>
      <c r="X776" s="6" t="n">
        <v>500</v>
      </c>
    </row>
    <row r="777">
      <c r="A777" t="inlineStr">
        <is>
          <t>d2k</t>
        </is>
      </c>
      <c r="B777" t="inlineStr">
        <is>
          <t>ixian_spiceharvester</t>
        </is>
      </c>
      <c r="C777" t="inlineStr">
        <is>
          <t>Ixian Spice Harvester</t>
        </is>
      </c>
      <c r="D777" s="6" t="inlineStr">
        <is>
          <t>Harvester</t>
        </is>
      </c>
      <c r="E777" s="6" t="n">
        <v>200000</v>
      </c>
      <c r="F777" s="6" t="n">
        <v>45</v>
      </c>
      <c r="G777" t="inlineStr">
        <is>
          <t>Heavy</t>
        </is>
      </c>
      <c r="H777" s="6" t="n">
        <v>0.8919</v>
      </c>
      <c r="I777" s="6" t="n">
        <v>1</v>
      </c>
      <c r="J777" s="6" t="n">
        <v>1</v>
      </c>
      <c r="X777" s="6" t="n">
        <v>500</v>
      </c>
    </row>
    <row r="778">
      <c r="A778" t="inlineStr">
        <is>
          <t>starcraft</t>
        </is>
      </c>
      <c r="B778" t="inlineStr">
        <is>
          <t>protoss_probe</t>
        </is>
      </c>
      <c r="C778" t="inlineStr">
        <is>
          <t>Protoss Probe</t>
        </is>
      </c>
      <c r="D778" s="6" t="inlineStr">
        <is>
          <t>Harvester</t>
        </is>
      </c>
      <c r="E778" s="6" t="n">
        <v>45000</v>
      </c>
      <c r="F778" s="6" t="n">
        <v>100</v>
      </c>
      <c r="G778" t="inlineStr">
        <is>
          <t>Light</t>
        </is>
      </c>
      <c r="H778" s="6" t="n">
        <v>1</v>
      </c>
      <c r="I778" s="6" t="n">
        <v>1</v>
      </c>
      <c r="J778" s="6" t="n">
        <v>1</v>
      </c>
      <c r="P778">
        <f>MAX(P779)</f>
        <v/>
      </c>
      <c r="S778">
        <f>S779</f>
        <v/>
      </c>
      <c r="T778">
        <f>(E778/100000+F778/100+(P778/1000)*J778/5+S778/200)*200*I778*H778</f>
        <v/>
      </c>
      <c r="U778">
        <f>((E778*F778/25000)+((P778/1000)*J778*S778/2.5))*I778*H778</f>
        <v/>
      </c>
      <c r="V778">
        <f>(E778*F778*(P778/1000)*J778*S778*I778*H778)/12500000</f>
        <v/>
      </c>
      <c r="W778">
        <f>(T778+U778+V778)/3</f>
        <v/>
      </c>
      <c r="X778" s="6" t="n">
        <v>500</v>
      </c>
      <c r="Y778">
        <f>IFERROR(W778-X778,"")</f>
        <v/>
      </c>
      <c r="Z778">
        <f>IFERROR(ABS(Y778)/MAX(X778,1),"")</f>
        <v/>
      </c>
      <c r="AA778">
        <f>IFERROR((X778-(((E778/100000+F778/100+S778/200)*200*I778*H778)+((E778*F778/25000)*I778*H778))/3)/(((J778/5)*200*I778*H778)+((J778*S778/2.5)*I778*H778)+((E778*F778*J778*S778*I778*H778)/12500000))/3*1000,"")</f>
        <v/>
      </c>
    </row>
    <row r="779">
      <c r="B779" s="7" t="inlineStr">
        <is>
          <t xml:space="preserve">  ↳ ProbeAttack</t>
        </is>
      </c>
      <c r="C779" s="7" t="inlineStr">
        <is>
          <t>Armament</t>
        </is>
      </c>
      <c r="L779" s="6" t="n">
        <v>10000</v>
      </c>
      <c r="M779" s="6" t="n">
        <v>25</v>
      </c>
      <c r="N779" s="6" t="n">
        <v>1</v>
      </c>
      <c r="O779" s="6" t="n"/>
      <c r="P779" s="6" t="n">
        <v>1500</v>
      </c>
      <c r="Q779" s="6" t="n">
        <v>1</v>
      </c>
      <c r="R779">
        <f>M779+IF(MAX(N779-1,0)&gt;0,IF(ISBLANK(O779),5*MAX(N779-1,0),IF(ISNUMBER(O779),O779*MAX(N779-1,0),SUM(IFERROR(VALUE(TEXTSPLIT(O779,",")),0)))),0)</f>
        <v/>
      </c>
      <c r="S779">
        <f>IFERROR(L779*MAX(N779,1)/R779*IF(ISBLANK(K778),1,K778),0)</f>
        <v/>
      </c>
      <c r="AB779" s="7" t="inlineStr">
        <is>
          <t>^Warhead_Melee_Medium</t>
        </is>
      </c>
    </row>
    <row r="780">
      <c r="A780" t="inlineStr">
        <is>
          <t>starcraft</t>
        </is>
      </c>
      <c r="B780" t="inlineStr">
        <is>
          <t>zerg_drone</t>
        </is>
      </c>
      <c r="C780" t="inlineStr">
        <is>
          <t>Zerg Drone</t>
        </is>
      </c>
      <c r="D780" s="6" t="inlineStr">
        <is>
          <t>Harvester</t>
        </is>
      </c>
      <c r="E780" s="6" t="n">
        <v>45000</v>
      </c>
      <c r="F780" s="6" t="n">
        <v>100</v>
      </c>
      <c r="G780" t="inlineStr">
        <is>
          <t>Light</t>
        </is>
      </c>
      <c r="H780" s="6" t="n">
        <v>1</v>
      </c>
      <c r="I780" s="6" t="n">
        <v>1</v>
      </c>
      <c r="J780" s="6" t="n">
        <v>1</v>
      </c>
      <c r="P780">
        <f>MAX(P781)</f>
        <v/>
      </c>
      <c r="S780">
        <f>S781</f>
        <v/>
      </c>
      <c r="T780">
        <f>(E780/100000+F780/100+(P780/1000)*J780/5+S780/200)*200*I780*H780</f>
        <v/>
      </c>
      <c r="U780">
        <f>((E780*F780/25000)+((P780/1000)*J780*S780/2.5))*I780*H780</f>
        <v/>
      </c>
      <c r="V780">
        <f>(E780*F780*(P780/1000)*J780*S780*I780*H780)/12500000</f>
        <v/>
      </c>
      <c r="W780">
        <f>(T780+U780+V780)/3</f>
        <v/>
      </c>
      <c r="X780" s="6" t="n">
        <v>500</v>
      </c>
      <c r="Y780">
        <f>IFERROR(W780-X780,"")</f>
        <v/>
      </c>
      <c r="Z780">
        <f>IFERROR(ABS(Y780)/MAX(X780,1),"")</f>
        <v/>
      </c>
      <c r="AA780">
        <f>IFERROR((X780-(((E780/100000+F780/100+S780/200)*200*I780*H780)+((E780*F780/25000)*I780*H780))/3)/(((J780/5)*200*I780*H780)+((J780*S780/2.5)*I780*H780)+((E780*F780*J780*S780*I780*H780)/12500000))/3*1000,"")</f>
        <v/>
      </c>
    </row>
    <row r="781">
      <c r="B781" s="7" t="inlineStr">
        <is>
          <t xml:space="preserve">  ↳ DroneAttack</t>
        </is>
      </c>
      <c r="C781" s="7" t="inlineStr">
        <is>
          <t>Armament</t>
        </is>
      </c>
      <c r="L781" s="6" t="n">
        <v>10000</v>
      </c>
      <c r="M781" s="6" t="n">
        <v>25</v>
      </c>
      <c r="N781" s="6" t="n">
        <v>1</v>
      </c>
      <c r="O781" s="6" t="n"/>
      <c r="P781" s="6" t="n">
        <v>1500</v>
      </c>
      <c r="Q781" s="6" t="n">
        <v>1</v>
      </c>
      <c r="R781">
        <f>M781+IF(MAX(N781-1,0)&gt;0,IF(ISBLANK(O781),5*MAX(N781-1,0),IF(ISNUMBER(O781),O781*MAX(N781-1,0),SUM(IFERROR(VALUE(TEXTSPLIT(O781,",")),0)))),0)</f>
        <v/>
      </c>
      <c r="S781">
        <f>IFERROR(L781*MAX(N781,1)/R781*IF(ISBLANK(K780),1,K780),0)</f>
        <v/>
      </c>
      <c r="AB781" s="7" t="inlineStr">
        <is>
          <t>^Warhead_Melee_Medium</t>
        </is>
      </c>
    </row>
    <row r="782">
      <c r="A782" t="inlineStr">
        <is>
          <t>starcraft</t>
        </is>
      </c>
      <c r="B782" t="inlineStr">
        <is>
          <t>terran_scv</t>
        </is>
      </c>
      <c r="C782" t="inlineStr">
        <is>
          <t>SCV</t>
        </is>
      </c>
      <c r="D782" s="6" t="inlineStr">
        <is>
          <t>Harvester</t>
        </is>
      </c>
      <c r="E782" s="6" t="n">
        <v>45000</v>
      </c>
      <c r="F782" s="6" t="n">
        <v>100</v>
      </c>
      <c r="G782" t="inlineStr">
        <is>
          <t>Light</t>
        </is>
      </c>
      <c r="H782" s="6" t="n">
        <v>1</v>
      </c>
      <c r="I782" s="6" t="n">
        <v>1</v>
      </c>
      <c r="J782" s="6" t="n">
        <v>1</v>
      </c>
      <c r="P782">
        <f>MAX(P783,P784)</f>
        <v/>
      </c>
      <c r="S782">
        <f>S783+S784</f>
        <v/>
      </c>
      <c r="T782">
        <f>(E782/100000+F782/100+(P782/1000)*J782/5+S782/200)*200*I782*H782</f>
        <v/>
      </c>
      <c r="U782">
        <f>((E782*F782/25000)+((P782/1000)*J782*S782/2.5))*I782*H782</f>
        <v/>
      </c>
      <c r="V782">
        <f>(E782*F782*(P782/1000)*J782*S782*I782*H782)/12500000</f>
        <v/>
      </c>
      <c r="W782">
        <f>(T782+U782+V782)/3</f>
        <v/>
      </c>
      <c r="X782" s="6" t="n">
        <v>500</v>
      </c>
      <c r="Y782">
        <f>IFERROR(W782-X782,"")</f>
        <v/>
      </c>
      <c r="Z782">
        <f>IFERROR(ABS(Y782)/MAX(X782,1),"")</f>
        <v/>
      </c>
      <c r="AA782">
        <f>IFERROR((X782-(((E782/100000+F782/100+S782/200)*200*I782*H782)+((E782*F782/25000)*I782*H782))/3)/(((J782/5)*200*I782*H782)+((J782*S782/2.5)*I782*H782)+((E782*F782*J782*S782*I782*H782)/12500000))/3*1000,"")</f>
        <v/>
      </c>
    </row>
    <row r="783">
      <c r="B783" s="7" t="inlineStr">
        <is>
          <t xml:space="preserve">  ↳ SCVAttack</t>
        </is>
      </c>
      <c r="C783" s="7" t="inlineStr">
        <is>
          <t>Armament</t>
        </is>
      </c>
      <c r="L783" s="6" t="n">
        <v>10000</v>
      </c>
      <c r="M783" s="6" t="n">
        <v>25</v>
      </c>
      <c r="N783" s="6" t="n">
        <v>1</v>
      </c>
      <c r="O783" s="6" t="n"/>
      <c r="P783" s="6" t="n">
        <v>1500</v>
      </c>
      <c r="Q783" s="6" t="n">
        <v>1</v>
      </c>
      <c r="R783">
        <f>M783+IF(MAX(N783-1,0)&gt;0,IF(ISBLANK(O783),5*MAX(N783-1,0),IF(ISNUMBER(O783),O783*MAX(N783-1,0),SUM(IFERROR(VALUE(TEXTSPLIT(O783,",")),0)))),0)</f>
        <v/>
      </c>
      <c r="S783">
        <f>IFERROR(L783*MAX(N783,1)/R783*IF(ISBLANK(K782),1,K782),0)</f>
        <v/>
      </c>
      <c r="AB783" s="7" t="inlineStr">
        <is>
          <t>^Warhead_Melee_Medium</t>
        </is>
      </c>
    </row>
    <row r="784">
      <c r="B784" s="7" t="inlineStr">
        <is>
          <t xml:space="preserve">  ↳ SCVRepair</t>
        </is>
      </c>
      <c r="C784" s="7" t="inlineStr">
        <is>
          <t>Armament@repair</t>
        </is>
      </c>
      <c r="L784" s="6" t="n">
        <v>-3000</v>
      </c>
      <c r="M784" s="6" t="n">
        <v>5</v>
      </c>
      <c r="N784" s="6" t="n">
        <v>10</v>
      </c>
      <c r="O784" s="6" t="n">
        <v>1</v>
      </c>
      <c r="P784" s="6" t="n">
        <v>2000</v>
      </c>
      <c r="Q784" s="6" t="n">
        <v>1</v>
      </c>
      <c r="R784">
        <f>M784+IF(MAX(N784-1,0)&gt;0,IF(ISBLANK(O784),5*MAX(N784-1,0),IF(ISNUMBER(O784),O784*MAX(N784-1,0),SUM(IFERROR(VALUE(TEXTSPLIT(O784,",")),0)))),0)</f>
        <v/>
      </c>
      <c r="S784">
        <f>IFERROR(L784*MAX(N784,1)/R784*IF(ISBLANK(K782),1,K782),0)</f>
        <v/>
      </c>
      <c r="AB784" s="7" t="inlineStr">
        <is>
          <t>^RepairWeapon</t>
        </is>
      </c>
    </row>
    <row r="785">
      <c r="A785" t="inlineStr">
        <is>
          <t>warcraft2</t>
        </is>
      </c>
      <c r="B785" t="inlineStr">
        <is>
          <t>wc2_orcs_peon</t>
        </is>
      </c>
      <c r="C785" t="inlineStr">
        <is>
          <t>Peon</t>
        </is>
      </c>
      <c r="D785" s="6" t="inlineStr">
        <is>
          <t>Harvester</t>
        </is>
      </c>
      <c r="E785" s="6" t="n">
        <v>40000</v>
      </c>
      <c r="F785" s="6" t="n">
        <v>80</v>
      </c>
      <c r="G785" t="inlineStr">
        <is>
          <t>Light</t>
        </is>
      </c>
      <c r="H785" s="6" t="n">
        <v>1</v>
      </c>
      <c r="I785" s="6" t="n">
        <v>1</v>
      </c>
      <c r="J785" s="6" t="n">
        <v>1</v>
      </c>
      <c r="P785">
        <f>MAX(P786)</f>
        <v/>
      </c>
      <c r="S785">
        <f>S786</f>
        <v/>
      </c>
      <c r="T785">
        <f>(E785/100000+F785/100+(P785/1000)*J785/5+S785/200)*200*I785*H785</f>
        <v/>
      </c>
      <c r="U785">
        <f>((E785*F785/25000)+((P785/1000)*J785*S785/2.5))*I785*H785</f>
        <v/>
      </c>
      <c r="V785">
        <f>(E785*F785*(P785/1000)*J785*S785*I785*H785)/12500000</f>
        <v/>
      </c>
      <c r="W785">
        <f>(T785+U785+V785)/3</f>
        <v/>
      </c>
      <c r="X785" s="6" t="n">
        <v>500</v>
      </c>
      <c r="Y785">
        <f>IFERROR(W785-X785,"")</f>
        <v/>
      </c>
      <c r="Z785">
        <f>IFERROR(ABS(Y785)/MAX(X785,1),"")</f>
        <v/>
      </c>
      <c r="AA785">
        <f>IFERROR((X785-(((E785/100000+F785/100+S785/200)*200*I785*H785)+((E785*F785/25000)*I785*H785))/3)/(((J785/5)*200*I785*H785)+((J785*S785/2.5)*I785*H785)+((E785*F785*J785*S785*I785*H785)/12500000))/3*1000,"")</f>
        <v/>
      </c>
    </row>
    <row r="786">
      <c r="B786" s="7" t="inlineStr">
        <is>
          <t xml:space="preserve">  ↳ wc2peasantsmack</t>
        </is>
      </c>
      <c r="C786" s="7" t="inlineStr">
        <is>
          <t>Armament</t>
        </is>
      </c>
      <c r="L786" s="6" t="n">
        <v>12000</v>
      </c>
      <c r="M786" s="6" t="n">
        <v>15</v>
      </c>
      <c r="N786" s="6" t="n">
        <v>1</v>
      </c>
      <c r="O786" s="6" t="n"/>
      <c r="P786" s="6" t="n">
        <v>1333</v>
      </c>
      <c r="Q786" s="6" t="n">
        <v>1</v>
      </c>
      <c r="R786">
        <f>M786+IF(MAX(N786-1,0)&gt;0,IF(ISBLANK(O786),5*MAX(N786-1,0),IF(ISNUMBER(O786),O786*MAX(N786-1,0),SUM(IFERROR(VALUE(TEXTSPLIT(O786,",")),0)))),0)</f>
        <v/>
      </c>
      <c r="S786">
        <f>IFERROR(L786*MAX(N786,1)/R786*IF(ISBLANK(K785),1,K785),0)</f>
        <v/>
      </c>
      <c r="AB786" s="7" t="inlineStr">
        <is>
          <t>^Warhead_Melee_Medium</t>
        </is>
      </c>
    </row>
    <row r="787">
      <c r="A787" t="inlineStr">
        <is>
          <t>warcraft2</t>
        </is>
      </c>
      <c r="B787" t="inlineStr">
        <is>
          <t>wc2_humans_peasant</t>
        </is>
      </c>
      <c r="C787" t="inlineStr">
        <is>
          <t>Peasant</t>
        </is>
      </c>
      <c r="D787" s="6" t="inlineStr">
        <is>
          <t>Harvester</t>
        </is>
      </c>
      <c r="E787" s="6" t="n">
        <v>40000</v>
      </c>
      <c r="F787" s="6" t="n">
        <v>80</v>
      </c>
      <c r="G787" t="inlineStr">
        <is>
          <t>Light</t>
        </is>
      </c>
      <c r="H787" s="6" t="n">
        <v>1</v>
      </c>
      <c r="I787" s="6" t="n">
        <v>1</v>
      </c>
      <c r="J787" s="6" t="n">
        <v>1</v>
      </c>
      <c r="P787">
        <f>MAX(P788)</f>
        <v/>
      </c>
      <c r="S787">
        <f>S788</f>
        <v/>
      </c>
      <c r="T787">
        <f>(E787/100000+F787/100+(P787/1000)*J787/5+S787/200)*200*I787*H787</f>
        <v/>
      </c>
      <c r="U787">
        <f>((E787*F787/25000)+((P787/1000)*J787*S787/2.5))*I787*H787</f>
        <v/>
      </c>
      <c r="V787">
        <f>(E787*F787*(P787/1000)*J787*S787*I787*H787)/12500000</f>
        <v/>
      </c>
      <c r="W787">
        <f>(T787+U787+V787)/3</f>
        <v/>
      </c>
      <c r="X787" s="6" t="n">
        <v>500</v>
      </c>
      <c r="Y787">
        <f>IFERROR(W787-X787,"")</f>
        <v/>
      </c>
      <c r="Z787">
        <f>IFERROR(ABS(Y787)/MAX(X787,1),"")</f>
        <v/>
      </c>
      <c r="AA787">
        <f>IFERROR((X787-(((E787/100000+F787/100+S787/200)*200*I787*H787)+((E787*F787/25000)*I787*H787))/3)/(((J787/5)*200*I787*H787)+((J787*S787/2.5)*I787*H787)+((E787*F787*J787*S787*I787*H787)/12500000))/3*1000,"")</f>
        <v/>
      </c>
    </row>
    <row r="788">
      <c r="B788" s="7" t="inlineStr">
        <is>
          <t xml:space="preserve">  ↳ wc2peasantsmack</t>
        </is>
      </c>
      <c r="C788" s="7" t="inlineStr">
        <is>
          <t>Armament</t>
        </is>
      </c>
      <c r="L788" s="6" t="n">
        <v>12000</v>
      </c>
      <c r="M788" s="6" t="n">
        <v>15</v>
      </c>
      <c r="N788" s="6" t="n">
        <v>1</v>
      </c>
      <c r="O788" s="6" t="n"/>
      <c r="P788" s="6" t="n">
        <v>1333</v>
      </c>
      <c r="Q788" s="6" t="n">
        <v>1</v>
      </c>
      <c r="R788">
        <f>M788+IF(MAX(N788-1,0)&gt;0,IF(ISBLANK(O788),5*MAX(N788-1,0),IF(ISNUMBER(O788),O788*MAX(N788-1,0),SUM(IFERROR(VALUE(TEXTSPLIT(O788,",")),0)))),0)</f>
        <v/>
      </c>
      <c r="S788">
        <f>IFERROR(L788*MAX(N788,1)/R788*IF(ISBLANK(K787),1,K787),0)</f>
        <v/>
      </c>
      <c r="AB788" s="7" t="inlineStr">
        <is>
          <t>^Warhead_Melee_Medium</t>
        </is>
      </c>
    </row>
    <row r="789">
      <c r="A789" s="4" t="inlineStr">
        <is>
          <t>Artillery</t>
        </is>
      </c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  <c r="AB789" s="5" t="n"/>
    </row>
    <row r="790">
      <c r="A790" t="inlineStr">
        <is>
          <t>tiberiandawn</t>
        </is>
      </c>
      <c r="B790" t="inlineStr">
        <is>
          <t>td_nod_artillery</t>
        </is>
      </c>
      <c r="C790" t="inlineStr">
        <is>
          <t>Nod Artillery</t>
        </is>
      </c>
      <c r="D790" s="6" t="inlineStr">
        <is>
          <t>Artillery</t>
        </is>
      </c>
      <c r="E790" s="6" t="n">
        <v>17500</v>
      </c>
      <c r="F790" s="6" t="n">
        <v>55</v>
      </c>
      <c r="G790" t="inlineStr">
        <is>
          <t>Light</t>
        </is>
      </c>
      <c r="H790" s="6" t="n">
        <v>1</v>
      </c>
      <c r="I790" s="6" t="n">
        <v>0.5</v>
      </c>
      <c r="J790" s="6" t="n">
        <v>1</v>
      </c>
      <c r="P790">
        <f>MAX(P791,P792)</f>
        <v/>
      </c>
      <c r="S790">
        <f>S791+S792</f>
        <v/>
      </c>
      <c r="T790">
        <f>(E790/100000+F790/100+(P790/1000)*J790/5+S790/200)*200*I790*H790</f>
        <v/>
      </c>
      <c r="U790">
        <f>((E790*F790/25000)+((P790/1000)*J790*S790/2.5))*I790*H790</f>
        <v/>
      </c>
      <c r="V790">
        <f>(E790*F790*(P790/1000)*J790*S790*I790*H790)/12500000</f>
        <v/>
      </c>
      <c r="W790">
        <f>IFERROR((((E790/60000)+(F790/75)+(S790/500)+((P790/15000)*J790))*500/4+(((E790/60000)*(F790/75))+(((P790/15000)*J790)*(S790/500)))*500/2+((E790/60000)*(F790/75)*((P790/15000)*J790)*(S790/500))*500)*(H790/1.0)/3,"")</f>
        <v/>
      </c>
      <c r="X790" s="6" t="n">
        <v>400</v>
      </c>
      <c r="Y790">
        <f>IFERROR(W790-X790,"")</f>
        <v/>
      </c>
      <c r="Z790">
        <f>IFERROR(ABS(Y790)/MAX(X790,1),"")</f>
        <v/>
      </c>
      <c r="AA790">
        <f>IFERROR(ROUND(((3*X790-(((E790/60000)+(F790/75)+(S790/500))*500/4+((E790/60000)*(F790/75))*500/2)*(H790/1.0))/(500/4+((S790/500))*500/2+((E790/60000)*(F790/75)*(S790/500))*500)*(H790/1.0)*15000)/J790,-1),"")</f>
        <v/>
      </c>
    </row>
    <row r="791">
      <c r="B791" s="7" t="inlineStr">
        <is>
          <t xml:space="preserve">  ↳ ArtilleryShell</t>
        </is>
      </c>
      <c r="C791" s="7" t="inlineStr">
        <is>
          <t>Armament</t>
        </is>
      </c>
      <c r="L791" s="6" t="n">
        <v>32000</v>
      </c>
      <c r="M791" s="6" t="n">
        <v>112</v>
      </c>
      <c r="N791" s="6" t="n">
        <v>1</v>
      </c>
      <c r="O791" s="6" t="n"/>
      <c r="P791" s="6" t="n">
        <v>12345</v>
      </c>
      <c r="Q791" s="6" t="n">
        <v>0.875</v>
      </c>
      <c r="R791">
        <f>M791+IF(MAX(N791-1,0)&gt;0,IF(ISBLANK(O791),5*MAX(N791-1,0),IF(ISNUMBER(O791),O791*MAX(N791-1,0),SUM(IFERROR(VALUE(TEXTSPLIT(O791,",")),0)))),0)</f>
        <v/>
      </c>
      <c r="S791">
        <f>IFERROR(L791*MAX(N791,1)/R791*IF(ISBLANK(K790),1,K790),0)</f>
        <v/>
      </c>
      <c r="AB791" s="7" t="inlineStr">
        <is>
          <t>^Warhead_Demolition_Light, ^Warhead_Concussion_Medium</t>
        </is>
      </c>
    </row>
    <row r="792">
      <c r="B792" s="7" t="inlineStr">
        <is>
          <t xml:space="preserve">  ↳ ArtilleryShellUpgrade</t>
        </is>
      </c>
      <c r="C792" s="7" t="inlineStr">
        <is>
          <t>Armament@Upgrade</t>
        </is>
      </c>
      <c r="L792" s="6" t="n">
        <v>36000</v>
      </c>
      <c r="M792" s="6" t="n">
        <v>96</v>
      </c>
      <c r="N792" s="6" t="n">
        <v>1</v>
      </c>
      <c r="O792" s="6" t="n"/>
      <c r="P792" s="6" t="n">
        <v>12345</v>
      </c>
      <c r="Q792" s="6" t="n">
        <v>1</v>
      </c>
      <c r="R792">
        <f>M792+IF(MAX(N792-1,0)&gt;0,IF(ISBLANK(O792),5*MAX(N792-1,0),IF(ISNUMBER(O792),O792*MAX(N792-1,0),SUM(IFERROR(VALUE(TEXTSPLIT(O792,",")),0)))),0)</f>
        <v/>
      </c>
      <c r="S792">
        <f>IFERROR(L792*MAX(N792,1)/R792*IF(ISBLANK(K790),1,K790),0)</f>
        <v/>
      </c>
      <c r="AB792" s="7" t="inlineStr">
        <is>
          <t>^Grenade, ^ShrapnelWeapon, ^MediumChemicalWeapon, ^MediumFlameWeapon, ^MediumCannon, ^HeavyBomb</t>
        </is>
      </c>
    </row>
    <row r="793">
      <c r="A793" t="inlineStr">
        <is>
          <t>tiberiandawn</t>
        </is>
      </c>
      <c r="B793" t="inlineStr">
        <is>
          <t>td_nod_chemicalssmlauncher</t>
        </is>
      </c>
      <c r="C793" t="inlineStr">
        <is>
          <t>Chemical SSM Launcher</t>
        </is>
      </c>
      <c r="D793" s="6" t="inlineStr">
        <is>
          <t>Artillery</t>
        </is>
      </c>
      <c r="E793" s="6" t="n">
        <v>32500</v>
      </c>
      <c r="F793" s="6" t="n">
        <v>75</v>
      </c>
      <c r="G793" t="inlineStr">
        <is>
          <t>Light</t>
        </is>
      </c>
      <c r="H793" s="6" t="n">
        <v>0.75</v>
      </c>
      <c r="I793" s="6" t="n">
        <v>0.5</v>
      </c>
      <c r="J793" s="6" t="n">
        <v>1</v>
      </c>
      <c r="P793">
        <f>MAX(P794)</f>
        <v/>
      </c>
      <c r="S793">
        <f>S794</f>
        <v/>
      </c>
      <c r="T793">
        <f>(E793/100000+F793/100+(P793/1000)*J793/5+S793/200)*200*I793*H793</f>
        <v/>
      </c>
      <c r="U793">
        <f>((E793*F793/25000)+((P793/1000)*J793*S793/2.5))*I793*H793</f>
        <v/>
      </c>
      <c r="V793">
        <f>(E793*F793*(P793/1000)*J793*S793*I793*H793)/12500000</f>
        <v/>
      </c>
      <c r="W793">
        <f>IFERROR((((E793/60000)+(F793/75)+(S793/500)+((P793/15000)*J793))*500/4+(((E793/60000)*(F793/75))+(((P793/15000)*J793)*(S793/500)))*500/2+((E793/60000)*(F793/75)*((P793/15000)*J793)*(S793/500))*500)*(H793/1.0)/3,"")</f>
        <v/>
      </c>
      <c r="X793" s="6" t="n">
        <v>1200</v>
      </c>
      <c r="Y793">
        <f>IFERROR(W793-X793,"")</f>
        <v/>
      </c>
      <c r="Z793">
        <f>IFERROR(ABS(Y793)/MAX(X793,1),"")</f>
        <v/>
      </c>
      <c r="AA793">
        <f>IFERROR(ROUND(((3*X793-(((E793/60000)+(F793/75)+(S793/500))*500/4+((E793/60000)*(F793/75))*500/2)*(H793/1.0))/(500/4+((S793/500))*500/2+((E793/60000)*(F793/75)*(S793/500))*500)*(H793/1.0)*15000)/J793,-1),"")</f>
        <v/>
      </c>
    </row>
    <row r="794">
      <c r="B794" s="7" t="inlineStr">
        <is>
          <t xml:space="preserve">  ↳ ChemicalHonestJohn</t>
        </is>
      </c>
      <c r="C794" s="7" t="inlineStr">
        <is>
          <t>Armament</t>
        </is>
      </c>
      <c r="L794" s="6" t="n">
        <v>120000</v>
      </c>
      <c r="M794" s="6" t="n">
        <v>142</v>
      </c>
      <c r="N794" s="6" t="n">
        <v>1</v>
      </c>
      <c r="O794" s="6" t="n"/>
      <c r="P794" s="6" t="n">
        <v>12345</v>
      </c>
      <c r="Q794" s="6" t="n">
        <v>1</v>
      </c>
      <c r="R794">
        <f>M794+IF(MAX(N794-1,0)&gt;0,IF(ISBLANK(O794),5*MAX(N794-1,0),IF(ISNUMBER(O794),O794*MAX(N794-1,0),SUM(IFERROR(VALUE(TEXTSPLIT(O794,",")),0)))),0)</f>
        <v/>
      </c>
      <c r="S794">
        <f>IFERROR(L794*MAX(N794,1)/R794*IF(ISBLANK(K793),1,K793),0)</f>
        <v/>
      </c>
      <c r="AB794" s="7" t="inlineStr">
        <is>
          <t>^HeavyMissile, ^HeavyBomb, ^HeavyFlameWeapon, ^HeavyChemicalWeapon</t>
        </is>
      </c>
    </row>
    <row r="795">
      <c r="A795" t="inlineStr">
        <is>
          <t>tiberiandawn</t>
        </is>
      </c>
      <c r="B795" t="inlineStr">
        <is>
          <t>td_nod_specterartillery</t>
        </is>
      </c>
      <c r="C795" t="inlineStr">
        <is>
          <t>Specter Artillery</t>
        </is>
      </c>
      <c r="D795" s="6" t="inlineStr">
        <is>
          <t>Artillery</t>
        </is>
      </c>
      <c r="E795" s="6" t="n">
        <v>22500</v>
      </c>
      <c r="F795" s="6" t="n">
        <v>100</v>
      </c>
      <c r="G795" t="inlineStr">
        <is>
          <t>Light</t>
        </is>
      </c>
      <c r="H795" s="6" t="n">
        <v>0.7333</v>
      </c>
      <c r="I795" s="6" t="n">
        <v>1</v>
      </c>
      <c r="J795" s="6" t="n">
        <v>1</v>
      </c>
      <c r="P795">
        <f>MAX(P796,P797)</f>
        <v/>
      </c>
      <c r="S795">
        <f>S796+S797</f>
        <v/>
      </c>
      <c r="T795">
        <f>(E795/100000+F795/100+(P795/1000)*J795/5+S795/200)*200*I795*H795</f>
        <v/>
      </c>
      <c r="U795">
        <f>((E795*F795/25000)+((P795/1000)*J795*S795/2.5))*I795*H795</f>
        <v/>
      </c>
      <c r="V795">
        <f>(E795*F795*(P795/1000)*J795*S795*I795*H795)/12500000</f>
        <v/>
      </c>
      <c r="W795">
        <f>IFERROR((((E795/60000)+(F795/75)+(S795/500)+((P795/15000)*J795))*500/4+(((E795/60000)*(F795/75))+(((P795/15000)*J795)*(S795/500)))*500/2+((E795/60000)*(F795/75)*((P795/15000)*J795)*(S795/500))*500)*(H795/1.0)/3,"")</f>
        <v/>
      </c>
      <c r="X795" s="6" t="n">
        <v>900</v>
      </c>
      <c r="Y795">
        <f>IFERROR(W795-X795,"")</f>
        <v/>
      </c>
      <c r="Z795">
        <f>IFERROR(ABS(Y795)/MAX(X795,1),"")</f>
        <v/>
      </c>
      <c r="AA795">
        <f>IFERROR(ROUND(((3*X795-(((E795/60000)+(F795/75)+(S795/500))*500/4+((E795/60000)*(F795/75))*500/2)*(H795/1.0))/(500/4+((S795/500))*500/2+((E795/60000)*(F795/75)*(S795/500))*500)*(H795/1.0)*15000)/J795,-1),"")</f>
        <v/>
      </c>
    </row>
    <row r="796">
      <c r="B796" s="7" t="inlineStr">
        <is>
          <t xml:space="preserve">  ↳ SpecterArtilleryShell</t>
        </is>
      </c>
      <c r="C796" s="7" t="inlineStr">
        <is>
          <t>Armament</t>
        </is>
      </c>
      <c r="L796" s="6" t="n">
        <v>32000</v>
      </c>
      <c r="M796" s="6" t="n">
        <v>78</v>
      </c>
      <c r="N796" s="6" t="n">
        <v>1</v>
      </c>
      <c r="O796" s="6" t="n"/>
      <c r="P796" s="6" t="n">
        <v>12640</v>
      </c>
      <c r="Q796" s="6" t="n">
        <v>0.875</v>
      </c>
      <c r="R796">
        <f>M796+IF(MAX(N796-1,0)&gt;0,IF(ISBLANK(O796),5*MAX(N796-1,0),IF(ISNUMBER(O796),O796*MAX(N796-1,0),SUM(IFERROR(VALUE(TEXTSPLIT(O796,",")),0)))),0)</f>
        <v/>
      </c>
      <c r="S796">
        <f>IFERROR(L796*MAX(N796,1)/R796*IF(ISBLANK(K795),1,K795),0)</f>
        <v/>
      </c>
      <c r="AB796" s="7" t="inlineStr">
        <is>
          <t>^Warhead_Demolition_Light, ^Warhead_Concussion_Medium</t>
        </is>
      </c>
    </row>
    <row r="797">
      <c r="B797" s="7" t="inlineStr">
        <is>
          <t xml:space="preserve">  ↳ SpecterArtilleryShellUpgrade</t>
        </is>
      </c>
      <c r="C797" s="7" t="inlineStr">
        <is>
          <t>Armament@Upgrade</t>
        </is>
      </c>
      <c r="L797" s="6" t="n">
        <v>32000</v>
      </c>
      <c r="M797" s="6" t="n">
        <v>78</v>
      </c>
      <c r="N797" s="6" t="n">
        <v>1</v>
      </c>
      <c r="O797" s="6" t="n"/>
      <c r="P797" s="6" t="n">
        <v>12640</v>
      </c>
      <c r="Q797" s="6" t="n">
        <v>0.875</v>
      </c>
      <c r="R797">
        <f>M797+IF(MAX(N797-1,0)&gt;0,IF(ISBLANK(O797),5*MAX(N797-1,0),IF(ISNUMBER(O797),O797*MAX(N797-1,0),SUM(IFERROR(VALUE(TEXTSPLIT(O797,",")),0)))),0)</f>
        <v/>
      </c>
      <c r="S797">
        <f>IFERROR(L797*MAX(N797,1)/R797*IF(ISBLANK(K795),1,K795),0)</f>
        <v/>
      </c>
      <c r="AB797" s="7" t="inlineStr">
        <is>
          <t>^Warhead_Demolition_Light, ^Warhead_Concussion_Medium</t>
        </is>
      </c>
    </row>
    <row r="798">
      <c r="A798" t="inlineStr">
        <is>
          <t>redalert</t>
        </is>
      </c>
      <c r="B798" t="inlineStr">
        <is>
          <t>japan_ballista</t>
        </is>
      </c>
      <c r="C798" t="inlineStr">
        <is>
          <t>Ballista</t>
        </is>
      </c>
      <c r="D798" s="6" t="inlineStr">
        <is>
          <t>Artillery</t>
        </is>
      </c>
      <c r="E798" s="6" t="n">
        <v>65000</v>
      </c>
      <c r="F798" s="6" t="n">
        <v>65</v>
      </c>
      <c r="G798" t="inlineStr">
        <is>
          <t>Light</t>
        </is>
      </c>
      <c r="H798" s="6" t="n">
        <v>0.4853</v>
      </c>
      <c r="I798" s="6" t="n">
        <v>1</v>
      </c>
      <c r="J798" s="6" t="n">
        <v>1</v>
      </c>
      <c r="K798" t="n">
        <v>0.0075</v>
      </c>
      <c r="P798">
        <f>MAX(P799,P800)</f>
        <v/>
      </c>
      <c r="S798">
        <f>S799+S800</f>
        <v/>
      </c>
      <c r="T798">
        <f>(E798/100000+F798/100+(P798/1000)*J798/5+S798/200)*200*I798*H798</f>
        <v/>
      </c>
      <c r="U798">
        <f>((E798*F798/25000)+((P798/1000)*J798*S798/2.5))*I798*H798</f>
        <v/>
      </c>
      <c r="V798">
        <f>(E798*F798*(P798/1000)*J798*S798*I798*H798)/12500000</f>
        <v/>
      </c>
      <c r="W798">
        <f>IFERROR((((E798/60000)+(F798/75)+(S798/500)+((P798/15000)*J798))*500/4+(((E798/60000)*(F798/75))+(((P798/15000)*J798)*(S798/500)))*500/2+((E798/60000)*(F798/75)*((P798/15000)*J798)*(S798/500))*500)*(H798/1.0)/3,"")</f>
        <v/>
      </c>
      <c r="X798" s="6" t="n">
        <v>1150</v>
      </c>
      <c r="Y798">
        <f>IFERROR(W798-X798,"")</f>
        <v/>
      </c>
      <c r="Z798">
        <f>IFERROR(ABS(Y798)/MAX(X798,1),"")</f>
        <v/>
      </c>
      <c r="AA798">
        <f>IFERROR(ROUND(((3*X798-(((E798/60000)+(F798/75)+(S798/500))*500/4+((E798/60000)*(F798/75))*500/2)*(H798/1.0))/(500/4+((S798/500))*500/2+((E798/60000)*(F798/75)*(S798/500))*500)*(H798/1.0)*15000)/J798,-1),"")</f>
        <v/>
      </c>
    </row>
    <row r="799">
      <c r="B799" s="7" t="inlineStr">
        <is>
          <t xml:space="preserve">  ↳ BallistaMultiShot</t>
        </is>
      </c>
      <c r="C799" s="7" t="inlineStr">
        <is>
          <t>Armament@PRIMARY</t>
        </is>
      </c>
      <c r="L799" s="6" t="n">
        <v>40000</v>
      </c>
      <c r="M799" s="6" t="n">
        <v>176</v>
      </c>
      <c r="N799" s="6" t="n">
        <v>5</v>
      </c>
      <c r="O799" s="6" t="n">
        <v>6</v>
      </c>
      <c r="P799" s="6" t="n">
        <v>13515</v>
      </c>
      <c r="Q799" s="6" t="n">
        <v>1</v>
      </c>
      <c r="R799">
        <f>M799+IF(MAX(N799-1,0)&gt;0,IF(ISBLANK(O799),5*MAX(N799-1,0),IF(ISNUMBER(O799),O799*MAX(N799-1,0),SUM(IFERROR(VALUE(TEXTSPLIT(O799,",")),0)))),0)</f>
        <v/>
      </c>
      <c r="S799">
        <f>IFERROR(L799*MAX(N799,1)/R799*IF(ISBLANK(K798),1,K798),0)</f>
        <v/>
      </c>
      <c r="AB799" s="7" t="inlineStr">
        <is>
          <t>^Grenade, ^LightFlameWeapon, ^LightChemicalWeapon, ^ArrowWeapon</t>
        </is>
      </c>
    </row>
    <row r="800">
      <c r="B800" s="7" t="inlineStr">
        <is>
          <t xml:space="preserve">  ↳ BallistaMultiShotEnergized</t>
        </is>
      </c>
      <c r="C800" s="7" t="inlineStr">
        <is>
          <t>Armament@Upgrade</t>
        </is>
      </c>
      <c r="L800" s="6" t="n">
        <v>40000</v>
      </c>
      <c r="M800" s="6" t="n">
        <v>176</v>
      </c>
      <c r="N800" s="6" t="n">
        <v>5</v>
      </c>
      <c r="O800" s="6" t="n">
        <v>6</v>
      </c>
      <c r="P800" s="6" t="n">
        <v>13515</v>
      </c>
      <c r="Q800" s="6" t="n">
        <v>1</v>
      </c>
      <c r="R800">
        <f>M800+IF(MAX(N800-1,0)&gt;0,IF(ISBLANK(O800),5*MAX(N800-1,0),IF(ISNUMBER(O800),O800*MAX(N800-1,0),SUM(IFERROR(VALUE(TEXTSPLIT(O800,",")),0)))),0)</f>
        <v/>
      </c>
      <c r="S800">
        <f>IFERROR(L800*MAX(N800,1)/R800*IF(ISBLANK(K798),1,K798),0)</f>
        <v/>
      </c>
      <c r="AB800" s="7" t="inlineStr">
        <is>
          <t>^TeslaWeapon, ^MediumFlameWeapon, ^MediumChemicalWeapon, ^ArrowWeapon</t>
        </is>
      </c>
    </row>
    <row r="801">
      <c r="A801" t="inlineStr">
        <is>
          <t>redalert</t>
        </is>
      </c>
      <c r="B801" t="inlineStr">
        <is>
          <t>ra1_soviets_nuclearv2launcher</t>
        </is>
      </c>
      <c r="C801" t="inlineStr">
        <is>
          <t>Nuclear V2 Launcher</t>
        </is>
      </c>
      <c r="D801" s="6" t="inlineStr">
        <is>
          <t>Artillery</t>
        </is>
      </c>
      <c r="E801" s="6" t="n">
        <v>40000</v>
      </c>
      <c r="F801" s="6" t="n">
        <v>80</v>
      </c>
      <c r="G801" t="inlineStr">
        <is>
          <t>Light</t>
        </is>
      </c>
      <c r="H801" s="6" t="n">
        <v>0.4925</v>
      </c>
      <c r="I801" s="6" t="n">
        <v>1</v>
      </c>
      <c r="J801" s="6" t="n">
        <v>1</v>
      </c>
      <c r="P801">
        <f>MAX(P802,P803)</f>
        <v/>
      </c>
      <c r="S801">
        <f>S802+S803</f>
        <v/>
      </c>
      <c r="T801">
        <f>(E801/100000+F801/100+(P801/1000)*J801/5+S801/200)*200*I801*H801</f>
        <v/>
      </c>
      <c r="U801">
        <f>((E801*F801/25000)+((P801/1000)*J801*S801/2.5))*I801*H801</f>
        <v/>
      </c>
      <c r="V801">
        <f>(E801*F801*(P801/1000)*J801*S801*I801*H801)/12500000</f>
        <v/>
      </c>
      <c r="W801">
        <f>IFERROR((((E801/60000)+(F801/75)+(S801/500)+((P801/15000)*J801))*500/4+(((E801/60000)*(F801/75))+(((P801/15000)*J801)*(S801/500)))*500/2+((E801/60000)*(F801/75)*((P801/15000)*J801)*(S801/500))*500)*(H801/1.0)/3,"")</f>
        <v/>
      </c>
      <c r="X801" s="6" t="n">
        <v>2300</v>
      </c>
      <c r="Y801">
        <f>IFERROR(W801-X801,"")</f>
        <v/>
      </c>
      <c r="Z801">
        <f>IFERROR(ABS(Y801)/MAX(X801,1),"")</f>
        <v/>
      </c>
      <c r="AA801">
        <f>IFERROR(ROUND(((3*X801-(((E801/60000)+(F801/75)+(S801/500))*500/4+((E801/60000)*(F801/75))*500/2)*(H801/1.0))/(500/4+((S801/500))*500/2+((E801/60000)*(F801/75)*(S801/500))*500)*(H801/1.0)*15000)/J801,-1),"")</f>
        <v/>
      </c>
    </row>
    <row r="802">
      <c r="B802" s="7" t="inlineStr">
        <is>
          <t xml:space="preserve">  ↳ SCUDNUKE</t>
        </is>
      </c>
      <c r="C802" s="7" t="inlineStr">
        <is>
          <t>Armament@PRIMARY</t>
        </is>
      </c>
      <c r="L802" s="6" t="n">
        <v>300000</v>
      </c>
      <c r="M802" s="6" t="n">
        <v>158</v>
      </c>
      <c r="N802" s="6" t="n">
        <v>1</v>
      </c>
      <c r="O802" s="6" t="n"/>
      <c r="P802" s="6" t="n">
        <v>12550</v>
      </c>
      <c r="Q802" s="6" t="n">
        <v>1.5</v>
      </c>
      <c r="R802">
        <f>M802+IF(MAX(N802-1,0)&gt;0,IF(ISBLANK(O802),5*MAX(N802-1,0),IF(ISNUMBER(O802),O802*MAX(N802-1,0),SUM(IFERROR(VALUE(TEXTSPLIT(O802,",")),0)))),0)</f>
        <v/>
      </c>
      <c r="S802">
        <f>IFERROR(L802*MAX(N802,1)/R802*IF(ISBLANK(K801),1,K801),0)</f>
        <v/>
      </c>
      <c r="AB802" s="7" t="inlineStr">
        <is>
          <t>^Warhead_Nuclear_Super</t>
        </is>
      </c>
    </row>
    <row r="803">
      <c r="B803" s="7" t="inlineStr">
        <is>
          <t xml:space="preserve">  ↳ SCUDNUKEThermobaric</t>
        </is>
      </c>
      <c r="C803" s="7" t="inlineStr">
        <is>
          <t>Armament@Upgrade</t>
        </is>
      </c>
      <c r="L803" s="6" t="n">
        <v>300000</v>
      </c>
      <c r="M803" s="6" t="n">
        <v>158</v>
      </c>
      <c r="N803" s="6" t="n">
        <v>1</v>
      </c>
      <c r="O803" s="6" t="n"/>
      <c r="P803" s="6" t="n">
        <v>12550</v>
      </c>
      <c r="Q803" s="6" t="n">
        <v>1.5</v>
      </c>
      <c r="R803">
        <f>M803+IF(MAX(N803-1,0)&gt;0,IF(ISBLANK(O803),5*MAX(N803-1,0),IF(ISNUMBER(O803),O803*MAX(N803-1,0),SUM(IFERROR(VALUE(TEXTSPLIT(O803,",")),0)))),0)</f>
        <v/>
      </c>
      <c r="S803">
        <f>IFERROR(L803*MAX(N803,1)/R803*IF(ISBLANK(K801),1,K801),0)</f>
        <v/>
      </c>
      <c r="AB803" s="7" t="inlineStr">
        <is>
          <t>^Warhead_Nuclear_Super</t>
        </is>
      </c>
    </row>
    <row r="804">
      <c r="A804" t="inlineStr">
        <is>
          <t>redalert</t>
        </is>
      </c>
      <c r="B804" t="inlineStr">
        <is>
          <t>ra1_soviets_v1rockettruck</t>
        </is>
      </c>
      <c r="C804" t="inlineStr">
        <is>
          <t>V1 Rocket Truck</t>
        </is>
      </c>
      <c r="D804" s="6" t="inlineStr">
        <is>
          <t>Artillery</t>
        </is>
      </c>
      <c r="E804" s="6" t="n">
        <v>25000</v>
      </c>
      <c r="F804" s="6" t="n">
        <v>100</v>
      </c>
      <c r="G804" t="inlineStr">
        <is>
          <t>Light</t>
        </is>
      </c>
      <c r="H804" s="6" t="n">
        <v>1</v>
      </c>
      <c r="I804" s="6" t="n">
        <v>0.5</v>
      </c>
      <c r="J804" s="6" t="n">
        <v>1</v>
      </c>
      <c r="P804">
        <f>MAX(P805,P806)</f>
        <v/>
      </c>
      <c r="S804">
        <f>S805+S806</f>
        <v/>
      </c>
      <c r="T804">
        <f>(E804/100000+F804/100+(P804/1000)*J804/5+S804/200)*200*I804*H804</f>
        <v/>
      </c>
      <c r="U804">
        <f>((E804*F804/25000)+((P804/1000)*J804*S804/2.5))*I804*H804</f>
        <v/>
      </c>
      <c r="V804">
        <f>(E804*F804*(P804/1000)*J804*S804*I804*H804)/12500000</f>
        <v/>
      </c>
      <c r="W804">
        <f>IFERROR((((E804/60000)+(F804/75)+(S804/500)+((P804/15000)*J804))*500/4+(((E804/60000)*(F804/75))+(((P804/15000)*J804)*(S804/500)))*500/2+((E804/60000)*(F804/75)*((P804/15000)*J804)*(S804/500))*500)*(H804/1.0)/3,"")</f>
        <v/>
      </c>
      <c r="X804" s="6" t="n">
        <v>850</v>
      </c>
      <c r="Y804">
        <f>IFERROR(W804-X804,"")</f>
        <v/>
      </c>
      <c r="Z804">
        <f>IFERROR(ABS(Y804)/MAX(X804,1),"")</f>
        <v/>
      </c>
      <c r="AA804">
        <f>IFERROR(ROUND(((3*X804-(((E804/60000)+(F804/75)+(S804/500))*500/4+((E804/60000)*(F804/75))*500/2)*(H804/1.0))/(500/4+((S804/500))*500/2+((E804/60000)*(F804/75)*(S804/500))*500)*(H804/1.0)*15000)/J804,-1),"")</f>
        <v/>
      </c>
    </row>
    <row r="805">
      <c r="B805" s="7" t="inlineStr">
        <is>
          <t xml:space="preserve">  ↳ v1rockets</t>
        </is>
      </c>
      <c r="C805" s="7" t="inlineStr">
        <is>
          <t>Armament</t>
        </is>
      </c>
      <c r="L805" s="6" t="n">
        <v>24000</v>
      </c>
      <c r="M805" s="6" t="n">
        <v>115</v>
      </c>
      <c r="N805" s="6" t="n">
        <v>4</v>
      </c>
      <c r="O805" s="6" t="n">
        <v>5</v>
      </c>
      <c r="P805" s="6" t="n">
        <v>9595</v>
      </c>
      <c r="Q805" s="6" t="n">
        <v>0.875</v>
      </c>
      <c r="R805">
        <f>M805+IF(MAX(N805-1,0)&gt;0,IF(ISBLANK(O805),5*MAX(N805-1,0),IF(ISNUMBER(O805),O805*MAX(N805-1,0),SUM(IFERROR(VALUE(TEXTSPLIT(O805,",")),0)))),0)</f>
        <v/>
      </c>
      <c r="S805">
        <f>IFERROR(L805*MAX(N805,1)/R805*IF(ISBLANK(K804),1,K804),0)</f>
        <v/>
      </c>
      <c r="AB805" s="7" t="inlineStr">
        <is>
          <t>^Warhead_MissileHE_Medium, ^Warhead_Demolition_Light</t>
        </is>
      </c>
    </row>
    <row r="806">
      <c r="B806" s="7" t="inlineStr">
        <is>
          <t xml:space="preserve">  ↳ v1rocketsThermobaric</t>
        </is>
      </c>
      <c r="C806" s="7" t="inlineStr">
        <is>
          <t>Armament@Upgrade</t>
        </is>
      </c>
      <c r="L806" s="6" t="n">
        <v>24000</v>
      </c>
      <c r="M806" s="6" t="n">
        <v>115</v>
      </c>
      <c r="N806" s="6" t="n">
        <v>4</v>
      </c>
      <c r="O806" s="6" t="n">
        <v>5</v>
      </c>
      <c r="P806" s="6" t="n">
        <v>9595</v>
      </c>
      <c r="Q806" s="6" t="n">
        <v>1</v>
      </c>
      <c r="R806">
        <f>M806+IF(MAX(N806-1,0)&gt;0,IF(ISBLANK(O806),5*MAX(N806-1,0),IF(ISNUMBER(O806),O806*MAX(N806-1,0),SUM(IFERROR(VALUE(TEXTSPLIT(O806,",")),0)))),0)</f>
        <v/>
      </c>
      <c r="S806">
        <f>IFERROR(L806*MAX(N806,1)/R806*IF(ISBLANK(K804),1,K804),0)</f>
        <v/>
      </c>
      <c r="AB806" s="7" t="inlineStr">
        <is>
          <t>^MediumMissile, ^Grenade, ^HeavyFlameWeapon</t>
        </is>
      </c>
    </row>
    <row r="807">
      <c r="A807" t="inlineStr">
        <is>
          <t>redalert</t>
        </is>
      </c>
      <c r="B807" t="inlineStr">
        <is>
          <t>ra1_soviets_v2rocketlauncher</t>
        </is>
      </c>
      <c r="C807" t="inlineStr">
        <is>
          <t>V2 Rocket Launcher</t>
        </is>
      </c>
      <c r="D807" s="6" t="inlineStr">
        <is>
          <t>Artillery</t>
        </is>
      </c>
      <c r="E807" s="6" t="n">
        <v>30000</v>
      </c>
      <c r="F807" s="6" t="n">
        <v>85</v>
      </c>
      <c r="G807" t="inlineStr">
        <is>
          <t>Light</t>
        </is>
      </c>
      <c r="H807" s="6" t="n">
        <v>0.75</v>
      </c>
      <c r="I807" s="6" t="n">
        <v>0.5</v>
      </c>
      <c r="J807" s="6" t="n">
        <v>1</v>
      </c>
      <c r="P807">
        <f>MAX(P808,P809,P810)</f>
        <v/>
      </c>
      <c r="S807">
        <f>S808+S809+S810</f>
        <v/>
      </c>
      <c r="T807">
        <f>(E807/100000+F807/100+(P807/1000)*J807/5+S807/200)*200*I807*H807</f>
        <v/>
      </c>
      <c r="U807">
        <f>((E807*F807/25000)+((P807/1000)*J807*S807/2.5))*I807*H807</f>
        <v/>
      </c>
      <c r="V807">
        <f>(E807*F807*(P807/1000)*J807*S807*I807*H807)/12500000</f>
        <v/>
      </c>
      <c r="W807">
        <f>IFERROR((((E807/60000)+(F807/75)+(S807/500)+((P807/15000)*J807))*500/4+(((E807/60000)*(F807/75))+(((P807/15000)*J807)*(S807/500)))*500/2+((E807/60000)*(F807/75)*((P807/15000)*J807)*(S807/500))*500)*(H807/1.0)/3,"")</f>
        <v/>
      </c>
      <c r="X807" s="6" t="n">
        <v>1600</v>
      </c>
      <c r="Y807">
        <f>IFERROR(W807-X807,"")</f>
        <v/>
      </c>
      <c r="Z807">
        <f>IFERROR(ABS(Y807)/MAX(X807,1),"")</f>
        <v/>
      </c>
      <c r="AA807">
        <f>IFERROR(ROUND(((3*X807-(((E807/60000)+(F807/75)+(S807/500))*500/4+((E807/60000)*(F807/75))*500/2)*(H807/1.0))/(500/4+((S807/500))*500/2+((E807/60000)*(F807/75)*(S807/500))*500)*(H807/1.0)*15000)/J807,-1),"")</f>
        <v/>
      </c>
    </row>
    <row r="808">
      <c r="B808" s="7" t="inlineStr">
        <is>
          <t xml:space="preserve">  ↳ SCUD</t>
        </is>
      </c>
      <c r="C808" s="7" t="inlineStr">
        <is>
          <t>Armament@PRIMARY</t>
        </is>
      </c>
      <c r="L808" s="6" t="n">
        <v>120000</v>
      </c>
      <c r="M808" s="6" t="n">
        <v>120</v>
      </c>
      <c r="N808" s="6" t="n">
        <v>1</v>
      </c>
      <c r="O808" s="6" t="n"/>
      <c r="P808" s="6" t="n">
        <v>14110</v>
      </c>
      <c r="Q808" s="6" t="n">
        <v>1.25</v>
      </c>
      <c r="R808">
        <f>M808+IF(MAX(N808-1,0)&gt;0,IF(ISBLANK(O808),5*MAX(N808-1,0),IF(ISNUMBER(O808),O808*MAX(N808-1,0),SUM(IFERROR(VALUE(TEXTSPLIT(O808,",")),0)))),0)</f>
        <v/>
      </c>
      <c r="S808">
        <f>IFERROR(L808*MAX(N808,1)/R808*IF(ISBLANK(K807),1,K807),0)</f>
        <v/>
      </c>
      <c r="AB808" s="7" t="inlineStr">
        <is>
          <t>^Warhead_MissileHE_Heavy, ^Warhead_Flame_Heavy</t>
        </is>
      </c>
    </row>
    <row r="809">
      <c r="B809" s="7" t="inlineStr">
        <is>
          <t xml:space="preserve">  ↳ SCUDThermobaric</t>
        </is>
      </c>
      <c r="C809" s="7" t="inlineStr">
        <is>
          <t>Armament@HE</t>
        </is>
      </c>
      <c r="L809" s="6" t="n">
        <v>240000</v>
      </c>
      <c r="M809" s="6" t="n">
        <v>120</v>
      </c>
      <c r="N809" s="6" t="n">
        <v>1</v>
      </c>
      <c r="O809" s="6" t="n"/>
      <c r="P809" s="6" t="n">
        <v>14110</v>
      </c>
      <c r="Q809" s="6" t="n">
        <v>1</v>
      </c>
      <c r="R809">
        <f>M809+IF(MAX(N809-1,0)&gt;0,IF(ISBLANK(O809),5*MAX(N809-1,0),IF(ISNUMBER(O809),O809*MAX(N809-1,0),SUM(IFERROR(VALUE(TEXTSPLIT(O809,",")),0)))),0)</f>
        <v/>
      </c>
      <c r="S809">
        <f>IFERROR(L809*MAX(N809,1)/R809*IF(ISBLANK(K807),1,K807),0)</f>
        <v/>
      </c>
      <c r="AB809" s="7" t="inlineStr">
        <is>
          <t>^Warhead_Demolition_Heavy, ^Warhead_MissileHE_Heavy, ^Warhead_Flame_Heavy</t>
        </is>
      </c>
    </row>
    <row r="810">
      <c r="B810" s="7" t="inlineStr">
        <is>
          <t xml:space="preserve">  ↳ SCUDTesla</t>
        </is>
      </c>
      <c r="C810" s="7" t="inlineStr">
        <is>
          <t>Armament@Tesla</t>
        </is>
      </c>
      <c r="L810" s="6" t="n">
        <v>210000</v>
      </c>
      <c r="M810" s="6" t="n">
        <v>120</v>
      </c>
      <c r="N810" s="6" t="n">
        <v>1</v>
      </c>
      <c r="O810" s="6" t="n"/>
      <c r="P810" s="6" t="n">
        <v>14110</v>
      </c>
      <c r="Q810" s="6" t="n">
        <v>1</v>
      </c>
      <c r="R810">
        <f>M810+IF(MAX(N810-1,0)&gt;0,IF(ISBLANK(O810),5*MAX(N810-1,0),IF(ISNUMBER(O810),O810*MAX(N810-1,0),SUM(IFERROR(VALUE(TEXTSPLIT(O810,",")),0)))),0)</f>
        <v/>
      </c>
      <c r="S810">
        <f>IFERROR(L810*MAX(N810,1)/R810*IF(ISBLANK(K807),1,K807),0)</f>
        <v/>
      </c>
      <c r="AB810" s="7" t="inlineStr">
        <is>
          <t>^Warhead_Tesla_Heavy, ^Warhead_MissileHE_Heavy, ^Warhead_Flame_Heavy</t>
        </is>
      </c>
    </row>
    <row r="811">
      <c r="A811" t="inlineStr">
        <is>
          <t>redalert</t>
        </is>
      </c>
      <c r="B811" t="inlineStr">
        <is>
          <t>ra1_allies_alliedartillery</t>
        </is>
      </c>
      <c r="C811" t="inlineStr">
        <is>
          <t>Allied Artillery</t>
        </is>
      </c>
      <c r="D811" s="6" t="inlineStr">
        <is>
          <t>Artillery</t>
        </is>
      </c>
      <c r="E811" s="6" t="n">
        <v>20000</v>
      </c>
      <c r="F811" s="6" t="n">
        <v>60</v>
      </c>
      <c r="G811" t="inlineStr">
        <is>
          <t>Light</t>
        </is>
      </c>
      <c r="H811" s="6" t="n">
        <v>1</v>
      </c>
      <c r="I811" s="6" t="n">
        <v>0.5</v>
      </c>
      <c r="J811" s="6" t="n">
        <v>1</v>
      </c>
      <c r="P811">
        <f>MAX(P812,P813)</f>
        <v/>
      </c>
      <c r="S811">
        <f>S812+S813</f>
        <v/>
      </c>
      <c r="T811">
        <f>(E811/100000+F811/100+(P811/1000)*J811/5+S811/200)*200*I811*H811</f>
        <v/>
      </c>
      <c r="U811">
        <f>((E811*F811/25000)+((P811/1000)*J811*S811/2.5))*I811*H811</f>
        <v/>
      </c>
      <c r="V811">
        <f>(E811*F811*(P811/1000)*J811*S811*I811*H811)/12500000</f>
        <v/>
      </c>
      <c r="W811">
        <f>IFERROR((((E811/60000)+(F811/75)+(S811/500)+((P811/15000)*J811))*500/4+(((E811/60000)*(F811/75))+(((P811/15000)*J811)*(S811/500)))*500/2+((E811/60000)*(F811/75)*((P811/15000)*J811)*(S811/500))*500)*(H811/1.0)/3,"")</f>
        <v/>
      </c>
      <c r="X811" s="6" t="n">
        <v>600</v>
      </c>
      <c r="Y811">
        <f>IFERROR(W811-X811,"")</f>
        <v/>
      </c>
      <c r="Z811">
        <f>IFERROR(ABS(Y811)/MAX(X811,1),"")</f>
        <v/>
      </c>
      <c r="AA811">
        <f>IFERROR(ROUND(((3*X811-(((E811/60000)+(F811/75)+(S811/500))*500/4+((E811/60000)*(F811/75))*500/2)*(H811/1.0))/(500/4+((S811/500))*500/2+((E811/60000)*(F811/75)*(S811/500))*500)*(H811/1.0)*15000)/J811,-1),"")</f>
        <v/>
      </c>
    </row>
    <row r="812">
      <c r="B812" s="7" t="inlineStr">
        <is>
          <t xml:space="preserve">  ↳ 155mm</t>
        </is>
      </c>
      <c r="C812" s="7" t="inlineStr">
        <is>
          <t>Armament</t>
        </is>
      </c>
      <c r="L812" s="6" t="n">
        <v>30000</v>
      </c>
      <c r="M812" s="6" t="n">
        <v>80</v>
      </c>
      <c r="N812" s="6" t="n">
        <v>1</v>
      </c>
      <c r="O812" s="6" t="n"/>
      <c r="P812" s="6" t="n">
        <v>13350</v>
      </c>
      <c r="Q812" s="6" t="n">
        <v>1</v>
      </c>
      <c r="R812">
        <f>M812+IF(MAX(N812-1,0)&gt;0,IF(ISBLANK(O812),5*MAX(N812-1,0),IF(ISNUMBER(O812),O812*MAX(N812-1,0),SUM(IFERROR(VALUE(TEXTSPLIT(O812,",")),0)))),0)</f>
        <v/>
      </c>
      <c r="S812">
        <f>IFERROR(L812*MAX(N812,1)/R812*IF(ISBLANK(K811),1,K811),0)</f>
        <v/>
      </c>
      <c r="AB812" s="7" t="inlineStr">
        <is>
          <t>^HeavyCannon, ^ShrapnelWeapon, ^Grenade</t>
        </is>
      </c>
    </row>
    <row r="813">
      <c r="B813" s="7" t="inlineStr">
        <is>
          <t xml:space="preserve">  ↳ 155mmCryo</t>
        </is>
      </c>
      <c r="C813" s="7" t="inlineStr">
        <is>
          <t>Armament@Upgrade</t>
        </is>
      </c>
      <c r="L813" s="6" t="n">
        <v>30000</v>
      </c>
      <c r="M813" s="6" t="n">
        <v>80</v>
      </c>
      <c r="N813" s="6" t="n">
        <v>1</v>
      </c>
      <c r="O813" s="6" t="n"/>
      <c r="P813" s="6" t="n">
        <v>13350</v>
      </c>
      <c r="Q813" s="6" t="n">
        <v>1</v>
      </c>
      <c r="R813">
        <f>M813+IF(MAX(N813-1,0)&gt;0,IF(ISBLANK(O813),5*MAX(N813-1,0),IF(ISNUMBER(O813),O813*MAX(N813-1,0),SUM(IFERROR(VALUE(TEXTSPLIT(O813,",")),0)))),0)</f>
        <v/>
      </c>
      <c r="S813">
        <f>IFERROR(L813*MAX(N813,1)/R813*IF(ISBLANK(K811),1,K811),0)</f>
        <v/>
      </c>
      <c r="AB813" s="7" t="inlineStr">
        <is>
          <t>155mm, ^CryoMissileProjectile</t>
        </is>
      </c>
    </row>
    <row r="814">
      <c r="A814" t="inlineStr">
        <is>
          <t>tiberiansun</t>
        </is>
      </c>
      <c r="B814" t="inlineStr">
        <is>
          <t>cabal_artilleryspider</t>
        </is>
      </c>
      <c r="C814" t="inlineStr">
        <is>
          <t>Artillery Spider</t>
        </is>
      </c>
      <c r="D814" s="6" t="inlineStr">
        <is>
          <t>Artillery</t>
        </is>
      </c>
      <c r="E814" s="6" t="n">
        <v>50000</v>
      </c>
      <c r="F814" s="6" t="n">
        <v>70</v>
      </c>
      <c r="G814" t="inlineStr">
        <is>
          <t>Light</t>
        </is>
      </c>
      <c r="H814" s="6" t="n">
        <v>1</v>
      </c>
      <c r="I814" s="6" t="n">
        <v>0.5</v>
      </c>
      <c r="J814" s="6" t="n">
        <v>1.25</v>
      </c>
      <c r="P814">
        <f>MAX(P815,P816)</f>
        <v/>
      </c>
      <c r="S814">
        <f>S815+S816</f>
        <v/>
      </c>
      <c r="T814">
        <f>(E814/100000+F814/100+(P814/1000)*J814/5+S814/200)*200*I814*H814</f>
        <v/>
      </c>
      <c r="U814">
        <f>((E814*F814/25000)+((P814/1000)*J814*S814/2.5))*I814*H814</f>
        <v/>
      </c>
      <c r="V814">
        <f>(E814*F814*(P814/1000)*J814*S814*I814*H814)/12500000</f>
        <v/>
      </c>
      <c r="W814">
        <f>IFERROR((((E814/60000)+(F814/75)+(S814/500)+((P814/15000)*J814))*500/4+(((E814/60000)*(F814/75))+(((P814/15000)*J814)*(S814/500)))*500/2+((E814/60000)*(F814/75)*((P814/15000)*J814)*(S814/500))*500)*(H814/1.0)/3,"")</f>
        <v/>
      </c>
      <c r="X814" s="6" t="n">
        <v>1250</v>
      </c>
      <c r="Y814">
        <f>IFERROR(W814-X814,"")</f>
        <v/>
      </c>
      <c r="Z814">
        <f>IFERROR(ABS(Y814)/MAX(X814,1),"")</f>
        <v/>
      </c>
      <c r="AA814">
        <f>IFERROR(ROUND(((3*X814-(((E814/60000)+(F814/75)+(S814/500))*500/4+((E814/60000)*(F814/75))*500/2)*(H814/1.0))/(500/4+((S814/500))*500/2+((E814/60000)*(F814/75)*(S814/500))*500)*(H814/1.0)*15000)/J814,-1),"")</f>
        <v/>
      </c>
    </row>
    <row r="815">
      <c r="B815" s="7" t="inlineStr">
        <is>
          <t xml:space="preserve">  ↳ CabalArtilleryWalkerShell</t>
        </is>
      </c>
      <c r="C815" s="7" t="inlineStr">
        <is>
          <t>Armament@PRIMARY</t>
        </is>
      </c>
      <c r="L815" s="6" t="n">
        <v>168000</v>
      </c>
      <c r="M815" s="6" t="n">
        <v>64</v>
      </c>
      <c r="N815" s="6" t="n">
        <v>1</v>
      </c>
      <c r="O815" s="6" t="n"/>
      <c r="P815" s="6" t="n">
        <v>11580</v>
      </c>
      <c r="Q815" s="6" t="n">
        <v>1</v>
      </c>
      <c r="R815">
        <f>M815+IF(MAX(N815-1,0)&gt;0,IF(ISBLANK(O815),5*MAX(N815-1,0),IF(ISNUMBER(O815),O815*MAX(N815-1,0),SUM(IFERROR(VALUE(TEXTSPLIT(O815,",")),0)))),0)</f>
        <v/>
      </c>
      <c r="S815">
        <f>IFERROR(L815*MAX(N815,1)/R815*IF(ISBLANK(K814),1,K814),0)</f>
        <v/>
      </c>
      <c r="AB815" s="7" t="inlineStr">
        <is>
          <t>^Grenade, ^ShrapnelWeapon, ^MediumCannon, ^HeavyCannon</t>
        </is>
      </c>
    </row>
    <row r="816">
      <c r="B816" s="7" t="inlineStr">
        <is>
          <t xml:space="preserve">  ↳ CabalArtilleryWalkerShellUpgraded</t>
        </is>
      </c>
      <c r="C816" s="7" t="inlineStr">
        <is>
          <t>Armament@Upgraded</t>
        </is>
      </c>
      <c r="L816" s="6" t="n">
        <v>336000</v>
      </c>
      <c r="M816" s="6" t="n">
        <v>64</v>
      </c>
      <c r="N816" s="6" t="n">
        <v>1</v>
      </c>
      <c r="O816" s="6" t="n"/>
      <c r="P816" s="6" t="n">
        <v>11580</v>
      </c>
      <c r="Q816" s="6" t="n">
        <v>1</v>
      </c>
      <c r="R816">
        <f>M816+IF(MAX(N816-1,0)&gt;0,IF(ISBLANK(O816),5*MAX(N816-1,0),IF(ISNUMBER(O816),O816*MAX(N816-1,0),SUM(IFERROR(VALUE(TEXTSPLIT(O816,",")),0)))),0)</f>
        <v/>
      </c>
      <c r="S816">
        <f>IFERROR(L816*MAX(N816,1)/R816*IF(ISBLANK(K814),1,K814),0)</f>
        <v/>
      </c>
      <c r="AB816" s="7" t="inlineStr">
        <is>
          <t>^Grenade, ^ShrapnelWeapon, ^MediumCannon, ^HeavyCannon, ^MediumChemicalWeapon, ^TeslaChargedWeapon, ^MagicWeapon, ^RailgunWeapon</t>
        </is>
      </c>
    </row>
    <row r="817">
      <c r="A817" t="inlineStr">
        <is>
          <t>tiberiansun</t>
        </is>
      </c>
      <c r="B817" t="inlineStr">
        <is>
          <t>ts_gdi_juggernautmkii</t>
        </is>
      </c>
      <c r="C817" t="inlineStr">
        <is>
          <t>Juggernaut MK II</t>
        </is>
      </c>
      <c r="D817" s="6" t="inlineStr">
        <is>
          <t>Artillery</t>
        </is>
      </c>
      <c r="E817" s="6" t="n">
        <v>50000</v>
      </c>
      <c r="F817" s="6" t="n">
        <v>70</v>
      </c>
      <c r="G817" t="inlineStr">
        <is>
          <t>Light</t>
        </is>
      </c>
      <c r="H817" s="6" t="n">
        <v>0.6471</v>
      </c>
      <c r="I817" s="6" t="n">
        <v>1</v>
      </c>
      <c r="J817" s="6" t="n">
        <v>1</v>
      </c>
      <c r="P817">
        <f>MAX(P818)</f>
        <v/>
      </c>
      <c r="S817">
        <f>S818</f>
        <v/>
      </c>
      <c r="T817">
        <f>(E817/100000+F817/100+(P817/1000)*J817/5+S817/200)*200*I817*H817</f>
        <v/>
      </c>
      <c r="U817">
        <f>((E817*F817/25000)+((P817/1000)*J817*S817/2.5))*I817*H817</f>
        <v/>
      </c>
      <c r="V817">
        <f>(E817*F817*(P817/1000)*J817*S817*I817*H817)/12500000</f>
        <v/>
      </c>
      <c r="W817">
        <f>IFERROR((((E817/60000)+(F817/75)+(S817/500)+((P817/15000)*J817))*500/4+(((E817/60000)*(F817/75))+(((P817/15000)*J817)*(S817/500)))*500/2+((E817/60000)*(F817/75)*((P817/15000)*J817)*(S817/500))*500)*(H817/1.0)/3,"")</f>
        <v/>
      </c>
      <c r="X817" s="6" t="n">
        <v>2200</v>
      </c>
      <c r="Y817">
        <f>IFERROR(W817-X817,"")</f>
        <v/>
      </c>
      <c r="Z817">
        <f>IFERROR(ABS(Y817)/MAX(X817,1),"")</f>
        <v/>
      </c>
      <c r="AA817">
        <f>IFERROR(ROUND(((3*X817-(((E817/60000)+(F817/75)+(S817/500))*500/4+((E817/60000)*(F817/75))*500/2)*(H817/1.0))/(500/4+((S817/500))*500/2+((E817/60000)*(F817/75)*(S817/500))*500)*(H817/1.0)*15000)/J817,-1),"")</f>
        <v/>
      </c>
    </row>
    <row r="818">
      <c r="B818" s="7" t="inlineStr">
        <is>
          <t xml:space="preserve">  ↳ TSJugg120mm</t>
        </is>
      </c>
      <c r="C818" s="7" t="inlineStr">
        <is>
          <t>Armament@PRIMARY</t>
        </is>
      </c>
      <c r="L818" s="6" t="n">
        <v>40000</v>
      </c>
      <c r="M818" s="6" t="n">
        <v>64</v>
      </c>
      <c r="N818" s="6" t="n">
        <v>3</v>
      </c>
      <c r="O818" s="6" t="n">
        <v>3</v>
      </c>
      <c r="P818" s="6" t="n">
        <v>12860</v>
      </c>
      <c r="Q818" s="6" t="n">
        <v>1</v>
      </c>
      <c r="R818">
        <f>M818+IF(MAX(N818-1,0)&gt;0,IF(ISBLANK(O818),5*MAX(N818-1,0),IF(ISNUMBER(O818),O818*MAX(N818-1,0),SUM(IFERROR(VALUE(TEXTSPLIT(O818,",")),0)))),0)</f>
        <v/>
      </c>
      <c r="S818">
        <f>IFERROR(L818*MAX(N818,1)/R818*IF(ISBLANK(K817),1,K817),0)</f>
        <v/>
      </c>
      <c r="AB818" s="7" t="inlineStr">
        <is>
          <t>^Warhead_Concussion_Medium</t>
        </is>
      </c>
    </row>
    <row r="819">
      <c r="A819" t="inlineStr">
        <is>
          <t>redalert2</t>
        </is>
      </c>
      <c r="B819" t="inlineStr">
        <is>
          <t>ra2_soviets_v3rocketlauncher</t>
        </is>
      </c>
      <c r="C819" t="inlineStr">
        <is>
          <t>V3 Rocket Launcher</t>
        </is>
      </c>
      <c r="D819" s="6" t="inlineStr">
        <is>
          <t>Artillery</t>
        </is>
      </c>
      <c r="E819" s="6" t="n">
        <v>37500</v>
      </c>
      <c r="F819" s="6" t="n">
        <v>75</v>
      </c>
      <c r="G819" t="inlineStr">
        <is>
          <t>Light</t>
        </is>
      </c>
      <c r="H819" s="6" t="n">
        <v>1</v>
      </c>
      <c r="I819" s="6" t="n">
        <v>0.25</v>
      </c>
      <c r="J819" s="6" t="n">
        <v>1</v>
      </c>
      <c r="K819" t="n">
        <v>0.0125</v>
      </c>
      <c r="X819" s="6" t="n">
        <v>900</v>
      </c>
    </row>
    <row r="820">
      <c r="B820" s="7" t="inlineStr">
        <is>
          <t xml:space="preserve">  ↳ V3Launch</t>
        </is>
      </c>
      <c r="C820" s="7" t="inlineStr">
        <is>
          <t>Armament</t>
        </is>
      </c>
      <c r="M820" s="6" t="n">
        <v>50</v>
      </c>
      <c r="N820" s="6" t="n">
        <v>1</v>
      </c>
      <c r="O820" s="6" t="n"/>
      <c r="P820" s="6" t="n">
        <v>15000</v>
      </c>
      <c r="Q820" s="6" t="n">
        <v>1</v>
      </c>
      <c r="R820">
        <f>M820+IF(MAX(N820-1,0)&gt;0,IF(ISBLANK(O820),5*MAX(N820-1,0),IF(ISNUMBER(O820),O820*MAX(N820-1,0),SUM(IFERROR(VALUE(TEXTSPLIT(O820,",")),0)))),0)</f>
        <v/>
      </c>
      <c r="S820">
        <f>IFERROR(L820*MAX(N820,1)/R820*IF(ISBLANK(K819),1,K819),0)</f>
        <v/>
      </c>
      <c r="AB820" s="7" t="inlineStr"/>
    </row>
    <row r="821">
      <c r="B821" s="7" t="inlineStr">
        <is>
          <t xml:space="preserve">  ↳ V3Launch_elite</t>
        </is>
      </c>
      <c r="C821" s="7" t="inlineStr">
        <is>
          <t>Armament@PRIMARYELITE</t>
        </is>
      </c>
      <c r="M821" s="6" t="n">
        <v>50</v>
      </c>
      <c r="N821" s="6" t="n">
        <v>1</v>
      </c>
      <c r="O821" s="6" t="n"/>
      <c r="P821" s="6" t="n">
        <v>20000</v>
      </c>
      <c r="Q821" s="6" t="n">
        <v>1</v>
      </c>
      <c r="R821">
        <f>M821+IF(MAX(N821-1,0)&gt;0,IF(ISBLANK(O821),5*MAX(N821-1,0),IF(ISNUMBER(O821),O821*MAX(N821-1,0),SUM(IFERROR(VALUE(TEXTSPLIT(O821,",")),0)))),0)</f>
        <v/>
      </c>
      <c r="S821">
        <f>IFERROR(L821*MAX(N821,1)/R821*IF(ISBLANK(K819),1,K819),0)</f>
        <v/>
      </c>
      <c r="AB821" s="7" t="inlineStr"/>
    </row>
    <row r="822">
      <c r="A822" t="inlineStr">
        <is>
          <t>redalert2mod</t>
        </is>
      </c>
      <c r="B822" t="inlineStr">
        <is>
          <t>asianalliance_viper</t>
        </is>
      </c>
      <c r="C822" t="inlineStr">
        <is>
          <t>Viper</t>
        </is>
      </c>
      <c r="D822" s="6" t="inlineStr">
        <is>
          <t>Artillery</t>
        </is>
      </c>
      <c r="E822" s="6" t="n">
        <v>25000</v>
      </c>
      <c r="F822" s="6" t="n">
        <v>125</v>
      </c>
      <c r="G822" t="inlineStr">
        <is>
          <t>Light</t>
        </is>
      </c>
      <c r="H822" s="6" t="n">
        <v>0.6875</v>
      </c>
      <c r="I822" s="6" t="n">
        <v>1</v>
      </c>
      <c r="J822" s="6" t="n">
        <v>1</v>
      </c>
      <c r="P822">
        <f>MAX(P823,P824)</f>
        <v/>
      </c>
      <c r="S822">
        <f>S823+S824</f>
        <v/>
      </c>
      <c r="T822">
        <f>(E822/100000+F822/100+(P822/1000)*J822/5+S822/200)*200*I822*H822</f>
        <v/>
      </c>
      <c r="U822">
        <f>((E822*F822/25000)+((P822/1000)*J822*S822/2.5))*I822*H822</f>
        <v/>
      </c>
      <c r="V822">
        <f>(E822*F822*(P822/1000)*J822*S822*I822*H822)/12500000</f>
        <v/>
      </c>
      <c r="W822">
        <f>IFERROR((((E822/60000)+(F822/75)+(S822/500)+((P822/15000)*J822))*500/4+(((E822/60000)*(F822/75))+(((P822/15000)*J822)*(S822/500)))*500/2+((E822/60000)*(F822/75)*((P822/15000)*J822)*(S822/500))*500)*(H822/1.0)/3,"")</f>
        <v/>
      </c>
      <c r="X822" s="6" t="n">
        <v>700</v>
      </c>
      <c r="Y822">
        <f>IFERROR(W822-X822,"")</f>
        <v/>
      </c>
      <c r="Z822">
        <f>IFERROR(ABS(Y822)/MAX(X822,1),"")</f>
        <v/>
      </c>
      <c r="AA822">
        <f>IFERROR(ROUND(((3*X822-(((E822/60000)+(F822/75)+(S822/500))*500/4+((E822/60000)*(F822/75))*500/2)*(H822/1.0))/(500/4+((S822/500))*500/2+((E822/60000)*(F822/75)*(S822/500))*500)*(H822/1.0)*15000)/J822,-1),"")</f>
        <v/>
      </c>
    </row>
    <row r="823">
      <c r="B823" s="7" t="inlineStr">
        <is>
          <t xml:space="preserve">  ↳ AsianChemical</t>
        </is>
      </c>
      <c r="C823" s="7" t="inlineStr">
        <is>
          <t>Armament@PRIMARY</t>
        </is>
      </c>
      <c r="L823" s="6" t="n">
        <v>24000</v>
      </c>
      <c r="M823" s="6" t="n">
        <v>60</v>
      </c>
      <c r="N823" s="6" t="n">
        <v>1</v>
      </c>
      <c r="O823" s="6" t="n"/>
      <c r="P823" s="6" t="n">
        <v>9000</v>
      </c>
      <c r="Q823" s="6" t="n">
        <v>0.75</v>
      </c>
      <c r="R823">
        <f>M823+IF(MAX(N823-1,0)&gt;0,IF(ISBLANK(O823),5*MAX(N823-1,0),IF(ISNUMBER(O823),O823*MAX(N823-1,0),SUM(IFERROR(VALUE(TEXTSPLIT(O823,",")),0)))),0)</f>
        <v/>
      </c>
      <c r="S823">
        <f>IFERROR(L823*MAX(N823,1)/R823*IF(ISBLANK(K822),1,K822),0)</f>
        <v/>
      </c>
      <c r="AB823" s="7" t="inlineStr">
        <is>
          <t>^Warhead_Demolition_Light</t>
        </is>
      </c>
    </row>
    <row r="824">
      <c r="B824" s="7" t="inlineStr">
        <is>
          <t xml:space="preserve">  ↳ AsianChemical_elite</t>
        </is>
      </c>
      <c r="C824" s="7" t="inlineStr">
        <is>
          <t>Armament@ELITE</t>
        </is>
      </c>
      <c r="L824" s="6" t="n">
        <v>24000</v>
      </c>
      <c r="M824" s="6" t="n">
        <v>60</v>
      </c>
      <c r="N824" s="6" t="n">
        <v>2</v>
      </c>
      <c r="O824" s="6" t="n">
        <v>3</v>
      </c>
      <c r="P824" s="6" t="n">
        <v>10000</v>
      </c>
      <c r="Q824" s="6" t="n">
        <v>0.75</v>
      </c>
      <c r="R824">
        <f>M824+IF(MAX(N824-1,0)&gt;0,IF(ISBLANK(O824),5*MAX(N824-1,0),IF(ISNUMBER(O824),O824*MAX(N824-1,0),SUM(IFERROR(VALUE(TEXTSPLIT(O824,",")),0)))),0)</f>
        <v/>
      </c>
      <c r="S824">
        <f>IFERROR(L824*MAX(N824,1)/R824*IF(ISBLANK(K822),1,K822),0)</f>
        <v/>
      </c>
      <c r="AB824" s="7" t="inlineStr">
        <is>
          <t>^Warhead_Demolition_Light</t>
        </is>
      </c>
    </row>
    <row r="825">
      <c r="A825" t="inlineStr">
        <is>
          <t>redalert2mod</t>
        </is>
      </c>
      <c r="B825" t="inlineStr">
        <is>
          <t>steelconsortium_dagger</t>
        </is>
      </c>
      <c r="C825" t="inlineStr">
        <is>
          <t>Dagger</t>
        </is>
      </c>
      <c r="D825" s="6" t="inlineStr">
        <is>
          <t>Artillery</t>
        </is>
      </c>
      <c r="E825" s="6" t="n">
        <v>25000</v>
      </c>
      <c r="F825" s="6" t="n">
        <v>100</v>
      </c>
      <c r="G825" t="inlineStr">
        <is>
          <t>Light</t>
        </is>
      </c>
      <c r="H825" s="6" t="n">
        <v>0.75</v>
      </c>
      <c r="I825" s="6" t="n">
        <v>1</v>
      </c>
      <c r="J825" s="6" t="n">
        <v>1</v>
      </c>
      <c r="P825">
        <f>MAX(P826,P827)</f>
        <v/>
      </c>
      <c r="S825">
        <f>S826+S827</f>
        <v/>
      </c>
      <c r="T825">
        <f>(E825/100000+F825/100+(P825/1000)*J825/5+S825/200)*200*I825*H825</f>
        <v/>
      </c>
      <c r="U825">
        <f>((E825*F825/25000)+((P825/1000)*J825*S825/2.5))*I825*H825</f>
        <v/>
      </c>
      <c r="V825">
        <f>(E825*F825*(P825/1000)*J825*S825*I825*H825)/12500000</f>
        <v/>
      </c>
      <c r="W825">
        <f>IFERROR((((E825/60000)+(F825/75)+(S825/500)+((P825/15000)*J825))*500/4+(((E825/60000)*(F825/75))+(((P825/15000)*J825)*(S825/500)))*500/2+((E825/60000)*(F825/75)*((P825/15000)*J825)*(S825/500))*500)*(H825/1.0)/3,"")</f>
        <v/>
      </c>
      <c r="X825" s="6" t="n">
        <v>1300</v>
      </c>
      <c r="Y825">
        <f>IFERROR(W825-X825,"")</f>
        <v/>
      </c>
      <c r="Z825">
        <f>IFERROR(ABS(Y825)/MAX(X825,1),"")</f>
        <v/>
      </c>
      <c r="AA825">
        <f>IFERROR(ROUND(((3*X825-(((E825/60000)+(F825/75)+(S825/500))*500/4+((E825/60000)*(F825/75))*500/2)*(H825/1.0))/(500/4+((S825/500))*500/2+((E825/60000)*(F825/75)*(S825/500))*500)*(H825/1.0)*15000)/J825,-1),"")</f>
        <v/>
      </c>
    </row>
    <row r="826">
      <c r="B826" s="7" t="inlineStr">
        <is>
          <t xml:space="preserve">  ↳ SteelDaggerCannon</t>
        </is>
      </c>
      <c r="C826" s="7" t="inlineStr">
        <is>
          <t>Armament@PRIMARY</t>
        </is>
      </c>
      <c r="L826" s="6" t="n">
        <v>8000</v>
      </c>
      <c r="M826" s="6" t="n">
        <v>50</v>
      </c>
      <c r="N826" s="6" t="n">
        <v>4</v>
      </c>
      <c r="O826" s="6" t="n">
        <v>0</v>
      </c>
      <c r="P826" s="6" t="n">
        <v>20000</v>
      </c>
      <c r="Q826" s="6" t="n">
        <v>1</v>
      </c>
      <c r="R826">
        <f>M826+IF(MAX(N826-1,0)&gt;0,IF(ISBLANK(O826),5*MAX(N826-1,0),IF(ISNUMBER(O826),O826*MAX(N826-1,0),SUM(IFERROR(VALUE(TEXTSPLIT(O826,",")),0)))),0)</f>
        <v/>
      </c>
      <c r="S826">
        <f>IFERROR(L826*MAX(N826,1)/R826*IF(ISBLANK(K825),1,K825),0)</f>
        <v/>
      </c>
      <c r="AB826" s="7" t="inlineStr">
        <is>
          <t>^Warhead_Demolition_Light, ^Warhead_CannonHE_Heavy</t>
        </is>
      </c>
    </row>
    <row r="827">
      <c r="B827" s="7" t="inlineStr">
        <is>
          <t xml:space="preserve">  ↳ SteelDaggerCannon_elite</t>
        </is>
      </c>
      <c r="C827" s="7" t="inlineStr">
        <is>
          <t>Armament@ELITE</t>
        </is>
      </c>
      <c r="L827" s="6" t="n">
        <v>8000</v>
      </c>
      <c r="M827" s="6" t="n">
        <v>50</v>
      </c>
      <c r="N827" s="6" t="n">
        <v>8</v>
      </c>
      <c r="O827" s="6" t="n">
        <v>0</v>
      </c>
      <c r="P827" s="6" t="n">
        <v>25000</v>
      </c>
      <c r="Q827" s="6" t="n">
        <v>1</v>
      </c>
      <c r="R827">
        <f>M827+IF(MAX(N827-1,0)&gt;0,IF(ISBLANK(O827),5*MAX(N827-1,0),IF(ISNUMBER(O827),O827*MAX(N827-1,0),SUM(IFERROR(VALUE(TEXTSPLIT(O827,",")),0)))),0)</f>
        <v/>
      </c>
      <c r="S827">
        <f>IFERROR(L827*MAX(N827,1)/R827*IF(ISBLANK(K825),1,K825),0)</f>
        <v/>
      </c>
      <c r="AB827" s="7" t="inlineStr">
        <is>
          <t>^Warhead_Demolition_Light, ^Warhead_CannonHE_Heavy</t>
        </is>
      </c>
    </row>
    <row r="828">
      <c r="A828" t="inlineStr">
        <is>
          <t>redalert2mod</t>
        </is>
      </c>
      <c r="B828" t="inlineStr">
        <is>
          <t>steelconsortium_hammerheadartillerytank</t>
        </is>
      </c>
      <c r="C828" t="inlineStr">
        <is>
          <t>Hammerhead Artillery Tank</t>
        </is>
      </c>
      <c r="D828" s="6" t="inlineStr">
        <is>
          <t>Artillery</t>
        </is>
      </c>
      <c r="E828" s="6" t="n">
        <v>52500</v>
      </c>
      <c r="F828" s="6" t="n">
        <v>100</v>
      </c>
      <c r="G828" t="inlineStr">
        <is>
          <t>Light</t>
        </is>
      </c>
      <c r="H828" s="6" t="n">
        <v>0.6735</v>
      </c>
      <c r="I828" s="6" t="n">
        <v>1</v>
      </c>
      <c r="J828" s="6" t="n">
        <v>1</v>
      </c>
      <c r="P828">
        <f>MAX(P829,P830)</f>
        <v/>
      </c>
      <c r="S828">
        <f>S829+S830</f>
        <v/>
      </c>
      <c r="T828">
        <f>(E828/100000+F828/100+(P828/1000)*J828/5+S828/200)*200*I828*H828</f>
        <v/>
      </c>
      <c r="U828">
        <f>((E828*F828/25000)+((P828/1000)*J828*S828/2.5))*I828*H828</f>
        <v/>
      </c>
      <c r="V828">
        <f>(E828*F828*(P828/1000)*J828*S828*I828*H828)/12500000</f>
        <v/>
      </c>
      <c r="W828">
        <f>IFERROR((((E828/60000)+(F828/75)+(S828/500)+((P828/15000)*J828))*500/4+(((E828/60000)*(F828/75))+(((P828/15000)*J828)*(S828/500)))*500/2+((E828/60000)*(F828/75)*((P828/15000)*J828)*(S828/500))*500)*(H828/1.0)/3,"")</f>
        <v/>
      </c>
      <c r="X828" s="6" t="n">
        <v>1000</v>
      </c>
      <c r="Y828">
        <f>IFERROR(W828-X828,"")</f>
        <v/>
      </c>
      <c r="Z828">
        <f>IFERROR(ABS(Y828)/MAX(X828,1),"")</f>
        <v/>
      </c>
      <c r="AA828">
        <f>IFERROR(ROUND(((3*X828-(((E828/60000)+(F828/75)+(S828/500))*500/4+((E828/60000)*(F828/75))*500/2)*(H828/1.0))/(500/4+((S828/500))*500/2+((E828/60000)*(F828/75)*(S828/500))*500)*(H828/1.0)*15000)/J828,-1),"")</f>
        <v/>
      </c>
    </row>
    <row r="829">
      <c r="B829" s="7" t="inlineStr">
        <is>
          <t xml:space="preserve">  ↳ HammerheadTankCannon</t>
        </is>
      </c>
      <c r="C829" s="7" t="inlineStr">
        <is>
          <t>Armament@Undeployed</t>
        </is>
      </c>
      <c r="L829" s="6" t="n">
        <v>24000</v>
      </c>
      <c r="M829" s="6" t="n">
        <v>55</v>
      </c>
      <c r="N829" s="6" t="n">
        <v>1</v>
      </c>
      <c r="O829" s="6" t="n"/>
      <c r="P829" s="6" t="n">
        <v>5150</v>
      </c>
      <c r="Q829" s="6" t="n">
        <v>1</v>
      </c>
      <c r="R829">
        <f>M829+IF(MAX(N829-1,0)&gt;0,IF(ISBLANK(O829),5*MAX(N829-1,0),IF(ISNUMBER(O829),O829*MAX(N829-1,0),SUM(IFERROR(VALUE(TEXTSPLIT(O829,",")),0)))),0)</f>
        <v/>
      </c>
      <c r="S829">
        <f>IFERROR(L829*MAX(N829,1)/R829*IF(ISBLANK(K828),1,K828),0)</f>
        <v/>
      </c>
      <c r="AB829" s="7" t="inlineStr">
        <is>
          <t>^Warhead_CannonHE_Medium</t>
        </is>
      </c>
    </row>
    <row r="830">
      <c r="B830" s="7" t="inlineStr">
        <is>
          <t xml:space="preserve">  ↳ HammerheadArtillery</t>
        </is>
      </c>
      <c r="C830" s="7" t="inlineStr">
        <is>
          <t>Armament@Deployed</t>
        </is>
      </c>
      <c r="L830" s="6" t="n">
        <v>33333</v>
      </c>
      <c r="M830" s="6" t="n">
        <v>111</v>
      </c>
      <c r="N830" s="6" t="n">
        <v>1</v>
      </c>
      <c r="O830" s="6" t="n"/>
      <c r="P830" s="6" t="n">
        <v>11111</v>
      </c>
      <c r="Q830" s="6" t="n">
        <v>1.125</v>
      </c>
      <c r="R830">
        <f>M830+IF(MAX(N830-1,0)&gt;0,IF(ISBLANK(O830),5*MAX(N830-1,0),IF(ISNUMBER(O830),O830*MAX(N830-1,0),SUM(IFERROR(VALUE(TEXTSPLIT(O830,",")),0)))),0)</f>
        <v/>
      </c>
      <c r="S830">
        <f>IFERROR(L830*MAX(N830,1)/R830*IF(ISBLANK(K828),1,K828),0)</f>
        <v/>
      </c>
      <c r="AB830" s="7" t="inlineStr">
        <is>
          <t>^Warhead_Demolition_Heavy, ^Warhead_CannonHE_Medium</t>
        </is>
      </c>
    </row>
    <row r="831">
      <c r="B831" s="7" t="inlineStr">
        <is>
          <t xml:space="preserve">  ↳ deploytargeting_10c0</t>
        </is>
      </c>
      <c r="C831" s="7" t="inlineStr">
        <is>
          <t>Armament@BOT</t>
        </is>
      </c>
      <c r="M831" s="6" t="n">
        <v>50</v>
      </c>
      <c r="N831" s="6" t="n">
        <v>1</v>
      </c>
      <c r="O831" s="6" t="n"/>
      <c r="P831" s="6" t="n">
        <v>10000</v>
      </c>
      <c r="Q831" s="6" t="n">
        <v>1</v>
      </c>
      <c r="R831">
        <f>M831+IF(MAX(N831-1,0)&gt;0,IF(ISBLANK(O831),5*MAX(N831-1,0),IF(ISNUMBER(O831),O831*MAX(N831-1,0),SUM(IFERROR(VALUE(TEXTSPLIT(O831,",")),0)))),0)</f>
        <v/>
      </c>
      <c r="S831">
        <f>IFERROR(L831*MAX(N831,1)/R831*IF(ISBLANK(K828),1,K828),0)</f>
        <v/>
      </c>
      <c r="AB831" s="7" t="inlineStr">
        <is>
          <t>^DeployTargeting</t>
        </is>
      </c>
    </row>
    <row r="832">
      <c r="A832" t="inlineStr">
        <is>
          <t>redalert2mod</t>
        </is>
      </c>
      <c r="B832" t="inlineStr">
        <is>
          <t>latinsyndicate_burrito</t>
        </is>
      </c>
      <c r="C832" t="inlineStr">
        <is>
          <t>Burrito</t>
        </is>
      </c>
      <c r="D832" s="6" t="inlineStr">
        <is>
          <t>Artillery</t>
        </is>
      </c>
      <c r="E832" s="6" t="n">
        <v>35000</v>
      </c>
      <c r="F832" s="6" t="n">
        <v>80</v>
      </c>
      <c r="G832" t="inlineStr">
        <is>
          <t>Light</t>
        </is>
      </c>
      <c r="H832" s="6" t="n">
        <v>0.75</v>
      </c>
      <c r="I832" s="6" t="n">
        <v>0.5</v>
      </c>
      <c r="J832" s="6" t="n">
        <v>1</v>
      </c>
      <c r="K832" t="n">
        <v>0.0125</v>
      </c>
      <c r="P832">
        <f>MAX(P833,P834)</f>
        <v/>
      </c>
      <c r="S832">
        <f>S833+S834</f>
        <v/>
      </c>
      <c r="T832">
        <f>(E832/100000+F832/100+(P832/1000)*J832/5+S832/200)*200*I832*H832</f>
        <v/>
      </c>
      <c r="U832">
        <f>((E832*F832/25000)+((P832/1000)*J832*S832/2.5))*I832*H832</f>
        <v/>
      </c>
      <c r="V832">
        <f>(E832*F832*(P832/1000)*J832*S832*I832*H832)/12500000</f>
        <v/>
      </c>
      <c r="W832">
        <f>IFERROR((((E832/60000)+(F832/75)+(S832/500)+((P832/15000)*J832))*500/4+(((E832/60000)*(F832/75))+(((P832/15000)*J832)*(S832/500)))*500/2+((E832/60000)*(F832/75)*((P832/15000)*J832)*(S832/500))*500)*(H832/1.0)/3,"")</f>
        <v/>
      </c>
      <c r="X832" s="6" t="n">
        <v>1800</v>
      </c>
      <c r="Y832">
        <f>IFERROR(W832-X832,"")</f>
        <v/>
      </c>
      <c r="Z832">
        <f>IFERROR(ABS(Y832)/MAX(X832,1),"")</f>
        <v/>
      </c>
      <c r="AA832">
        <f>IFERROR(ROUND(((3*X832-(((E832/60000)+(F832/75)+(S832/500))*500/4+((E832/60000)*(F832/75))*500/2)*(H832/1.0))/(500/4+((S832/500))*500/2+((E832/60000)*(F832/75)*(S832/500))*500)*(H832/1.0)*15000)/J832,-1),"")</f>
        <v/>
      </c>
    </row>
    <row r="833">
      <c r="B833" s="7" t="inlineStr">
        <is>
          <t xml:space="preserve">  ↳ RA2RBurritoRocket</t>
        </is>
      </c>
      <c r="C833" s="7" t="inlineStr">
        <is>
          <t>Armament</t>
        </is>
      </c>
      <c r="L833" s="6" t="n">
        <v>20000</v>
      </c>
      <c r="M833" s="6" t="n">
        <v>122</v>
      </c>
      <c r="N833" s="6" t="n">
        <v>8</v>
      </c>
      <c r="O833" s="6" t="n">
        <v>4</v>
      </c>
      <c r="P833" s="6" t="n">
        <v>12000</v>
      </c>
      <c r="Q833" s="6" t="n">
        <v>1</v>
      </c>
      <c r="R833">
        <f>M833+IF(MAX(N833-1,0)&gt;0,IF(ISBLANK(O833),5*MAX(N833-1,0),IF(ISNUMBER(O833),O833*MAX(N833-1,0),SUM(IFERROR(VALUE(TEXTSPLIT(O833,",")),0)))),0)</f>
        <v/>
      </c>
      <c r="S833">
        <f>IFERROR(L833*MAX(N833,1)/R833*IF(ISBLANK(K832),1,K832),0)</f>
        <v/>
      </c>
      <c r="AB833" s="7" t="inlineStr">
        <is>
          <t>^Warhead_Demolition_Light, ^Warhead_MissileAP_Heavy</t>
        </is>
      </c>
    </row>
    <row r="834">
      <c r="B834" s="7" t="inlineStr">
        <is>
          <t xml:space="preserve">  ↳ RA2RBurritoRocket</t>
        </is>
      </c>
      <c r="C834" s="7" t="inlineStr">
        <is>
          <t>Armament@PRIMARYELITE</t>
        </is>
      </c>
      <c r="L834" s="6" t="n">
        <v>20000</v>
      </c>
      <c r="M834" s="6" t="n">
        <v>122</v>
      </c>
      <c r="N834" s="6" t="n">
        <v>8</v>
      </c>
      <c r="O834" s="6" t="n">
        <v>4</v>
      </c>
      <c r="P834" s="6" t="n">
        <v>12000</v>
      </c>
      <c r="Q834" s="6" t="n">
        <v>1</v>
      </c>
      <c r="R834">
        <f>M834+IF(MAX(N834-1,0)&gt;0,IF(ISBLANK(O834),5*MAX(N834-1,0),IF(ISNUMBER(O834),O834*MAX(N834-1,0),SUM(IFERROR(VALUE(TEXTSPLIT(O834,",")),0)))),0)</f>
        <v/>
      </c>
      <c r="S834">
        <f>IFERROR(L834*MAX(N834,1)/R834*IF(ISBLANK(K832),1,K832),0)</f>
        <v/>
      </c>
      <c r="AB834" s="7" t="inlineStr">
        <is>
          <t>^Warhead_Demolition_Light, ^Warhead_MissileAP_Heavy</t>
        </is>
      </c>
    </row>
    <row r="835">
      <c r="A835" t="inlineStr">
        <is>
          <t>redalert2mod</t>
        </is>
      </c>
      <c r="B835" t="inlineStr">
        <is>
          <t>naxis_brummbar</t>
        </is>
      </c>
      <c r="C835" t="inlineStr">
        <is>
          <t>Brummbär</t>
        </is>
      </c>
      <c r="D835" s="6" t="inlineStr">
        <is>
          <t>Artillery</t>
        </is>
      </c>
      <c r="E835" s="6" t="n">
        <v>90000</v>
      </c>
      <c r="F835" s="6" t="n">
        <v>60</v>
      </c>
      <c r="G835" t="inlineStr">
        <is>
          <t>Light</t>
        </is>
      </c>
      <c r="H835" s="6" t="n">
        <v>0.6846</v>
      </c>
      <c r="I835" s="6" t="n">
        <v>1</v>
      </c>
      <c r="J835" s="6" t="n">
        <v>1</v>
      </c>
      <c r="P835">
        <f>MAX(P836,P837)</f>
        <v/>
      </c>
      <c r="S835">
        <f>S836+S837</f>
        <v/>
      </c>
      <c r="T835">
        <f>(E835/100000+F835/100+(P835/1000)*J835/5+S835/200)*200*I835*H835</f>
        <v/>
      </c>
      <c r="U835">
        <f>((E835*F835/25000)+((P835/1000)*J835*S835/2.5))*I835*H835</f>
        <v/>
      </c>
      <c r="V835">
        <f>(E835*F835*(P835/1000)*J835*S835*I835*H835)/12500000</f>
        <v/>
      </c>
      <c r="W835">
        <f>IFERROR((((E835/60000)+(F835/75)+(S835/500)+((P835/15000)*J835))*500/4+(((E835/60000)*(F835/75))+(((P835/15000)*J835)*(S835/500)))*500/2+((E835/60000)*(F835/75)*((P835/15000)*J835)*(S835/500))*500)*(H835/1.0)/3,"")</f>
        <v/>
      </c>
      <c r="X835" s="6" t="n">
        <v>1100</v>
      </c>
      <c r="Y835">
        <f>IFERROR(W835-X835,"")</f>
        <v/>
      </c>
      <c r="Z835">
        <f>IFERROR(ABS(Y835)/MAX(X835,1),"")</f>
        <v/>
      </c>
      <c r="AA835">
        <f>IFERROR(ROUND(((3*X835-(((E835/60000)+(F835/75)+(S835/500))*500/4+((E835/60000)*(F835/75))*500/2)*(H835/1.0))/(500/4+((S835/500))*500/2+((E835/60000)*(F835/75)*(S835/500))*500)*(H835/1.0)*15000)/J835,-1),"")</f>
        <v/>
      </c>
    </row>
    <row r="836">
      <c r="B836" s="7" t="inlineStr">
        <is>
          <t xml:space="preserve">  ↳ NaxBrummbarArty</t>
        </is>
      </c>
      <c r="C836" s="7" t="inlineStr">
        <is>
          <t>Armament@AG</t>
        </is>
      </c>
      <c r="L836" s="6" t="n">
        <v>42000</v>
      </c>
      <c r="M836" s="6" t="n">
        <v>140</v>
      </c>
      <c r="N836" s="6" t="n">
        <v>1</v>
      </c>
      <c r="O836" s="6" t="n"/>
      <c r="P836" s="6" t="n">
        <v>14000</v>
      </c>
      <c r="Q836" s="6" t="n">
        <v>1</v>
      </c>
      <c r="R836">
        <f>M836+IF(MAX(N836-1,0)&gt;0,IF(ISBLANK(O836),5*MAX(N836-1,0),IF(ISNUMBER(O836),O836*MAX(N836-1,0),SUM(IFERROR(VALUE(TEXTSPLIT(O836,",")),0)))),0)</f>
        <v/>
      </c>
      <c r="S836">
        <f>IFERROR(L836*MAX(N836,1)/R836*IF(ISBLANK(K835),1,K835),0)</f>
        <v/>
      </c>
      <c r="AB836" s="7" t="inlineStr">
        <is>
          <t>^Warhead_Demolition_Heavy, ^Warhead_Concussion_Medium, ^Warhead_CannonHE_Heavy</t>
        </is>
      </c>
    </row>
    <row r="837">
      <c r="B837" s="7" t="inlineStr">
        <is>
          <t xml:space="preserve">  ↳ NaxBrummbarArty_elite</t>
        </is>
      </c>
      <c r="C837" s="7" t="inlineStr">
        <is>
          <t>Armament@elite</t>
        </is>
      </c>
      <c r="L837" s="6" t="n">
        <v>42000</v>
      </c>
      <c r="M837" s="6" t="n">
        <v>140</v>
      </c>
      <c r="N837" s="6" t="n">
        <v>2</v>
      </c>
      <c r="O837" s="6" t="n">
        <v>3</v>
      </c>
      <c r="P837" s="6" t="n">
        <v>15000</v>
      </c>
      <c r="Q837" s="6" t="n">
        <v>1</v>
      </c>
      <c r="R837">
        <f>M837+IF(MAX(N837-1,0)&gt;0,IF(ISBLANK(O837),5*MAX(N837-1,0),IF(ISNUMBER(O837),O837*MAX(N837-1,0),SUM(IFERROR(VALUE(TEXTSPLIT(O837,",")),0)))),0)</f>
        <v/>
      </c>
      <c r="S837">
        <f>IFERROR(L837*MAX(N837,1)/R837*IF(ISBLANK(K835),1,K835),0)</f>
        <v/>
      </c>
      <c r="AB837" s="7" t="inlineStr">
        <is>
          <t>^Warhead_Demolition_Heavy, ^Warhead_Concussion_Medium, ^Warhead_CannonHE_Heavy</t>
        </is>
      </c>
    </row>
    <row r="838">
      <c r="A838" t="inlineStr">
        <is>
          <t>redalert2mod</t>
        </is>
      </c>
      <c r="B838" t="inlineStr">
        <is>
          <t>naxis_donnerschlag</t>
        </is>
      </c>
      <c r="C838" t="inlineStr">
        <is>
          <t>Donnerschlag</t>
        </is>
      </c>
      <c r="D838" s="6" t="inlineStr">
        <is>
          <t>Artillery</t>
        </is>
      </c>
      <c r="E838" s="6" t="n">
        <v>80000</v>
      </c>
      <c r="F838" s="6" t="n">
        <v>40</v>
      </c>
      <c r="G838" t="inlineStr">
        <is>
          <t>Light</t>
        </is>
      </c>
      <c r="H838" s="6" t="n">
        <v>1</v>
      </c>
      <c r="I838" s="6" t="n">
        <v>0.5</v>
      </c>
      <c r="J838" s="6" t="n">
        <v>1</v>
      </c>
      <c r="K838" t="n">
        <v>0.0125</v>
      </c>
      <c r="X838" s="6" t="n">
        <v>2300</v>
      </c>
    </row>
    <row r="839">
      <c r="B839" s="7" t="inlineStr">
        <is>
          <t xml:space="preserve">  ↳ NaxisDonnerschlagTarget</t>
        </is>
      </c>
      <c r="C839" s="7" t="inlineStr">
        <is>
          <t>Armament</t>
        </is>
      </c>
      <c r="M839" s="6" t="n">
        <v>15</v>
      </c>
      <c r="N839" s="6" t="n">
        <v>1</v>
      </c>
      <c r="O839" s="6" t="n"/>
      <c r="P839" s="6" t="n">
        <v>20130</v>
      </c>
      <c r="Q839" s="6" t="n">
        <v>1</v>
      </c>
      <c r="R839">
        <f>M839+IF(MAX(N839-1,0)&gt;0,IF(ISBLANK(O839),5*MAX(N839-1,0),IF(ISNUMBER(O839),O839*MAX(N839-1,0),SUM(IFERROR(VALUE(TEXTSPLIT(O839,",")),0)))),0)</f>
        <v/>
      </c>
      <c r="S839">
        <f>IFERROR(L839*MAX(N839,1)/R839*IF(ISBLANK(K838),1,K838),0)</f>
        <v/>
      </c>
      <c r="AB839" s="7" t="inlineStr"/>
    </row>
    <row r="840">
      <c r="B840" s="7" t="inlineStr">
        <is>
          <t xml:space="preserve">  ↳ NaxisDonnerschlagTargetVisualLaser</t>
        </is>
      </c>
      <c r="C840" s="7" t="inlineStr">
        <is>
          <t>Armament@VISUAL</t>
        </is>
      </c>
      <c r="M840" s="6" t="n">
        <v>3</v>
      </c>
      <c r="N840" s="6" t="n">
        <v>1</v>
      </c>
      <c r="O840" s="6" t="n"/>
      <c r="P840" s="6" t="n">
        <v>20130</v>
      </c>
      <c r="Q840" s="6" t="n">
        <v>1</v>
      </c>
      <c r="R840">
        <f>M840+IF(MAX(N840-1,0)&gt;0,IF(ISBLANK(O840),5*MAX(N840-1,0),IF(ISNUMBER(O840),O840*MAX(N840-1,0),SUM(IFERROR(VALUE(TEXTSPLIT(O840,",")),0)))),0)</f>
        <v/>
      </c>
      <c r="S840">
        <f>IFERROR(L840*MAX(N840,1)/R840*IF(ISBLANK(K838),1,K838),0)</f>
        <v/>
      </c>
      <c r="AB840" s="7" t="inlineStr"/>
    </row>
    <row r="841">
      <c r="A841" t="inlineStr">
        <is>
          <t>redalert2mod</t>
        </is>
      </c>
      <c r="B841" t="inlineStr">
        <is>
          <t>naxis_grille</t>
        </is>
      </c>
      <c r="C841" t="inlineStr">
        <is>
          <t>Grille</t>
        </is>
      </c>
      <c r="D841" s="6" t="inlineStr">
        <is>
          <t>Artillery</t>
        </is>
      </c>
      <c r="E841" s="6" t="n">
        <v>40000</v>
      </c>
      <c r="F841" s="6" t="n">
        <v>80</v>
      </c>
      <c r="G841" t="inlineStr">
        <is>
          <t>Light</t>
        </is>
      </c>
      <c r="H841" s="6" t="n">
        <v>1</v>
      </c>
      <c r="I841" s="6" t="n">
        <v>0.5</v>
      </c>
      <c r="J841" s="6" t="n">
        <v>1</v>
      </c>
      <c r="P841">
        <f>MAX(P842,P843)</f>
        <v/>
      </c>
      <c r="S841">
        <f>S842+S843</f>
        <v/>
      </c>
      <c r="T841">
        <f>(E841/100000+F841/100+(P841/1000)*J841/5+S841/200)*200*I841*H841</f>
        <v/>
      </c>
      <c r="U841">
        <f>((E841*F841/25000)+((P841/1000)*J841*S841/2.5))*I841*H841</f>
        <v/>
      </c>
      <c r="V841">
        <f>(E841*F841*(P841/1000)*J841*S841*I841*H841)/12500000</f>
        <v/>
      </c>
      <c r="W841">
        <f>IFERROR((((E841/60000)+(F841/75)+(S841/500)+((P841/15000)*J841))*500/4+(((E841/60000)*(F841/75))+(((P841/15000)*J841)*(S841/500)))*500/2+((E841/60000)*(F841/75)*((P841/15000)*J841)*(S841/500))*500)*(H841/1.0)/3,"")</f>
        <v/>
      </c>
      <c r="X841" s="6" t="n">
        <v>800</v>
      </c>
      <c r="Y841">
        <f>IFERROR(W841-X841,"")</f>
        <v/>
      </c>
      <c r="Z841">
        <f>IFERROR(ABS(Y841)/MAX(X841,1),"")</f>
        <v/>
      </c>
      <c r="AA841">
        <f>IFERROR(ROUND(((3*X841-(((E841/60000)+(F841/75)+(S841/500))*500/4+((E841/60000)*(F841/75))*500/2)*(H841/1.0))/(500/4+((S841/500))*500/2+((E841/60000)*(F841/75)*(S841/500))*500)*(H841/1.0)*15000)/J841,-1),"")</f>
        <v/>
      </c>
    </row>
    <row r="842">
      <c r="B842" s="7" t="inlineStr">
        <is>
          <t xml:space="preserve">  ↳ NaxGrilleArty</t>
        </is>
      </c>
      <c r="C842" s="7" t="inlineStr">
        <is>
          <t>Armament@AG</t>
        </is>
      </c>
      <c r="L842" s="6" t="n">
        <v>48000</v>
      </c>
      <c r="M842" s="6" t="n">
        <v>111</v>
      </c>
      <c r="N842" s="6" t="n">
        <v>1</v>
      </c>
      <c r="O842" s="6" t="n"/>
      <c r="P842" s="6" t="n">
        <v>12345</v>
      </c>
      <c r="Q842" s="6" t="n">
        <v>1</v>
      </c>
      <c r="R842">
        <f>M842+IF(MAX(N842-1,0)&gt;0,IF(ISBLANK(O842),5*MAX(N842-1,0),IF(ISNUMBER(O842),O842*MAX(N842-1,0),SUM(IFERROR(VALUE(TEXTSPLIT(O842,",")),0)))),0)</f>
        <v/>
      </c>
      <c r="S842">
        <f>IFERROR(L842*MAX(N842,1)/R842*IF(ISBLANK(K841),1,K841),0)</f>
        <v/>
      </c>
      <c r="AB842" s="7" t="inlineStr">
        <is>
          <t>^Warhead_CannonHE_Heavy, ^Warhead_Concussion_Medium, ^Warhead_Demolition_Light</t>
        </is>
      </c>
    </row>
    <row r="843">
      <c r="B843" s="7" t="inlineStr">
        <is>
          <t xml:space="preserve">  ↳ NaxGrilleArty_elite</t>
        </is>
      </c>
      <c r="C843" s="7" t="inlineStr">
        <is>
          <t>Armament@elite</t>
        </is>
      </c>
      <c r="L843" s="6" t="n">
        <v>48000</v>
      </c>
      <c r="M843" s="6" t="n">
        <v>111</v>
      </c>
      <c r="N843" s="6" t="n">
        <v>2</v>
      </c>
      <c r="O843" s="6" t="n">
        <v>3</v>
      </c>
      <c r="P843" s="6" t="n">
        <v>13333</v>
      </c>
      <c r="Q843" s="6" t="n">
        <v>1</v>
      </c>
      <c r="R843">
        <f>M843+IF(MAX(N843-1,0)&gt;0,IF(ISBLANK(O843),5*MAX(N843-1,0),IF(ISNUMBER(O843),O843*MAX(N843-1,0),SUM(IFERROR(VALUE(TEXTSPLIT(O843,",")),0)))),0)</f>
        <v/>
      </c>
      <c r="S843">
        <f>IFERROR(L843*MAX(N843,1)/R843*IF(ISBLANK(K841),1,K841),0)</f>
        <v/>
      </c>
      <c r="AB843" s="7" t="inlineStr">
        <is>
          <t>^Warhead_CannonHE_Heavy, ^Warhead_Concussion_Medium, ^Warhead_Demolition_Light</t>
        </is>
      </c>
    </row>
    <row r="844">
      <c r="A844" t="inlineStr">
        <is>
          <t>redalert2mod</t>
        </is>
      </c>
      <c r="B844" t="inlineStr">
        <is>
          <t>futuretech_athenacannon</t>
        </is>
      </c>
      <c r="C844" t="inlineStr">
        <is>
          <t>Athena Cannon</t>
        </is>
      </c>
      <c r="D844" s="6" t="inlineStr">
        <is>
          <t>Artillery</t>
        </is>
      </c>
      <c r="E844" s="6" t="n">
        <v>62500</v>
      </c>
      <c r="F844" s="6" t="n">
        <v>60</v>
      </c>
      <c r="G844" t="inlineStr">
        <is>
          <t>Light</t>
        </is>
      </c>
      <c r="H844" s="6" t="n">
        <v>1</v>
      </c>
      <c r="I844" s="6" t="n">
        <v>0.5</v>
      </c>
      <c r="J844" s="6" t="n">
        <v>1</v>
      </c>
      <c r="P844">
        <f>MAX(P845)</f>
        <v/>
      </c>
      <c r="S844">
        <f>S845</f>
        <v/>
      </c>
      <c r="T844">
        <f>(E844/100000+F844/100+(P844/1000)*J844/5+S844/200)*200*I844*H844</f>
        <v/>
      </c>
      <c r="U844">
        <f>((E844*F844/25000)+((P844/1000)*J844*S844/2.5))*I844*H844</f>
        <v/>
      </c>
      <c r="V844">
        <f>(E844*F844*(P844/1000)*J844*S844*I844*H844)/12500000</f>
        <v/>
      </c>
      <c r="W844">
        <f>IFERROR((((E844/60000)+(F844/75)+(S844/500)+((P844/15000)*J844))*500/4+(((E844/60000)*(F844/75))+(((P844/15000)*J844)*(S844/500)))*500/2+((E844/60000)*(F844/75)*((P844/15000)*J844)*(S844/500))*500)*(H844/1.0)/3,"")</f>
        <v/>
      </c>
      <c r="X844" s="6" t="n">
        <v>2200</v>
      </c>
      <c r="Y844">
        <f>IFERROR(W844-X844,"")</f>
        <v/>
      </c>
      <c r="Z844">
        <f>IFERROR(ABS(Y844)/MAX(X844,1),"")</f>
        <v/>
      </c>
      <c r="AA844">
        <f>IFERROR(ROUND(((3*X844-(((E844/60000)+(F844/75)+(S844/500))*500/4+((E844/60000)*(F844/75))*500/2)*(H844/1.0))/(500/4+((S844/500))*500/2+((E844/60000)*(F844/75)*(S844/500))*500)*(H844/1.0)*15000)/J844,-1),"")</f>
        <v/>
      </c>
    </row>
    <row r="845">
      <c r="B845" s="7" t="inlineStr">
        <is>
          <t xml:space="preserve">  ↳ AthenaLaser</t>
        </is>
      </c>
      <c r="C845" s="7" t="inlineStr">
        <is>
          <t>Armament@AG</t>
        </is>
      </c>
      <c r="L845" s="6" t="n">
        <v>192000</v>
      </c>
      <c r="M845" s="6" t="n">
        <v>1</v>
      </c>
      <c r="N845" s="6" t="n">
        <v>1</v>
      </c>
      <c r="O845" s="6" t="n"/>
      <c r="P845" s="6" t="n">
        <v>16000</v>
      </c>
      <c r="Q845" s="6" t="n">
        <v>1</v>
      </c>
      <c r="R845">
        <f>M845+IF(MAX(N845-1,0)&gt;0,IF(ISBLANK(O845),5*MAX(N845-1,0),IF(ISNUMBER(O845),O845*MAX(N845-1,0),SUM(IFERROR(VALUE(TEXTSPLIT(O845,",")),0)))),0)</f>
        <v/>
      </c>
      <c r="S845">
        <f>IFERROR(L845*MAX(N845,1)/R845*IF(ISBLANK(K844),1,K844),0)</f>
        <v/>
      </c>
      <c r="AB845" s="7" t="inlineStr">
        <is>
          <t>^LightMissile, ^SmallArms, ^Chaingun, ^FlakWeapon, ^TeslaWeapon, ^LaserWeapon</t>
        </is>
      </c>
    </row>
    <row r="846">
      <c r="B846" s="7" t="inlineStr">
        <is>
          <t xml:space="preserve">  ↳ AthenaVisualLaser</t>
        </is>
      </c>
      <c r="C846" s="7" t="inlineStr">
        <is>
          <t>Armament@VISUAL</t>
        </is>
      </c>
      <c r="M846" s="6" t="n">
        <v>4</v>
      </c>
      <c r="N846" s="6" t="n">
        <v>1</v>
      </c>
      <c r="O846" s="6" t="n"/>
      <c r="P846" s="6" t="n">
        <v>16000</v>
      </c>
      <c r="Q846" s="6" t="n">
        <v>1</v>
      </c>
      <c r="R846">
        <f>M846+IF(MAX(N846-1,0)&gt;0,IF(ISBLANK(O846),5*MAX(N846-1,0),IF(ISNUMBER(O846),O846*MAX(N846-1,0),SUM(IFERROR(VALUE(TEXTSPLIT(O846,",")),0)))),0)</f>
        <v/>
      </c>
      <c r="S846">
        <f>IFERROR(L846*MAX(N846,1)/R846*IF(ISBLANK(K844),1,K844),0)</f>
        <v/>
      </c>
      <c r="AB846" s="7" t="inlineStr"/>
    </row>
    <row r="847">
      <c r="A847" t="inlineStr">
        <is>
          <t>redalert2mod</t>
        </is>
      </c>
      <c r="B847" t="inlineStr">
        <is>
          <t>tkm_dronepodtruck</t>
        </is>
      </c>
      <c r="C847" t="inlineStr">
        <is>
          <t>Drone Pod Truck</t>
        </is>
      </c>
      <c r="D847" s="6" t="inlineStr">
        <is>
          <t>Artillery</t>
        </is>
      </c>
      <c r="E847" s="6" t="n">
        <v>60000</v>
      </c>
      <c r="F847" s="6" t="n">
        <v>60</v>
      </c>
      <c r="G847" t="inlineStr">
        <is>
          <t>Light</t>
        </is>
      </c>
      <c r="H847" s="6" t="n">
        <v>0.4955</v>
      </c>
      <c r="I847" s="6" t="n">
        <v>1</v>
      </c>
      <c r="J847" s="6" t="n">
        <v>1</v>
      </c>
      <c r="P847">
        <f>MAX(P848)</f>
        <v/>
      </c>
      <c r="S847">
        <f>S848</f>
        <v/>
      </c>
      <c r="T847">
        <f>(E847/100000+F847/100+(P847/1000)*J847/5+S847/200)*200*I847*H847</f>
        <v/>
      </c>
      <c r="U847">
        <f>((E847*F847/25000)+((P847/1000)*J847*S847/2.5))*I847*H847</f>
        <v/>
      </c>
      <c r="V847">
        <f>(E847*F847*(P847/1000)*J847*S847*I847*H847)/12500000</f>
        <v/>
      </c>
      <c r="W847">
        <f>IFERROR((((E847/60000)+(F847/75)+(S847/500)+((P847/15000)*J847))*500/4+(((E847/60000)*(F847/75))+(((P847/15000)*J847)*(S847/500)))*500/2+((E847/60000)*(F847/75)*((P847/15000)*J847)*(S847/500))*500)*(H847/1.0)/3,"")</f>
        <v/>
      </c>
      <c r="X847" s="6" t="n">
        <v>1600</v>
      </c>
      <c r="Y847">
        <f>IFERROR(W847-X847,"")</f>
        <v/>
      </c>
      <c r="Z847">
        <f>IFERROR(ABS(Y847)/MAX(X847,1),"")</f>
        <v/>
      </c>
      <c r="AA847">
        <f>IFERROR(ROUND(((3*X847-(((E847/60000)+(F847/75)+(S847/500))*500/4+((E847/60000)*(F847/75))*500/2)*(H847/1.0))/(500/4+((S847/500))*500/2+((E847/60000)*(F847/75)*(S847/500))*500)*(H847/1.0)*15000)/J847,-1),"")</f>
        <v/>
      </c>
    </row>
    <row r="848">
      <c r="B848" s="7" t="inlineStr">
        <is>
          <t xml:space="preserve">  ↳ DronePodTruckLaser</t>
        </is>
      </c>
      <c r="C848" s="7" t="inlineStr">
        <is>
          <t>Armament</t>
        </is>
      </c>
      <c r="L848" s="6" t="n">
        <v>1</v>
      </c>
      <c r="M848" s="6" t="n">
        <v>5</v>
      </c>
      <c r="N848" s="6" t="n">
        <v>1</v>
      </c>
      <c r="O848" s="6" t="n"/>
      <c r="P848" s="6" t="n">
        <v>23589</v>
      </c>
      <c r="Q848" s="6" t="n">
        <v>1</v>
      </c>
      <c r="R848">
        <f>M848+IF(MAX(N848-1,0)&gt;0,IF(ISBLANK(O848),5*MAX(N848-1,0),IF(ISNUMBER(O848),O848*MAX(N848-1,0),SUM(IFERROR(VALUE(TEXTSPLIT(O848,",")),0)))),0)</f>
        <v/>
      </c>
      <c r="S848">
        <f>IFERROR(L848*MAX(N848,1)/R848*IF(ISBLANK(K847),1,K847),0)</f>
        <v/>
      </c>
      <c r="AB848" s="7" t="inlineStr"/>
    </row>
    <row r="849">
      <c r="A849" t="inlineStr">
        <is>
          <t>redalert2mod</t>
        </is>
      </c>
      <c r="B849" t="inlineStr">
        <is>
          <t>tkm_tornadoglauncher</t>
        </is>
      </c>
      <c r="C849" t="inlineStr">
        <is>
          <t>Tornado-G Launcher</t>
        </is>
      </c>
      <c r="D849" s="6" t="inlineStr">
        <is>
          <t>Artillery</t>
        </is>
      </c>
      <c r="E849" s="6" t="n">
        <v>35000</v>
      </c>
      <c r="F849" s="6" t="n">
        <v>80</v>
      </c>
      <c r="G849" t="inlineStr">
        <is>
          <t>Light</t>
        </is>
      </c>
      <c r="H849" s="6" t="n">
        <v>0.4955</v>
      </c>
      <c r="I849" s="6" t="n">
        <v>1</v>
      </c>
      <c r="J849" s="6" t="n">
        <v>1</v>
      </c>
      <c r="P849">
        <f>MAX(P850,P851,P852,P853)</f>
        <v/>
      </c>
      <c r="S849">
        <f>S850+S851+S852+S853</f>
        <v/>
      </c>
      <c r="T849">
        <f>(E849/100000+F849/100+(P849/1000)*J849/5+S849/200)*200*I849*H849</f>
        <v/>
      </c>
      <c r="U849">
        <f>((E849*F849/25000)+((P849/1000)*J849*S849/2.5))*I849*H849</f>
        <v/>
      </c>
      <c r="V849">
        <f>(E849*F849*(P849/1000)*J849*S849*I849*H849)/12500000</f>
        <v/>
      </c>
      <c r="W849">
        <f>IFERROR((((E849/60000)+(F849/75)+(S849/500)+((P849/15000)*J849))*500/4+(((E849/60000)*(F849/75))+(((P849/15000)*J849)*(S849/500)))*500/2+((E849/60000)*(F849/75)*((P849/15000)*J849)*(S849/500))*500)*(H849/1.0)/3,"")</f>
        <v/>
      </c>
      <c r="X849" s="6" t="n">
        <v>1200</v>
      </c>
      <c r="Y849">
        <f>IFERROR(W849-X849,"")</f>
        <v/>
      </c>
      <c r="Z849">
        <f>IFERROR(ABS(Y849)/MAX(X849,1),"")</f>
        <v/>
      </c>
      <c r="AA849">
        <f>IFERROR(ROUND(((3*X849-(((E849/60000)+(F849/75)+(S849/500))*500/4+((E849/60000)*(F849/75))*500/2)*(H849/1.0))/(500/4+((S849/500))*500/2+((E849/60000)*(F849/75)*(S849/500))*500)*(H849/1.0)*15000)/J849,-1),"")</f>
        <v/>
      </c>
    </row>
    <row r="850">
      <c r="B850" s="7" t="inlineStr">
        <is>
          <t xml:space="preserve">  ↳ tkmkatyushalalauncherrockets</t>
        </is>
      </c>
      <c r="C850" s="7" t="inlineStr">
        <is>
          <t>Armament@PRIMARY</t>
        </is>
      </c>
      <c r="L850" s="6" t="n">
        <v>20000</v>
      </c>
      <c r="M850" s="6" t="n">
        <v>157</v>
      </c>
      <c r="N850" s="6" t="n">
        <v>8</v>
      </c>
      <c r="O850" s="6" t="n">
        <v>4</v>
      </c>
      <c r="P850" s="6" t="n">
        <v>12437</v>
      </c>
      <c r="Q850" s="6" t="n">
        <v>1</v>
      </c>
      <c r="R850">
        <f>M850+IF(MAX(N850-1,0)&gt;0,IF(ISBLANK(O850),5*MAX(N850-1,0),IF(ISNUMBER(O850),O850*MAX(N850-1,0),SUM(IFERROR(VALUE(TEXTSPLIT(O850,",")),0)))),0)</f>
        <v/>
      </c>
      <c r="S850">
        <f>IFERROR(L850*MAX(N850,1)/R850*IF(ISBLANK(K849),1,K849),0)</f>
        <v/>
      </c>
      <c r="AB850" s="7" t="inlineStr">
        <is>
          <t>^Warhead_Concussion_Medium</t>
        </is>
      </c>
    </row>
    <row r="851">
      <c r="B851" s="7" t="inlineStr">
        <is>
          <t xml:space="preserve">  ↳ tkmkatyushalalauncherrocketscryo</t>
        </is>
      </c>
      <c r="C851" s="7" t="inlineStr">
        <is>
          <t>Armament@PRIMARYNATO</t>
        </is>
      </c>
      <c r="L851" s="6" t="n">
        <v>20000</v>
      </c>
      <c r="M851" s="6" t="n">
        <v>157</v>
      </c>
      <c r="N851" s="6" t="n">
        <v>8</v>
      </c>
      <c r="O851" s="6" t="n">
        <v>4</v>
      </c>
      <c r="P851" s="6" t="n">
        <v>14000</v>
      </c>
      <c r="Q851" s="6" t="n">
        <v>1</v>
      </c>
      <c r="R851">
        <f>M851+IF(MAX(N851-1,0)&gt;0,IF(ISBLANK(O851),5*MAX(N851-1,0),IF(ISNUMBER(O851),O851*MAX(N851-1,0),SUM(IFERROR(VALUE(TEXTSPLIT(O851,",")),0)))),0)</f>
        <v/>
      </c>
      <c r="S851">
        <f>IFERROR(L851*MAX(N851,1)/R851*IF(ISBLANK(K849),1,K849),0)</f>
        <v/>
      </c>
      <c r="AB851" s="7" t="inlineStr">
        <is>
          <t>^Warhead_Concussion_Medium</t>
        </is>
      </c>
    </row>
    <row r="852">
      <c r="B852" s="7" t="inlineStr">
        <is>
          <t xml:space="preserve">  ↳ tkmkatyushalalauncherrocketstwin</t>
        </is>
      </c>
      <c r="C852" s="7" t="inlineStr">
        <is>
          <t>Armament@PRIMARYBEREZKA</t>
        </is>
      </c>
      <c r="L852" s="6" t="n">
        <v>20000</v>
      </c>
      <c r="M852" s="6" t="n">
        <v>157</v>
      </c>
      <c r="N852" s="6" t="n">
        <v>16</v>
      </c>
      <c r="O852" s="6" t="n">
        <v>4</v>
      </c>
      <c r="P852" s="6" t="n">
        <v>12437</v>
      </c>
      <c r="Q852" s="6" t="n">
        <v>1</v>
      </c>
      <c r="R852">
        <f>M852+IF(MAX(N852-1,0)&gt;0,IF(ISBLANK(O852),5*MAX(N852-1,0),IF(ISNUMBER(O852),O852*MAX(N852-1,0),SUM(IFERROR(VALUE(TEXTSPLIT(O852,",")),0)))),0)</f>
        <v/>
      </c>
      <c r="S852">
        <f>IFERROR(L852*MAX(N852,1)/R852*IF(ISBLANK(K849),1,K849),0)</f>
        <v/>
      </c>
      <c r="AB852" s="7" t="inlineStr">
        <is>
          <t>^Warhead_Concussion_Medium</t>
        </is>
      </c>
    </row>
    <row r="853">
      <c r="B853" s="7" t="inlineStr">
        <is>
          <t xml:space="preserve">  ↳ tkmkatyushalalauncherrocketsfire</t>
        </is>
      </c>
      <c r="C853" s="7" t="inlineStr">
        <is>
          <t>Armament@PRIMARYTITAN</t>
        </is>
      </c>
      <c r="L853" s="6" t="n">
        <v>28000</v>
      </c>
      <c r="M853" s="6" t="n">
        <v>157</v>
      </c>
      <c r="N853" s="6" t="n">
        <v>8</v>
      </c>
      <c r="O853" s="6" t="n">
        <v>4</v>
      </c>
      <c r="P853" s="6" t="n">
        <v>14000</v>
      </c>
      <c r="Q853" s="6" t="n">
        <v>1</v>
      </c>
      <c r="R853">
        <f>M853+IF(MAX(N853-1,0)&gt;0,IF(ISBLANK(O853),5*MAX(N853-1,0),IF(ISNUMBER(O853),O853*MAX(N853-1,0),SUM(IFERROR(VALUE(TEXTSPLIT(O853,",")),0)))),0)</f>
        <v/>
      </c>
      <c r="S853">
        <f>IFERROR(L853*MAX(N853,1)/R853*IF(ISBLANK(K849),1,K849),0)</f>
        <v/>
      </c>
      <c r="AB853" s="7" t="inlineStr">
        <is>
          <t>^Warhead_MissileAP_Light, ^Warhead_Flame_Light, ^Warhead_Concussion_Medium</t>
        </is>
      </c>
    </row>
    <row r="854">
      <c r="A854" t="inlineStr">
        <is>
          <t>shared</t>
        </is>
      </c>
      <c r="B854" t="inlineStr">
        <is>
          <t>siege_tank</t>
        </is>
      </c>
      <c r="C854" t="inlineStr">
        <is>
          <t>Siege Tank</t>
        </is>
      </c>
      <c r="D854" s="6" t="inlineStr">
        <is>
          <t>Artillery</t>
        </is>
      </c>
      <c r="E854" s="6" t="n">
        <v>40000</v>
      </c>
      <c r="F854" s="6" t="n">
        <v>43</v>
      </c>
      <c r="G854" t="inlineStr">
        <is>
          <t>Light</t>
        </is>
      </c>
      <c r="H854" s="6" t="n">
        <v>1</v>
      </c>
      <c r="I854" s="6" t="n">
        <v>1</v>
      </c>
      <c r="J854" s="6" t="n">
        <v>1</v>
      </c>
      <c r="P854">
        <f>MAX(P855)</f>
        <v/>
      </c>
      <c r="S854">
        <f>S855</f>
        <v/>
      </c>
      <c r="T854">
        <f>(E854/100000+F854/100+(P854/1000)*J854/5+S854/200)*200*I854*H854</f>
        <v/>
      </c>
      <c r="U854">
        <f>((E854*F854/25000)+((P854/1000)*J854*S854/2.5))*I854*H854</f>
        <v/>
      </c>
      <c r="V854">
        <f>(E854*F854*(P854/1000)*J854*S854*I854*H854)/12500000</f>
        <v/>
      </c>
      <c r="W854">
        <f>IFERROR((((E854/60000)+(F854/75)+(S854/500)+((P854/15000)*J854))*500/4+(((E854/60000)*(F854/75))+(((P854/15000)*J854)*(S854/500)))*500/2+((E854/60000)*(F854/75)*((P854/15000)*J854)*(S854/500))*500)*(H854/1.0)/3,"")</f>
        <v/>
      </c>
      <c r="X854" s="6" t="n">
        <v>600</v>
      </c>
      <c r="Y854">
        <f>IFERROR(W854-X854,"")</f>
        <v/>
      </c>
      <c r="Z854">
        <f>IFERROR(ABS(Y854)/MAX(X854,1),"")</f>
        <v/>
      </c>
      <c r="AA854">
        <f>IFERROR(ROUND(((3*X854-(((E854/60000)+(F854/75)+(S854/500))*500/4+((E854/60000)*(F854/75))*500/2)*(H854/1.0))/(500/4+((S854/500))*500/2+((E854/60000)*(F854/75)*(S854/500))*500)*(H854/1.0)*15000)/J854,-1),"")</f>
        <v/>
      </c>
    </row>
    <row r="855">
      <c r="B855" s="7" t="inlineStr">
        <is>
          <t xml:space="preserve">  ↳ D2K_155mm</t>
        </is>
      </c>
      <c r="C855" s="7" t="inlineStr">
        <is>
          <t>Armament</t>
        </is>
      </c>
      <c r="L855" s="6" t="n">
        <v>48000</v>
      </c>
      <c r="M855" s="6" t="n">
        <v>74</v>
      </c>
      <c r="N855" s="6" t="n">
        <v>1</v>
      </c>
      <c r="O855" s="6" t="n"/>
      <c r="P855" s="6" t="n">
        <v>10000</v>
      </c>
      <c r="Q855" s="6" t="n">
        <v>1</v>
      </c>
      <c r="R855">
        <f>M855+IF(MAX(N855-1,0)&gt;0,IF(ISBLANK(O855),5*MAX(N855-1,0),IF(ISNUMBER(O855),O855*MAX(N855-1,0),SUM(IFERROR(VALUE(TEXTSPLIT(O855,",")),0)))),0)</f>
        <v/>
      </c>
      <c r="S855">
        <f>IFERROR(L855*MAX(N855,1)/R855*IF(ISBLANK(K854),1,K854),0)</f>
        <v/>
      </c>
      <c r="AB855" s="7" t="inlineStr">
        <is>
          <t>^Warhead_Demolition_Light, ^Warhead_Demolition_Heavy, ^Warhead_Concussion_Medium, ^Warhead_CannonHE_Medium</t>
        </is>
      </c>
    </row>
    <row r="856">
      <c r="A856" t="inlineStr">
        <is>
          <t>d2k</t>
        </is>
      </c>
      <c r="B856" t="inlineStr">
        <is>
          <t>ordos_deviatorartillery</t>
        </is>
      </c>
      <c r="C856" t="inlineStr">
        <is>
          <t>Deviator Artillery</t>
        </is>
      </c>
      <c r="D856" s="6" t="inlineStr">
        <is>
          <t>Artillery</t>
        </is>
      </c>
      <c r="E856" s="6" t="n">
        <v>55000</v>
      </c>
      <c r="F856" s="6" t="n">
        <v>55</v>
      </c>
      <c r="G856" t="inlineStr">
        <is>
          <t>Light</t>
        </is>
      </c>
      <c r="H856" s="6" t="n">
        <v>0.75</v>
      </c>
      <c r="I856" s="6" t="n">
        <v>0.5</v>
      </c>
      <c r="J856" s="6" t="n">
        <v>1.25</v>
      </c>
      <c r="P856">
        <f>MAX(P857)</f>
        <v/>
      </c>
      <c r="S856">
        <f>S857</f>
        <v/>
      </c>
      <c r="T856">
        <f>(E856/100000+F856/100+(P856/1000)*J856/5+S856/200)*200*I856*H856</f>
        <v/>
      </c>
      <c r="U856">
        <f>((E856*F856/25000)+((P856/1000)*J856*S856/2.5))*I856*H856</f>
        <v/>
      </c>
      <c r="V856">
        <f>(E856*F856*(P856/1000)*J856*S856*I856*H856)/12500000</f>
        <v/>
      </c>
      <c r="W856">
        <f>IFERROR((((E856/60000)+(F856/75)+(S856/500)+((P856/15000)*J856))*500/4+(((E856/60000)*(F856/75))+(((P856/15000)*J856)*(S856/500)))*500/2+((E856/60000)*(F856/75)*((P856/15000)*J856)*(S856/500))*500)*(H856/1.0)/3,"")</f>
        <v/>
      </c>
      <c r="X856" s="6" t="n">
        <v>1250</v>
      </c>
      <c r="Y856">
        <f>IFERROR(W856-X856,"")</f>
        <v/>
      </c>
      <c r="Z856">
        <f>IFERROR(ABS(Y856)/MAX(X856,1),"")</f>
        <v/>
      </c>
      <c r="AA856">
        <f>IFERROR(ROUND(((3*X856-(((E856/60000)+(F856/75)+(S856/500))*500/4+((E856/60000)*(F856/75))*500/2)*(H856/1.0))/(500/4+((S856/500))*500/2+((E856/60000)*(F856/75)*(S856/500))*500)*(H856/1.0)*15000)/J856,-1),"")</f>
        <v/>
      </c>
    </row>
    <row r="857">
      <c r="B857" s="7" t="inlineStr">
        <is>
          <t xml:space="preserve">  ↳ DeviatorMissile_Artillery</t>
        </is>
      </c>
      <c r="C857" s="7" t="inlineStr">
        <is>
          <t>Armament</t>
        </is>
      </c>
      <c r="L857" s="6" t="n">
        <v>60000</v>
      </c>
      <c r="M857" s="6" t="n">
        <v>150</v>
      </c>
      <c r="N857" s="6" t="n">
        <v>3</v>
      </c>
      <c r="O857" s="6" t="n">
        <v>25</v>
      </c>
      <c r="P857" s="6" t="n">
        <v>10025</v>
      </c>
      <c r="Q857" s="6" t="n">
        <v>1.25</v>
      </c>
      <c r="R857">
        <f>M857+IF(MAX(N857-1,0)&gt;0,IF(ISBLANK(O857),5*MAX(N857-1,0),IF(ISNUMBER(O857),O857*MAX(N857-1,0),SUM(IFERROR(VALUE(TEXTSPLIT(O857,",")),0)))),0)</f>
        <v/>
      </c>
      <c r="S857">
        <f>IFERROR(L857*MAX(N857,1)/R857*IF(ISBLANK(K856),1,K856),0)</f>
        <v/>
      </c>
      <c r="AB857" s="7" t="inlineStr">
        <is>
          <t>^Warhead_CannonHE_Heavy, ^Warhead_MissileAP_Heavy</t>
        </is>
      </c>
    </row>
    <row r="858">
      <c r="A858" t="inlineStr">
        <is>
          <t>d2k</t>
        </is>
      </c>
      <c r="B858" t="inlineStr">
        <is>
          <t>ixian_ixsiegetank</t>
        </is>
      </c>
      <c r="C858" t="inlineStr">
        <is>
          <t>Ix Siege Tank</t>
        </is>
      </c>
      <c r="D858" s="6" t="inlineStr">
        <is>
          <t>Artillery</t>
        </is>
      </c>
      <c r="E858" s="6" t="n">
        <v>60000</v>
      </c>
      <c r="F858" s="6" t="n">
        <v>60</v>
      </c>
      <c r="G858" t="inlineStr">
        <is>
          <t>Light</t>
        </is>
      </c>
      <c r="H858" s="6" t="n">
        <v>1</v>
      </c>
      <c r="I858" s="6" t="n">
        <v>0.5</v>
      </c>
      <c r="J858" s="6" t="n">
        <v>1.25</v>
      </c>
      <c r="P858">
        <f>MAX(P859)</f>
        <v/>
      </c>
      <c r="S858">
        <f>S859</f>
        <v/>
      </c>
      <c r="T858">
        <f>(E858/100000+F858/100+(P858/1000)*J858/5+S858/200)*200*I858*H858</f>
        <v/>
      </c>
      <c r="U858">
        <f>((E858*F858/25000)+((P858/1000)*J858*S858/2.5))*I858*H858</f>
        <v/>
      </c>
      <c r="V858">
        <f>(E858*F858*(P858/1000)*J858*S858*I858*H858)/12500000</f>
        <v/>
      </c>
      <c r="W858">
        <f>IFERROR((((E858/60000)+(F858/75)+(S858/500)+((P858/15000)*J858))*500/4+(((E858/60000)*(F858/75))+(((P858/15000)*J858)*(S858/500)))*500/2+((E858/60000)*(F858/75)*((P858/15000)*J858)*(S858/500))*500)*(H858/1.0)/3,"")</f>
        <v/>
      </c>
      <c r="X858" s="6" t="n">
        <v>2050</v>
      </c>
      <c r="Y858">
        <f>IFERROR(W858-X858,"")</f>
        <v/>
      </c>
      <c r="Z858">
        <f>IFERROR(ABS(Y858)/MAX(X858,1),"")</f>
        <v/>
      </c>
      <c r="AA858">
        <f>IFERROR(ROUND(((3*X858-(((E858/60000)+(F858/75)+(S858/500))*500/4+((E858/60000)*(F858/75))*500/2)*(H858/1.0))/(500/4+((S858/500))*500/2+((E858/60000)*(F858/75)*(S858/500))*500)*(H858/1.0)*15000)/J858,-1),"")</f>
        <v/>
      </c>
    </row>
    <row r="859">
      <c r="B859" s="7" t="inlineStr">
        <is>
          <t xml:space="preserve">  ↳ D2K_155mm2</t>
        </is>
      </c>
      <c r="C859" s="7" t="inlineStr">
        <is>
          <t>Armament</t>
        </is>
      </c>
      <c r="L859" s="6" t="n">
        <v>48000</v>
      </c>
      <c r="M859" s="6" t="n">
        <v>120</v>
      </c>
      <c r="N859" s="6" t="n">
        <v>3</v>
      </c>
      <c r="O859" s="6" t="n">
        <v>12</v>
      </c>
      <c r="P859" s="6" t="n">
        <v>12000</v>
      </c>
      <c r="Q859" s="6" t="n">
        <v>1</v>
      </c>
      <c r="R859">
        <f>M859+IF(MAX(N859-1,0)&gt;0,IF(ISBLANK(O859),5*MAX(N859-1,0),IF(ISNUMBER(O859),O859*MAX(N859-1,0),SUM(IFERROR(VALUE(TEXTSPLIT(O859,",")),0)))),0)</f>
        <v/>
      </c>
      <c r="S859">
        <f>IFERROR(L859*MAX(N859,1)/R859*IF(ISBLANK(K858),1,K858),0)</f>
        <v/>
      </c>
      <c r="AB859" s="7" t="inlineStr">
        <is>
          <t>^Grenade, ^MediumFlameWeapon, ^ShrapnelWeapon, ^HeavyBomb, ^Projectile_Grenade_Light_D2K_155mm, ^Effect_Demolition_Heavy_D2K_155mm2</t>
        </is>
      </c>
    </row>
    <row r="860">
      <c r="A860" t="inlineStr">
        <is>
          <t>warcraft2</t>
        </is>
      </c>
      <c r="B860" t="inlineStr">
        <is>
          <t>wc2_orcs_catapult</t>
        </is>
      </c>
      <c r="C860" t="inlineStr">
        <is>
          <t>Catapult</t>
        </is>
      </c>
      <c r="D860" s="6" t="inlineStr">
        <is>
          <t>Artillery</t>
        </is>
      </c>
      <c r="E860" s="6" t="n">
        <v>40000</v>
      </c>
      <c r="F860" s="6" t="n">
        <v>40</v>
      </c>
      <c r="G860" t="inlineStr">
        <is>
          <t>Light</t>
        </is>
      </c>
      <c r="H860" s="6" t="n">
        <v>1</v>
      </c>
      <c r="I860" s="6" t="n">
        <v>0.5</v>
      </c>
      <c r="J860" s="6" t="n">
        <v>1</v>
      </c>
      <c r="P860">
        <f>MAX(P861)</f>
        <v/>
      </c>
      <c r="S860">
        <f>S861</f>
        <v/>
      </c>
      <c r="T860">
        <f>(E860/100000+F860/100+(P860/1000)*J860/5+S860/200)*200*I860*H860</f>
        <v/>
      </c>
      <c r="U860">
        <f>((E860*F860/25000)+((P860/1000)*J860*S860/2.5))*I860*H860</f>
        <v/>
      </c>
      <c r="V860">
        <f>(E860*F860*(P860/1000)*J860*S860*I860*H860)/12500000</f>
        <v/>
      </c>
      <c r="W860">
        <f>IFERROR((((E860/60000)+(F860/75)+(S860/500)+((P860/15000)*J860))*500/4+(((E860/60000)*(F860/75))+(((P860/15000)*J860)*(S860/500)))*500/2+((E860/60000)*(F860/75)*((P860/15000)*J860)*(S860/500))*500)*(H860/1.0)/3,"")</f>
        <v/>
      </c>
      <c r="X860" s="6" t="n">
        <v>800</v>
      </c>
      <c r="Y860">
        <f>IFERROR(W860-X860,"")</f>
        <v/>
      </c>
      <c r="Z860">
        <f>IFERROR(ABS(Y860)/MAX(X860,1),"")</f>
        <v/>
      </c>
      <c r="AA860">
        <f>IFERROR(ROUND(((3*X860-(((E860/60000)+(F860/75)+(S860/500))*500/4+((E860/60000)*(F860/75))*500/2)*(H860/1.0))/(500/4+((S860/500))*500/2+((E860/60000)*(F860/75)*(S860/500))*500)*(H860/1.0)*15000)/J860,-1),"")</f>
        <v/>
      </c>
    </row>
    <row r="861">
      <c r="B861" s="7" t="inlineStr">
        <is>
          <t xml:space="preserve">  ↳ wc2catapultFire</t>
        </is>
      </c>
      <c r="C861" s="7" t="inlineStr">
        <is>
          <t>Armament</t>
        </is>
      </c>
      <c r="L861" s="6" t="n">
        <v>120000</v>
      </c>
      <c r="M861" s="6" t="n">
        <v>240</v>
      </c>
      <c r="N861" s="6" t="n">
        <v>1</v>
      </c>
      <c r="O861" s="6" t="n"/>
      <c r="P861" s="6" t="n">
        <v>13400</v>
      </c>
      <c r="Q861" s="6" t="n">
        <v>1</v>
      </c>
      <c r="R861">
        <f>M861+IF(MAX(N861-1,0)&gt;0,IF(ISBLANK(O861),5*MAX(N861-1,0),IF(ISNUMBER(O861),O861*MAX(N861-1,0),SUM(IFERROR(VALUE(TEXTSPLIT(O861,",")),0)))),0)</f>
        <v/>
      </c>
      <c r="S861">
        <f>IFERROR(L861*MAX(N861,1)/R861*IF(ISBLANK(K860),1,K860),0)</f>
        <v/>
      </c>
      <c r="AB861" s="7" t="inlineStr">
        <is>
          <t>^Grenade, ^MediumFlameWeapon, ^ShrapnelWeapon, ^HeavyBomb</t>
        </is>
      </c>
    </row>
    <row r="862">
      <c r="A862" t="inlineStr">
        <is>
          <t>warcraft2</t>
        </is>
      </c>
      <c r="B862" t="inlineStr">
        <is>
          <t>wc2_orcs_siegeengine</t>
        </is>
      </c>
      <c r="C862" t="inlineStr">
        <is>
          <t>Siege Engine</t>
        </is>
      </c>
      <c r="D862" s="6" t="inlineStr">
        <is>
          <t>Artillery</t>
        </is>
      </c>
      <c r="E862" s="6" t="n">
        <v>70000</v>
      </c>
      <c r="F862" s="6" t="n">
        <v>70</v>
      </c>
      <c r="G862" t="inlineStr">
        <is>
          <t>Light</t>
        </is>
      </c>
      <c r="H862" s="6" t="n">
        <v>1</v>
      </c>
      <c r="I862" s="6" t="n">
        <v>1</v>
      </c>
      <c r="J862" s="6" t="n">
        <v>1</v>
      </c>
      <c r="P862">
        <f>MAX(P863)</f>
        <v/>
      </c>
      <c r="S862">
        <f>S863</f>
        <v/>
      </c>
      <c r="T862">
        <f>(E862/100000+F862/100+(P862/1000)*J862/5+S862/200)*200*I862*H862</f>
        <v/>
      </c>
      <c r="U862">
        <f>((E862*F862/25000)+((P862/1000)*J862*S862/2.5))*I862*H862</f>
        <v/>
      </c>
      <c r="V862">
        <f>(E862*F862*(P862/1000)*J862*S862*I862*H862)/12500000</f>
        <v/>
      </c>
      <c r="W862">
        <f>IFERROR((((E862/60000)+(F862/75)+(S862/500)+((P862/15000)*J862))*500/4+(((E862/60000)*(F862/75))+(((P862/15000)*J862)*(S862/500)))*500/2+((E862/60000)*(F862/75)*((P862/15000)*J862)*(S862/500))*500)*(H862/1.0)/3,"")</f>
        <v/>
      </c>
      <c r="X862" s="6" t="n">
        <v>1800</v>
      </c>
      <c r="Y862">
        <f>IFERROR(W862-X862,"")</f>
        <v/>
      </c>
      <c r="Z862">
        <f>IFERROR(ABS(Y862)/MAX(X862,1),"")</f>
        <v/>
      </c>
      <c r="AA862">
        <f>IFERROR(ROUND(((3*X862-(((E862/60000)+(F862/75)+(S862/500))*500/4+((E862/60000)*(F862/75))*500/2)*(H862/1.0))/(500/4+((S862/500))*500/2+((E862/60000)*(F862/75)*(S862/500))*500)*(H862/1.0)*15000)/J862,-1),"")</f>
        <v/>
      </c>
    </row>
    <row r="863">
      <c r="B863" s="7" t="inlineStr">
        <is>
          <t xml:space="preserve">  ↳ SiegeEngineCannon</t>
        </is>
      </c>
      <c r="C863" s="7" t="inlineStr">
        <is>
          <t>Armament</t>
        </is>
      </c>
      <c r="L863" s="6" t="n">
        <v>140000</v>
      </c>
      <c r="M863" s="6" t="n">
        <v>100</v>
      </c>
      <c r="N863" s="6" t="n">
        <v>1</v>
      </c>
      <c r="O863" s="6" t="n"/>
      <c r="P863" s="6" t="n">
        <v>11200</v>
      </c>
      <c r="Q863" s="6" t="n">
        <v>1</v>
      </c>
      <c r="R863">
        <f>M863+IF(MAX(N863-1,0)&gt;0,IF(ISBLANK(O863),5*MAX(N863-1,0),IF(ISNUMBER(O863),O863*MAX(N863-1,0),SUM(IFERROR(VALUE(TEXTSPLIT(O863,",")),0)))),0)</f>
        <v/>
      </c>
      <c r="S863">
        <f>IFERROR(L863*MAX(N863,1)/R863*IF(ISBLANK(K862),1,K862),0)</f>
        <v/>
      </c>
      <c r="AB863" s="7" t="inlineStr">
        <is>
          <t>^NuclearWarhead, ^LightMissile, ^LightChemicalWeapon, ^MediumChemicalWeapon, ^HeavyChemicalWeapon, ^LightFlameWeapon, ^MediumFlameWeapon, ^HeavyFlameWeapon, ^Grenade, ^ShrapnelWeapon, ^HeavyBomb, ^HeavyCannon, ^MediumCannon, ^TankDestroyerCannon</t>
        </is>
      </c>
    </row>
    <row r="864">
      <c r="A864" t="inlineStr">
        <is>
          <t>warcraft2</t>
        </is>
      </c>
      <c r="B864" t="inlineStr">
        <is>
          <t>wc2_humans_ballista</t>
        </is>
      </c>
      <c r="C864" t="inlineStr">
        <is>
          <t>Ballista</t>
        </is>
      </c>
      <c r="D864" s="6" t="inlineStr">
        <is>
          <t>Artillery</t>
        </is>
      </c>
      <c r="E864" s="6" t="n">
        <v>45000</v>
      </c>
      <c r="F864" s="6" t="n">
        <v>45</v>
      </c>
      <c r="G864" t="inlineStr">
        <is>
          <t>Light</t>
        </is>
      </c>
      <c r="H864" s="6" t="n">
        <v>0.9762999999999999</v>
      </c>
      <c r="I864" s="6" t="n">
        <v>1</v>
      </c>
      <c r="J864" s="6" t="n">
        <v>1</v>
      </c>
      <c r="P864">
        <f>MAX(P865)</f>
        <v/>
      </c>
      <c r="S864">
        <f>S865</f>
        <v/>
      </c>
      <c r="T864">
        <f>(E864/100000+F864/100+(P864/1000)*J864/5+S864/200)*200*I864*H864</f>
        <v/>
      </c>
      <c r="U864">
        <f>((E864*F864/25000)+((P864/1000)*J864*S864/2.5))*I864*H864</f>
        <v/>
      </c>
      <c r="V864">
        <f>(E864*F864*(P864/1000)*J864*S864*I864*H864)/12500000</f>
        <v/>
      </c>
      <c r="W864">
        <f>IFERROR((((E864/60000)+(F864/75)+(S864/500)+((P864/15000)*J864))*500/4+(((E864/60000)*(F864/75))+(((P864/15000)*J864)*(S864/500)))*500/2+((E864/60000)*(F864/75)*((P864/15000)*J864)*(S864/500))*500)*(H864/1.0)/3,"")</f>
        <v/>
      </c>
      <c r="X864" s="6" t="n">
        <v>900</v>
      </c>
      <c r="Y864">
        <f>IFERROR(W864-X864,"")</f>
        <v/>
      </c>
      <c r="Z864">
        <f>IFERROR(ABS(Y864)/MAX(X864,1),"")</f>
        <v/>
      </c>
      <c r="AA864">
        <f>IFERROR(ROUND(((3*X864-(((E864/60000)+(F864/75)+(S864/500))*500/4+((E864/60000)*(F864/75))*500/2)*(H864/1.0))/(500/4+((S864/500))*500/2+((E864/60000)*(F864/75)*(S864/500))*500)*(H864/1.0)*15000)/J864,-1),"")</f>
        <v/>
      </c>
    </row>
    <row r="865">
      <c r="B865" s="7" t="inlineStr">
        <is>
          <t xml:space="preserve">  ↳ wc2ballistaFire</t>
        </is>
      </c>
      <c r="C865" s="7" t="inlineStr">
        <is>
          <t>Armament</t>
        </is>
      </c>
      <c r="L865" s="6" t="n">
        <v>90000</v>
      </c>
      <c r="M865" s="6" t="n">
        <v>180</v>
      </c>
      <c r="N865" s="6" t="n">
        <v>1</v>
      </c>
      <c r="O865" s="6" t="n"/>
      <c r="P865" s="6" t="n">
        <v>14450</v>
      </c>
      <c r="Q865" s="6" t="n">
        <v>1</v>
      </c>
      <c r="R865">
        <f>M865+IF(MAX(N865-1,0)&gt;0,IF(ISBLANK(O865),5*MAX(N865-1,0),IF(ISNUMBER(O865),O865*MAX(N865-1,0),SUM(IFERROR(VALUE(TEXTSPLIT(O865,",")),0)))),0)</f>
        <v/>
      </c>
      <c r="S865">
        <f>IFERROR(L865*MAX(N865,1)/R865*IF(ISBLANK(K864),1,K864),0)</f>
        <v/>
      </c>
      <c r="AB865" s="7" t="inlineStr">
        <is>
          <t>^Warhead_Demolition_Light, ^Warhead_Demolition_Heavy, ^Warhead_Concussion_Medium</t>
        </is>
      </c>
    </row>
    <row r="866">
      <c r="A866" t="inlineStr">
        <is>
          <t>warcraft2</t>
        </is>
      </c>
      <c r="B866" t="inlineStr">
        <is>
          <t>wc2_humans_siegeengine</t>
        </is>
      </c>
      <c r="C866" t="inlineStr">
        <is>
          <t>Siege Engine</t>
        </is>
      </c>
      <c r="D866" s="6" t="inlineStr">
        <is>
          <t>Artillery</t>
        </is>
      </c>
      <c r="E866" s="6" t="n">
        <v>70000</v>
      </c>
      <c r="F866" s="6" t="n">
        <v>70</v>
      </c>
      <c r="G866" t="inlineStr">
        <is>
          <t>Light</t>
        </is>
      </c>
      <c r="H866" s="6" t="n">
        <v>0.9762999999999999</v>
      </c>
      <c r="I866" s="6" t="n">
        <v>1</v>
      </c>
      <c r="J866" s="6" t="n">
        <v>1</v>
      </c>
      <c r="P866">
        <f>MAX(P867)</f>
        <v/>
      </c>
      <c r="S866">
        <f>S867</f>
        <v/>
      </c>
      <c r="T866">
        <f>(E866/100000+F866/100+(P866/1000)*J866/5+S866/200)*200*I866*H866</f>
        <v/>
      </c>
      <c r="U866">
        <f>((E866*F866/25000)+((P866/1000)*J866*S866/2.5))*I866*H866</f>
        <v/>
      </c>
      <c r="V866">
        <f>(E866*F866*(P866/1000)*J866*S866*I866*H866)/12500000</f>
        <v/>
      </c>
      <c r="W866">
        <f>IFERROR((((E866/60000)+(F866/75)+(S866/500)+((P866/15000)*J866))*500/4+(((E866/60000)*(F866/75))+(((P866/15000)*J866)*(S866/500)))*500/2+((E866/60000)*(F866/75)*((P866/15000)*J866)*(S866/500))*500)*(H866/1.0)/3,"")</f>
        <v/>
      </c>
      <c r="X866" s="6" t="n">
        <v>1800</v>
      </c>
      <c r="Y866">
        <f>IFERROR(W866-X866,"")</f>
        <v/>
      </c>
      <c r="Z866">
        <f>IFERROR(ABS(Y866)/MAX(X866,1),"")</f>
        <v/>
      </c>
      <c r="AA866">
        <f>IFERROR(ROUND(((3*X866-(((E866/60000)+(F866/75)+(S866/500))*500/4+((E866/60000)*(F866/75))*500/2)*(H866/1.0))/(500/4+((S866/500))*500/2+((E866/60000)*(F866/75)*(S866/500))*500)*(H866/1.0)*15000)/J866,-1),"")</f>
        <v/>
      </c>
    </row>
    <row r="867">
      <c r="B867" s="7" t="inlineStr">
        <is>
          <t xml:space="preserve">  ↳ SiegeEngineCannon</t>
        </is>
      </c>
      <c r="C867" s="7" t="inlineStr">
        <is>
          <t>Armament</t>
        </is>
      </c>
      <c r="L867" s="6" t="n">
        <v>140000</v>
      </c>
      <c r="M867" s="6" t="n">
        <v>100</v>
      </c>
      <c r="N867" s="6" t="n">
        <v>1</v>
      </c>
      <c r="O867" s="6" t="n"/>
      <c r="P867" s="6" t="n">
        <v>11200</v>
      </c>
      <c r="Q867" s="6" t="n">
        <v>1</v>
      </c>
      <c r="R867">
        <f>M867+IF(MAX(N867-1,0)&gt;0,IF(ISBLANK(O867),5*MAX(N867-1,0),IF(ISNUMBER(O867),O867*MAX(N867-1,0),SUM(IFERROR(VALUE(TEXTSPLIT(O867,",")),0)))),0)</f>
        <v/>
      </c>
      <c r="S867">
        <f>IFERROR(L867*MAX(N867,1)/R867*IF(ISBLANK(K866),1,K866),0)</f>
        <v/>
      </c>
      <c r="AB867" s="7" t="inlineStr">
        <is>
          <t>^NuclearWarhead, ^LightMissile, ^LightChemicalWeapon, ^MediumChemicalWeapon, ^HeavyChemicalWeapon, ^LightFlameWeapon, ^MediumFlameWeapon, ^HeavyFlameWeapon, ^Grenade, ^ShrapnelWeapon, ^HeavyBomb, ^HeavyCannon, ^MediumCannon, ^TankDestroyerCannon</t>
        </is>
      </c>
    </row>
    <row r="868">
      <c r="A868" s="4" t="inlineStr">
        <is>
          <t>EpicVehicle</t>
        </is>
      </c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  <c r="AB868" s="5" t="n"/>
    </row>
    <row r="869">
      <c r="A869" t="inlineStr">
        <is>
          <t>tiberiandawn</t>
        </is>
      </c>
      <c r="B869" t="inlineStr">
        <is>
          <t>td_gdi_defenserig</t>
        </is>
      </c>
      <c r="C869" t="inlineStr">
        <is>
          <t>GDI Defense Rig</t>
        </is>
      </c>
      <c r="D869" s="6" t="inlineStr">
        <is>
          <t>EpicVehicle</t>
        </is>
      </c>
      <c r="E869" s="6" t="n">
        <v>400000</v>
      </c>
      <c r="F869" s="6" t="n">
        <v>60</v>
      </c>
      <c r="G869" t="inlineStr">
        <is>
          <t>Superheavy</t>
        </is>
      </c>
      <c r="H869" s="6" t="n">
        <v>0.3793</v>
      </c>
      <c r="I869" s="6" t="n">
        <v>1</v>
      </c>
      <c r="J869" s="6" t="n">
        <v>1</v>
      </c>
      <c r="P869">
        <f>MAX(P870,P871,P872,P873,P874,P875,P876,P877,P878)</f>
        <v/>
      </c>
      <c r="S869">
        <f>S870+S871+S872+S873+S874+S875+S876+S877+S878</f>
        <v/>
      </c>
      <c r="T869">
        <f>(E869/100000+F869/100+(P869/1000)*J869/5+S869/200)*200*I869*H869</f>
        <v/>
      </c>
      <c r="U869">
        <f>((E869*F869/25000)+((P869/1000)*J869*S869/2.5))*I869*H869</f>
        <v/>
      </c>
      <c r="V869">
        <f>(E869*F869*(P869/1000)*J869*S869*I869*H869)/12500000</f>
        <v/>
      </c>
      <c r="W869">
        <f>IFERROR((((E869/4000000)+(F869/60)+(S869/20000)+((P869/8500)*J869))*10000/4+(((E869/4000000)*(F869/60))+(((P869/8500)*J869)*(S869/20000)))*10000/2+((E869/4000000)*(F869/60)*((P869/8500)*J869)*(S869/20000))*10000)*(H869/0.75)/3,"")</f>
        <v/>
      </c>
      <c r="X869" s="6" t="n">
        <v>5000</v>
      </c>
      <c r="Y869">
        <f>IFERROR(W869-X869,"")</f>
        <v/>
      </c>
      <c r="Z869">
        <f>IFERROR(ABS(Y869)/MAX(X869,1),"")</f>
        <v/>
      </c>
      <c r="AA869">
        <f>IFERROR(ROUND(((3*X869-(((E869/4000000)+(F869/60)+(S869/20000))*10000/4+((E869/4000000)*(F869/60))*10000/2)*(H869/0.75))/(10000/4+((S869/20000))*10000/2+((E869/4000000)*(F869/60)*(S869/20000))*10000)*(H869/0.75)*8500)/J869,-1),"")</f>
        <v/>
      </c>
    </row>
    <row r="870">
      <c r="B870" s="7" t="inlineStr">
        <is>
          <t xml:space="preserve">  ↳ GDIRigPDLaser</t>
        </is>
      </c>
      <c r="C870" s="7" t="inlineStr">
        <is>
          <t>Armament@pointdefense</t>
        </is>
      </c>
      <c r="L870" s="6" t="n">
        <v>2000</v>
      </c>
      <c r="M870" s="6" t="n">
        <v>25</v>
      </c>
      <c r="N870" s="6" t="n">
        <v>1</v>
      </c>
      <c r="O870" s="6" t="n"/>
      <c r="P870" s="6" t="n">
        <v>6000</v>
      </c>
      <c r="Q870" s="6" t="n">
        <v>1.25</v>
      </c>
      <c r="R870">
        <f>M870+IF(MAX(N870-1,0)&gt;0,IF(ISBLANK(O870),5*MAX(N870-1,0),IF(ISNUMBER(O870),O870*MAX(N870-1,0),SUM(IFERROR(VALUE(TEXTSPLIT(O870,",")),0)))),0)</f>
        <v/>
      </c>
      <c r="S870">
        <f>IFERROR(L870*MAX(N870,1)/R870*IF(ISBLANK(K869),1,K869),0)</f>
        <v/>
      </c>
      <c r="AB870" s="7" t="inlineStr">
        <is>
          <t>^Warhead_Laser_Heavy</t>
        </is>
      </c>
    </row>
    <row r="871">
      <c r="B871" s="7" t="inlineStr">
        <is>
          <t xml:space="preserve">  ↳ GDIRigPDLaserTower</t>
        </is>
      </c>
      <c r="C871" s="7" t="inlineStr">
        <is>
          <t>Armament@pointdefensedeployed</t>
        </is>
      </c>
      <c r="L871" s="6" t="n">
        <v>2000</v>
      </c>
      <c r="M871" s="6" t="n">
        <v>25</v>
      </c>
      <c r="N871" s="6" t="n">
        <v>1</v>
      </c>
      <c r="O871" s="6" t="n"/>
      <c r="P871" s="6" t="n">
        <v>9350</v>
      </c>
      <c r="Q871" s="6" t="n">
        <v>1.25</v>
      </c>
      <c r="R871">
        <f>M871+IF(MAX(N871-1,0)&gt;0,IF(ISBLANK(O871),5*MAX(N871-1,0),IF(ISNUMBER(O871),O871*MAX(N871-1,0),SUM(IFERROR(VALUE(TEXTSPLIT(O871,",")),0)))),0)</f>
        <v/>
      </c>
      <c r="S871">
        <f>IFERROR(L871*MAX(N871,1)/R871*IF(ISBLANK(K869),1,K869),0)</f>
        <v/>
      </c>
      <c r="AB871" s="7" t="inlineStr">
        <is>
          <t>^Warhead_Laser_Heavy</t>
        </is>
      </c>
    </row>
    <row r="872">
      <c r="B872" s="7" t="inlineStr">
        <is>
          <t xml:space="preserve">  ↳ GDIRigDroneTargeting</t>
        </is>
      </c>
      <c r="C872" s="7" t="inlineStr">
        <is>
          <t>Armament@DroneTargeting</t>
        </is>
      </c>
      <c r="L872" s="6" t="n">
        <v>-3000</v>
      </c>
      <c r="M872" s="6" t="n">
        <v>5</v>
      </c>
      <c r="N872" s="6" t="n">
        <v>1</v>
      </c>
      <c r="O872" s="6" t="n">
        <v>1</v>
      </c>
      <c r="P872" s="6" t="n">
        <v>6000</v>
      </c>
      <c r="Q872" s="6" t="n">
        <v>1</v>
      </c>
      <c r="R872">
        <f>M872+IF(MAX(N872-1,0)&gt;0,IF(ISBLANK(O872),5*MAX(N872-1,0),IF(ISNUMBER(O872),O872*MAX(N872-1,0),SUM(IFERROR(VALUE(TEXTSPLIT(O872,",")),0)))),0)</f>
        <v/>
      </c>
      <c r="S872">
        <f>IFERROR(L872*MAX(N872,1)/R872*IF(ISBLANK(K869),1,K869),0)</f>
        <v/>
      </c>
      <c r="AB872" s="7" t="inlineStr">
        <is>
          <t>^RepairWeapon</t>
        </is>
      </c>
    </row>
    <row r="873">
      <c r="B873" s="7" t="inlineStr">
        <is>
          <t xml:space="preserve">  ↳ GDIRigDroneTargetingTower</t>
        </is>
      </c>
      <c r="C873" s="7" t="inlineStr">
        <is>
          <t>Armament@DroneTargetingDeployed</t>
        </is>
      </c>
      <c r="L873" s="6" t="n">
        <v>-3000</v>
      </c>
      <c r="M873" s="6" t="n">
        <v>5</v>
      </c>
      <c r="N873" s="6" t="n">
        <v>1</v>
      </c>
      <c r="O873" s="6" t="n">
        <v>1</v>
      </c>
      <c r="P873" s="6" t="n">
        <v>6000</v>
      </c>
      <c r="Q873" s="6" t="n">
        <v>1</v>
      </c>
      <c r="R873">
        <f>M873+IF(MAX(N873-1,0)&gt;0,IF(ISBLANK(O873),5*MAX(N873-1,0),IF(ISNUMBER(O873),O873*MAX(N873-1,0),SUM(IFERROR(VALUE(TEXTSPLIT(O873,",")),0)))),0)</f>
        <v/>
      </c>
      <c r="S873">
        <f>IFERROR(L873*MAX(N873,1)/R873*IF(ISBLANK(K869),1,K869),0)</f>
        <v/>
      </c>
      <c r="AB873" s="7" t="inlineStr">
        <is>
          <t>GDIRigDroneTargeting</t>
        </is>
      </c>
    </row>
    <row r="874">
      <c r="B874" s="7" t="inlineStr">
        <is>
          <t xml:space="preserve">  ↳ GDIRigPhalanx</t>
        </is>
      </c>
      <c r="C874" s="7" t="inlineStr">
        <is>
          <t>Armament@mobile</t>
        </is>
      </c>
      <c r="L874" s="6" t="n">
        <v>24000</v>
      </c>
      <c r="M874" s="6" t="n">
        <v>8</v>
      </c>
      <c r="N874" s="6" t="n">
        <v>1</v>
      </c>
      <c r="O874" s="6" t="n"/>
      <c r="P874" s="6" t="n">
        <v>6000</v>
      </c>
      <c r="Q874" s="6" t="n">
        <v>1</v>
      </c>
      <c r="R874">
        <f>M874+IF(MAX(N874-1,0)&gt;0,IF(ISBLANK(O874),5*MAX(N874-1,0),IF(ISNUMBER(O874),O874*MAX(N874-1,0),SUM(IFERROR(VALUE(TEXTSPLIT(O874,",")),0)))),0)</f>
        <v/>
      </c>
      <c r="S874">
        <f>IFERROR(L874*MAX(N874,1)/R874*IF(ISBLANK(K869),1,K869),0)</f>
        <v/>
      </c>
      <c r="AB874" s="7" t="inlineStr">
        <is>
          <t>^TankDestroyerCannon, ^SmallArms, ^Grenade, ^MediumCannon, ^FlakWeapon, ^Chaingun</t>
        </is>
      </c>
    </row>
    <row r="875">
      <c r="B875" s="7" t="inlineStr">
        <is>
          <t xml:space="preserve">  ↳ GDIRigPhalanxTower</t>
        </is>
      </c>
      <c r="C875" s="7" t="inlineStr">
        <is>
          <t>Armament@Phalanx</t>
        </is>
      </c>
      <c r="L875" s="6" t="n">
        <v>24000</v>
      </c>
      <c r="M875" s="6" t="n">
        <v>10</v>
      </c>
      <c r="N875" s="6" t="n">
        <v>1</v>
      </c>
      <c r="O875" s="6" t="n"/>
      <c r="P875" s="6" t="n">
        <v>9350</v>
      </c>
      <c r="Q875" s="6" t="n">
        <v>1</v>
      </c>
      <c r="R875">
        <f>M875+IF(MAX(N875-1,0)&gt;0,IF(ISBLANK(O875),5*MAX(N875-1,0),IF(ISNUMBER(O875),O875*MAX(N875-1,0),SUM(IFERROR(VALUE(TEXTSPLIT(O875,",")),0)))),0)</f>
        <v/>
      </c>
      <c r="S875">
        <f>IFERROR(L875*MAX(N875,1)/R875*IF(ISBLANK(K869),1,K869),0)</f>
        <v/>
      </c>
      <c r="AB875" s="7" t="inlineStr">
        <is>
          <t>GDIRigPhalanx</t>
        </is>
      </c>
    </row>
    <row r="876">
      <c r="B876" s="7" t="inlineStr">
        <is>
          <t xml:space="preserve">  ↳ GDIRigRailgun</t>
        </is>
      </c>
      <c r="C876" s="7" t="inlineStr">
        <is>
          <t>Armament@Railgun</t>
        </is>
      </c>
      <c r="L876" s="6" t="n">
        <v>160000</v>
      </c>
      <c r="M876" s="6" t="n">
        <v>95</v>
      </c>
      <c r="N876" s="6" t="n">
        <v>1</v>
      </c>
      <c r="O876" s="6" t="n"/>
      <c r="P876" s="6" t="n">
        <v>9350</v>
      </c>
      <c r="Q876" s="6" t="n">
        <v>1.25</v>
      </c>
      <c r="R876">
        <f>M876+IF(MAX(N876-1,0)&gt;0,IF(ISBLANK(O876),5*MAX(N876-1,0),IF(ISNUMBER(O876),O876*MAX(N876-1,0),SUM(IFERROR(VALUE(TEXTSPLIT(O876,",")),0)))),0)</f>
        <v/>
      </c>
      <c r="S876">
        <f>IFERROR(L876*MAX(N876,1)/R876*IF(ISBLANK(K869),1,K869),0)</f>
        <v/>
      </c>
      <c r="AB876" s="7" t="inlineStr">
        <is>
          <t>^Warhead_Railgun_Heavy</t>
        </is>
      </c>
    </row>
    <row r="877">
      <c r="B877" s="7" t="inlineStr">
        <is>
          <t xml:space="preserve">  ↳ GDIRigMissilePod</t>
        </is>
      </c>
      <c r="C877" s="7" t="inlineStr">
        <is>
          <t>Armament@MissilePod</t>
        </is>
      </c>
      <c r="L877" s="6" t="n">
        <v>32000</v>
      </c>
      <c r="M877" s="6" t="n">
        <v>45</v>
      </c>
      <c r="N877" s="6" t="n">
        <v>4</v>
      </c>
      <c r="O877" s="6" t="n">
        <v>5</v>
      </c>
      <c r="P877" s="6" t="n">
        <v>9350</v>
      </c>
      <c r="Q877" s="6" t="n">
        <v>1.25</v>
      </c>
      <c r="R877">
        <f>M877+IF(MAX(N877-1,0)&gt;0,IF(ISBLANK(O877),5*MAX(N877-1,0),IF(ISNUMBER(O877),O877*MAX(N877-1,0),SUM(IFERROR(VALUE(TEXTSPLIT(O877,",")),0)))),0)</f>
        <v/>
      </c>
      <c r="S877">
        <f>IFERROR(L877*MAX(N877,1)/R877*IF(ISBLANK(K869),1,K869),0)</f>
        <v/>
      </c>
      <c r="AB877" s="7" t="inlineStr">
        <is>
          <t>^Warhead_MissileHE_Heavy</t>
        </is>
      </c>
    </row>
    <row r="878">
      <c r="B878" s="7" t="inlineStr">
        <is>
          <t xml:space="preserve">  ↳ GDIRigMissilePodAMT</t>
        </is>
      </c>
      <c r="C878" s="7" t="inlineStr">
        <is>
          <t>Armament@AdvancedMissileTargeting</t>
        </is>
      </c>
      <c r="L878" s="6" t="n">
        <v>32000</v>
      </c>
      <c r="M878" s="6" t="n">
        <v>45</v>
      </c>
      <c r="N878" s="6" t="n">
        <v>4</v>
      </c>
      <c r="O878" s="6" t="n">
        <v>5</v>
      </c>
      <c r="P878" s="6" t="n">
        <v>9350</v>
      </c>
      <c r="Q878" s="6" t="n">
        <v>1.25</v>
      </c>
      <c r="R878">
        <f>M878+IF(MAX(N878-1,0)&gt;0,IF(ISBLANK(O878),5*MAX(N878-1,0),IF(ISNUMBER(O878),O878*MAX(N878-1,0),SUM(IFERROR(VALUE(TEXTSPLIT(O878,",")),0)))),0)</f>
        <v/>
      </c>
      <c r="S878">
        <f>IFERROR(L878*MAX(N878,1)/R878*IF(ISBLANK(K869),1,K869),0)</f>
        <v/>
      </c>
      <c r="AB878" s="7" t="inlineStr">
        <is>
          <t>^Warhead_MissileHE_Heavy</t>
        </is>
      </c>
    </row>
    <row r="879">
      <c r="A879" t="inlineStr">
        <is>
          <t>redalert</t>
        </is>
      </c>
      <c r="B879" t="inlineStr">
        <is>
          <t>japan_exorcistoitank</t>
        </is>
      </c>
      <c r="C879" t="inlineStr">
        <is>
          <t>Exorcist O-I Tank</t>
        </is>
      </c>
      <c r="D879" s="6" t="inlineStr">
        <is>
          <t>EpicVehicle</t>
        </is>
      </c>
      <c r="E879" s="6" t="n">
        <v>750000</v>
      </c>
      <c r="F879" s="6" t="n">
        <v>50</v>
      </c>
      <c r="G879" t="inlineStr">
        <is>
          <t>Superheavy</t>
        </is>
      </c>
      <c r="H879" s="6" t="n">
        <v>0.75</v>
      </c>
      <c r="I879" s="6" t="n">
        <v>0.4</v>
      </c>
      <c r="J879" s="6" t="n">
        <v>1.25</v>
      </c>
      <c r="P879">
        <f>MAX(P880,P881,P882,P883,P884,P885,P886,P887,P888,P889,P890,P891)</f>
        <v/>
      </c>
      <c r="S879">
        <f>S880+S881+S882+S883+S884+S885+S886+S887+S888+S889+S890+S891</f>
        <v/>
      </c>
      <c r="T879">
        <f>(E879/100000+F879/100+(P879/1000)*J879/5+S879/200)*200*I879*H879</f>
        <v/>
      </c>
      <c r="U879">
        <f>((E879*F879/25000)+((P879/1000)*J879*S879/2.5))*I879*H879</f>
        <v/>
      </c>
      <c r="V879">
        <f>(E879*F879*(P879/1000)*J879*S879*I879*H879)/12500000</f>
        <v/>
      </c>
      <c r="W879">
        <f>IFERROR((((E879/4000000)+(F879/60)+(S879/20000)+((P879/8500)*J879))*10000/4+(((E879/4000000)*(F879/60))+(((P879/8500)*J879)*(S879/20000)))*10000/2+((E879/4000000)*(F879/60)*((P879/8500)*J879)*(S879/20000))*10000)*(H879/0.75)/3,"")</f>
        <v/>
      </c>
      <c r="X879" s="6" t="n">
        <v>10000</v>
      </c>
      <c r="Y879">
        <f>IFERROR(W879-X879,"")</f>
        <v/>
      </c>
      <c r="Z879">
        <f>IFERROR(ABS(Y879)/MAX(X879,1),"")</f>
        <v/>
      </c>
      <c r="AA879">
        <f>IFERROR(ROUND(((3*X879-(((E879/4000000)+(F879/60)+(S879/20000))*10000/4+((E879/4000000)*(F879/60))*10000/2)*(H879/0.75))/(10000/4+((S879/20000))*10000/2+((E879/4000000)*(F879/60)*(S879/20000))*10000)*(H879/0.75)*8500)/J879,-1),"")</f>
        <v/>
      </c>
    </row>
    <row r="880">
      <c r="B880" s="7" t="inlineStr">
        <is>
          <t xml:space="preserve">  ↳ OIHakureiring</t>
        </is>
      </c>
      <c r="C880" s="7" t="inlineStr">
        <is>
          <t>Armament@MAIN</t>
        </is>
      </c>
      <c r="L880" s="6" t="n">
        <v>20000</v>
      </c>
      <c r="M880" s="6" t="n">
        <v>30</v>
      </c>
      <c r="N880" s="6" t="n">
        <v>3</v>
      </c>
      <c r="O880" s="6" t="n">
        <v>10</v>
      </c>
      <c r="P880" s="6" t="n">
        <v>5394</v>
      </c>
      <c r="Q880" s="6" t="n">
        <v>1.25</v>
      </c>
      <c r="R880">
        <f>M880+IF(MAX(N880-1,0)&gt;0,IF(ISBLANK(O880),5*MAX(N880-1,0),IF(ISNUMBER(O880),O880*MAX(N880-1,0),SUM(IFERROR(VALUE(TEXTSPLIT(O880,",")),0)))),0)</f>
        <v/>
      </c>
      <c r="S880">
        <f>IFERROR(L880*MAX(N880,1)/R880*IF(ISBLANK(K879),1,K879),0)</f>
        <v/>
      </c>
      <c r="AB880" s="7" t="inlineStr">
        <is>
          <t>^Warhead_Magic_Heavy</t>
        </is>
      </c>
    </row>
    <row r="881">
      <c r="B881" s="7" t="inlineStr">
        <is>
          <t xml:space="preserve">  ↳ OIHakureiring2</t>
        </is>
      </c>
      <c r="C881" s="7" t="inlineStr">
        <is>
          <t>Armament@AntiEpic</t>
        </is>
      </c>
      <c r="L881" s="6" t="n">
        <v>240000</v>
      </c>
      <c r="M881" s="6" t="n">
        <v>100</v>
      </c>
      <c r="N881" s="6" t="n">
        <v>1</v>
      </c>
      <c r="O881" s="6" t="n">
        <v>10</v>
      </c>
      <c r="P881" s="6" t="n">
        <v>5394</v>
      </c>
      <c r="Q881" s="6" t="n">
        <v>1.25</v>
      </c>
      <c r="R881">
        <f>M881+IF(MAX(N881-1,0)&gt;0,IF(ISBLANK(O881),5*MAX(N881-1,0),IF(ISNUMBER(O881),O881*MAX(N881-1,0),SUM(IFERROR(VALUE(TEXTSPLIT(O881,",")),0)))),0)</f>
        <v/>
      </c>
      <c r="S881">
        <f>IFERROR(L881*MAX(N881,1)/R881*IF(ISBLANK(K879),1,K879),0)</f>
        <v/>
      </c>
      <c r="AB881" s="7" t="inlineStr">
        <is>
          <t>^Warhead_Magic_Heavy</t>
        </is>
      </c>
    </row>
    <row r="882">
      <c r="B882" s="7" t="inlineStr">
        <is>
          <t xml:space="preserve">  ↳ OISmallCannon</t>
        </is>
      </c>
      <c r="C882" s="7" t="inlineStr">
        <is>
          <t>Armament@PRIMARY</t>
        </is>
      </c>
      <c r="L882" s="6" t="n">
        <v>8000</v>
      </c>
      <c r="M882" s="6" t="n">
        <v>45</v>
      </c>
      <c r="N882" s="6" t="n">
        <v>1</v>
      </c>
      <c r="O882" s="6" t="n"/>
      <c r="P882" s="6" t="n">
        <v>5394</v>
      </c>
      <c r="Q882" s="6" t="n">
        <v>1</v>
      </c>
      <c r="R882">
        <f>M882+IF(MAX(N882-1,0)&gt;0,IF(ISBLANK(O882),5*MAX(N882-1,0),IF(ISNUMBER(O882),O882*MAX(N882-1,0),SUM(IFERROR(VALUE(TEXTSPLIT(O882,",")),0)))),0)</f>
        <v/>
      </c>
      <c r="S882">
        <f>IFERROR(L882*MAX(N882,1)/R882*IF(ISBLANK(K879),1,K879),0)</f>
        <v/>
      </c>
      <c r="AB882" s="7" t="inlineStr">
        <is>
          <t>^Warhead_CannonHE_Medium</t>
        </is>
      </c>
    </row>
    <row r="883">
      <c r="B883" s="7" t="inlineStr">
        <is>
          <t xml:space="preserve">  ↳ OISmallCannon</t>
        </is>
      </c>
      <c r="C883" s="7" t="inlineStr">
        <is>
          <t>Armament@SECONDARY</t>
        </is>
      </c>
      <c r="L883" s="6" t="n">
        <v>8000</v>
      </c>
      <c r="M883" s="6" t="n">
        <v>45</v>
      </c>
      <c r="N883" s="6" t="n">
        <v>1</v>
      </c>
      <c r="O883" s="6" t="n"/>
      <c r="P883" s="6" t="n">
        <v>5394</v>
      </c>
      <c r="Q883" s="6" t="n">
        <v>1</v>
      </c>
      <c r="R883">
        <f>M883+IF(MAX(N883-1,0)&gt;0,IF(ISBLANK(O883),5*MAX(N883-1,0),IF(ISNUMBER(O883),O883*MAX(N883-1,0),SUM(IFERROR(VALUE(TEXTSPLIT(O883,",")),0)))),0)</f>
        <v/>
      </c>
      <c r="S883">
        <f>IFERROR(L883*MAX(N883,1)/R883*IF(ISBLANK(K879),1,K879),0)</f>
        <v/>
      </c>
      <c r="AB883" s="7" t="inlineStr">
        <is>
          <t>^Warhead_CannonHE_Medium</t>
        </is>
      </c>
    </row>
    <row r="884">
      <c r="B884" s="7" t="inlineStr">
        <is>
          <t xml:space="preserve">  ↳ OISmallCannon</t>
        </is>
      </c>
      <c r="C884" s="7" t="inlineStr">
        <is>
          <t>Armament@Back</t>
        </is>
      </c>
      <c r="L884" s="6" t="n">
        <v>8000</v>
      </c>
      <c r="M884" s="6" t="n">
        <v>45</v>
      </c>
      <c r="N884" s="6" t="n">
        <v>1</v>
      </c>
      <c r="O884" s="6" t="n"/>
      <c r="P884" s="6" t="n">
        <v>5394</v>
      </c>
      <c r="Q884" s="6" t="n">
        <v>1</v>
      </c>
      <c r="R884">
        <f>M884+IF(MAX(N884-1,0)&gt;0,IF(ISBLANK(O884),5*MAX(N884-1,0),IF(ISNUMBER(O884),O884*MAX(N884-1,0),SUM(IFERROR(VALUE(TEXTSPLIT(O884,",")),0)))),0)</f>
        <v/>
      </c>
      <c r="S884">
        <f>IFERROR(L884*MAX(N884,1)/R884*IF(ISBLANK(K879),1,K879),0)</f>
        <v/>
      </c>
      <c r="AB884" s="7" t="inlineStr">
        <is>
          <t>^Warhead_CannonHE_Medium</t>
        </is>
      </c>
    </row>
    <row r="885">
      <c r="B885" s="7" t="inlineStr">
        <is>
          <t xml:space="preserve">  ↳ OISmallPlasmaCannon</t>
        </is>
      </c>
      <c r="C885" s="7" t="inlineStr">
        <is>
          <t>Armament@UpgradePRIMARY</t>
        </is>
      </c>
      <c r="L885" s="6" t="n">
        <v>8000</v>
      </c>
      <c r="M885" s="6" t="n">
        <v>45</v>
      </c>
      <c r="N885" s="6" t="n">
        <v>1</v>
      </c>
      <c r="O885" s="6" t="n"/>
      <c r="P885" s="6" t="n">
        <v>5394</v>
      </c>
      <c r="Q885" s="6" t="n">
        <v>1</v>
      </c>
      <c r="R885">
        <f>M885+IF(MAX(N885-1,0)&gt;0,IF(ISBLANK(O885),5*MAX(N885-1,0),IF(ISNUMBER(O885),O885*MAX(N885-1,0),SUM(IFERROR(VALUE(TEXTSPLIT(O885,",")),0)))),0)</f>
        <v/>
      </c>
      <c r="S885">
        <f>IFERROR(L885*MAX(N885,1)/R885*IF(ISBLANK(K879),1,K879),0)</f>
        <v/>
      </c>
      <c r="AB885" s="7" t="inlineStr">
        <is>
          <t>^HeavyChemicalWeapon, ^TeslaWeapon, ^RailgunWeapon, ^HeavyCannon</t>
        </is>
      </c>
    </row>
    <row r="886">
      <c r="B886" s="7" t="inlineStr">
        <is>
          <t xml:space="preserve">  ↳ OISmallPlasmaCannon</t>
        </is>
      </c>
      <c r="C886" s="7" t="inlineStr">
        <is>
          <t>Armament@UpgradeSECONDARY</t>
        </is>
      </c>
      <c r="L886" s="6" t="n">
        <v>8000</v>
      </c>
      <c r="M886" s="6" t="n">
        <v>45</v>
      </c>
      <c r="N886" s="6" t="n">
        <v>1</v>
      </c>
      <c r="O886" s="6" t="n"/>
      <c r="P886" s="6" t="n">
        <v>5394</v>
      </c>
      <c r="Q886" s="6" t="n">
        <v>1</v>
      </c>
      <c r="R886">
        <f>M886+IF(MAX(N886-1,0)&gt;0,IF(ISBLANK(O886),5*MAX(N886-1,0),IF(ISNUMBER(O886),O886*MAX(N886-1,0),SUM(IFERROR(VALUE(TEXTSPLIT(O886,",")),0)))),0)</f>
        <v/>
      </c>
      <c r="S886">
        <f>IFERROR(L886*MAX(N886,1)/R886*IF(ISBLANK(K879),1,K879),0)</f>
        <v/>
      </c>
      <c r="AB886" s="7" t="inlineStr">
        <is>
          <t>^HeavyChemicalWeapon, ^TeslaWeapon, ^RailgunWeapon, ^HeavyCannon</t>
        </is>
      </c>
    </row>
    <row r="887">
      <c r="B887" s="7" t="inlineStr">
        <is>
          <t xml:space="preserve">  ↳ OISmallPlasmaCannon</t>
        </is>
      </c>
      <c r="C887" s="7" t="inlineStr">
        <is>
          <t>Armament@UpgradeBack</t>
        </is>
      </c>
      <c r="L887" s="6" t="n">
        <v>8000</v>
      </c>
      <c r="M887" s="6" t="n">
        <v>45</v>
      </c>
      <c r="N887" s="6" t="n">
        <v>1</v>
      </c>
      <c r="O887" s="6" t="n"/>
      <c r="P887" s="6" t="n">
        <v>5394</v>
      </c>
      <c r="Q887" s="6" t="n">
        <v>1</v>
      </c>
      <c r="R887">
        <f>M887+IF(MAX(N887-1,0)&gt;0,IF(ISBLANK(O887),5*MAX(N887-1,0),IF(ISNUMBER(O887),O887*MAX(N887-1,0),SUM(IFERROR(VALUE(TEXTSPLIT(O887,",")),0)))),0)</f>
        <v/>
      </c>
      <c r="S887">
        <f>IFERROR(L887*MAX(N887,1)/R887*IF(ISBLANK(K879),1,K879),0)</f>
        <v/>
      </c>
      <c r="AB887" s="7" t="inlineStr">
        <is>
          <t>^HeavyChemicalWeapon, ^TeslaWeapon, ^RailgunWeapon, ^HeavyCannon</t>
        </is>
      </c>
    </row>
    <row r="888">
      <c r="B888" s="7" t="inlineStr">
        <is>
          <t xml:space="preserve">  ↳ OIFlamer</t>
        </is>
      </c>
      <c r="C888" s="7" t="inlineStr">
        <is>
          <t>Armament@PRIMARYFlame</t>
        </is>
      </c>
      <c r="L888" s="6" t="n">
        <v>2000</v>
      </c>
      <c r="M888" s="6" t="n">
        <v>60</v>
      </c>
      <c r="N888" s="6" t="n">
        <v>20</v>
      </c>
      <c r="O888" s="6" t="n">
        <v>1</v>
      </c>
      <c r="P888" s="6" t="n">
        <v>5394</v>
      </c>
      <c r="Q888" s="6" t="n">
        <v>1</v>
      </c>
      <c r="R888">
        <f>M888+IF(MAX(N888-1,0)&gt;0,IF(ISBLANK(O888),5*MAX(N888-1,0),IF(ISNUMBER(O888),O888*MAX(N888-1,0),SUM(IFERROR(VALUE(TEXTSPLIT(O888,",")),0)))),0)</f>
        <v/>
      </c>
      <c r="S888">
        <f>IFERROR(L888*MAX(N888,1)/R888*IF(ISBLANK(K879),1,K879),0)</f>
        <v/>
      </c>
      <c r="AB888" s="7" t="inlineStr">
        <is>
          <t>^Warhead_Flame_Medium</t>
        </is>
      </c>
    </row>
    <row r="889">
      <c r="B889" s="7" t="inlineStr">
        <is>
          <t xml:space="preserve">  ↳ OIFlamer</t>
        </is>
      </c>
      <c r="C889" s="7" t="inlineStr">
        <is>
          <t>Armament@SECONDARYFlame</t>
        </is>
      </c>
      <c r="L889" s="6" t="n">
        <v>2000</v>
      </c>
      <c r="M889" s="6" t="n">
        <v>60</v>
      </c>
      <c r="N889" s="6" t="n">
        <v>20</v>
      </c>
      <c r="O889" s="6" t="n">
        <v>1</v>
      </c>
      <c r="P889" s="6" t="n">
        <v>5394</v>
      </c>
      <c r="Q889" s="6" t="n">
        <v>1</v>
      </c>
      <c r="R889">
        <f>M889+IF(MAX(N889-1,0)&gt;0,IF(ISBLANK(O889),5*MAX(N889-1,0),IF(ISNUMBER(O889),O889*MAX(N889-1,0),SUM(IFERROR(VALUE(TEXTSPLIT(O889,",")),0)))),0)</f>
        <v/>
      </c>
      <c r="S889">
        <f>IFERROR(L889*MAX(N889,1)/R889*IF(ISBLANK(K879),1,K879),0)</f>
        <v/>
      </c>
      <c r="AB889" s="7" t="inlineStr">
        <is>
          <t>^Warhead_Flame_Medium</t>
        </is>
      </c>
    </row>
    <row r="890">
      <c r="B890" s="7" t="inlineStr">
        <is>
          <t xml:space="preserve">  ↳ OIPlasmaFlamer</t>
        </is>
      </c>
      <c r="C890" s="7" t="inlineStr">
        <is>
          <t>Armament@UpgradePRIMARYFlame</t>
        </is>
      </c>
      <c r="L890" s="6" t="n">
        <v>4000</v>
      </c>
      <c r="M890" s="6" t="n">
        <v>60</v>
      </c>
      <c r="N890" s="6" t="n">
        <v>20</v>
      </c>
      <c r="O890" s="6" t="n">
        <v>1</v>
      </c>
      <c r="P890" s="6" t="n">
        <v>5394</v>
      </c>
      <c r="Q890" s="6" t="n">
        <v>1.25</v>
      </c>
      <c r="R890">
        <f>M890+IF(MAX(N890-1,0)&gt;0,IF(ISBLANK(O890),5*MAX(N890-1,0),IF(ISNUMBER(O890),O890*MAX(N890-1,0),SUM(IFERROR(VALUE(TEXTSPLIT(O890,",")),0)))),0)</f>
        <v/>
      </c>
      <c r="S890">
        <f>IFERROR(L890*MAX(N890,1)/R890*IF(ISBLANK(K879),1,K879),0)</f>
        <v/>
      </c>
      <c r="AB890" s="7" t="inlineStr">
        <is>
          <t>^Warhead_Chemical_Heavy, ^Warhead_Flame_Heavy</t>
        </is>
      </c>
    </row>
    <row r="891">
      <c r="B891" s="7" t="inlineStr">
        <is>
          <t xml:space="preserve">  ↳ OIPlasmaFlamer</t>
        </is>
      </c>
      <c r="C891" s="7" t="inlineStr">
        <is>
          <t>Armament@UpgradeSECONDARYFlame</t>
        </is>
      </c>
      <c r="L891" s="6" t="n">
        <v>4000</v>
      </c>
      <c r="M891" s="6" t="n">
        <v>60</v>
      </c>
      <c r="N891" s="6" t="n">
        <v>20</v>
      </c>
      <c r="O891" s="6" t="n">
        <v>1</v>
      </c>
      <c r="P891" s="6" t="n">
        <v>5394</v>
      </c>
      <c r="Q891" s="6" t="n">
        <v>1.25</v>
      </c>
      <c r="R891">
        <f>M891+IF(MAX(N891-1,0)&gt;0,IF(ISBLANK(O891),5*MAX(N891-1,0),IF(ISNUMBER(O891),O891*MAX(N891-1,0),SUM(IFERROR(VALUE(TEXTSPLIT(O891,",")),0)))),0)</f>
        <v/>
      </c>
      <c r="S891">
        <f>IFERROR(L891*MAX(N891,1)/R891*IF(ISBLANK(K879),1,K879),0)</f>
        <v/>
      </c>
      <c r="AB891" s="7" t="inlineStr">
        <is>
          <t>^Warhead_Chemical_Heavy, ^Warhead_Flame_Heavy</t>
        </is>
      </c>
    </row>
    <row r="892">
      <c r="A892" t="inlineStr">
        <is>
          <t>redalert</t>
        </is>
      </c>
      <c r="B892" t="inlineStr">
        <is>
          <t>japan_shogunexecutioner</t>
        </is>
      </c>
      <c r="C892" t="inlineStr">
        <is>
          <t>Shogun Executioner</t>
        </is>
      </c>
      <c r="D892" s="6" t="inlineStr">
        <is>
          <t>EpicVehicle</t>
        </is>
      </c>
      <c r="E892" s="6" t="n">
        <v>3000000</v>
      </c>
      <c r="F892" s="6" t="n">
        <v>65</v>
      </c>
      <c r="G892" t="inlineStr">
        <is>
          <t>Superheavy</t>
        </is>
      </c>
      <c r="H892" s="6" t="n">
        <v>0.75</v>
      </c>
      <c r="I892" s="6" t="n">
        <v>0.4</v>
      </c>
      <c r="J892" s="6" t="n">
        <v>1.25</v>
      </c>
      <c r="P892">
        <f>MAX(P893)</f>
        <v/>
      </c>
      <c r="S892">
        <f>S893</f>
        <v/>
      </c>
      <c r="T892">
        <f>(E892/100000+F892/100+(P892/1000)*J892/5+S892/200)*200*I892*H892</f>
        <v/>
      </c>
      <c r="U892">
        <f>((E892*F892/25000)+((P892/1000)*J892*S892/2.5))*I892*H892</f>
        <v/>
      </c>
      <c r="V892">
        <f>(E892*F892*(P892/1000)*J892*S892*I892*H892)/12500000</f>
        <v/>
      </c>
      <c r="W892">
        <f>IFERROR((((E892/4000000)+(F892/60)+(S892/20000)+((P892/8500)*J892))*10000/4+(((E892/4000000)*(F892/60))+(((P892/8500)*J892)*(S892/20000)))*10000/2+((E892/4000000)*(F892/60)*((P892/8500)*J892)*(S892/20000))*10000)*(H892/0.75)/3,"")</f>
        <v/>
      </c>
      <c r="X892" s="6" t="n">
        <v>10000</v>
      </c>
      <c r="Y892">
        <f>IFERROR(W892-X892,"")</f>
        <v/>
      </c>
      <c r="Z892">
        <f>IFERROR(ABS(Y892)/MAX(X892,1),"")</f>
        <v/>
      </c>
      <c r="AA892">
        <f>IFERROR(ROUND(((3*X892-(((E892/4000000)+(F892/60)+(S892/20000))*10000/4+((E892/4000000)*(F892/60))*10000/2)*(H892/0.75))/(10000/4+((S892/20000))*10000/2+((E892/4000000)*(F892/60)*(S892/20000))*10000)*(H892/0.75)*8500)/J892,-1),"")</f>
        <v/>
      </c>
    </row>
    <row r="893">
      <c r="B893" s="7" t="inlineStr">
        <is>
          <t xml:space="preserve">  ↳ ExecutionerSword</t>
        </is>
      </c>
      <c r="C893" s="7" t="inlineStr">
        <is>
          <t>Armament</t>
        </is>
      </c>
      <c r="L893" s="6" t="n">
        <v>600000</v>
      </c>
      <c r="M893" s="6" t="n">
        <v>300</v>
      </c>
      <c r="N893" s="6" t="n">
        <v>1</v>
      </c>
      <c r="O893" s="6" t="n"/>
      <c r="P893" s="6" t="n">
        <v>3000</v>
      </c>
      <c r="Q893" s="6" t="n">
        <v>1</v>
      </c>
      <c r="R893">
        <f>M893+IF(MAX(N893-1,0)&gt;0,IF(ISBLANK(O893),5*MAX(N893-1,0),IF(ISNUMBER(O893),O893*MAX(N893-1,0),SUM(IFERROR(VALUE(TEXTSPLIT(O893,",")),0)))),0)</f>
        <v/>
      </c>
      <c r="S893">
        <f>IFERROR(L893*MAX(N893,1)/R893*IF(ISBLANK(K892),1,K892),0)</f>
        <v/>
      </c>
      <c r="AB893" s="7" t="inlineStr">
        <is>
          <t>^Warhead_Melee_Medium</t>
        </is>
      </c>
    </row>
    <row r="894">
      <c r="A894" t="inlineStr">
        <is>
          <t>redalert</t>
        </is>
      </c>
      <c r="B894" t="inlineStr">
        <is>
          <t>ra1_soviets_madtank</t>
        </is>
      </c>
      <c r="C894" t="inlineStr">
        <is>
          <t>MAD Tank</t>
        </is>
      </c>
      <c r="D894" s="6" t="inlineStr">
        <is>
          <t>EpicVehicle</t>
        </is>
      </c>
      <c r="E894" s="6" t="n">
        <v>300000</v>
      </c>
      <c r="F894" s="6" t="n">
        <v>60</v>
      </c>
      <c r="G894" t="inlineStr">
        <is>
          <t>Superheavy</t>
        </is>
      </c>
      <c r="H894" s="6" t="n">
        <v>0.4925</v>
      </c>
      <c r="I894" s="6" t="n">
        <v>1</v>
      </c>
      <c r="J894" s="6" t="n">
        <v>1</v>
      </c>
      <c r="X894" s="6" t="n">
        <v>3000</v>
      </c>
    </row>
    <row r="895">
      <c r="B895" s="7" t="inlineStr">
        <is>
          <t xml:space="preserve">  ↳ MADTankTargeting</t>
        </is>
      </c>
      <c r="C895" s="7" t="inlineStr">
        <is>
          <t>Armament@PRIMARY</t>
        </is>
      </c>
      <c r="M895" s="6" t="n">
        <v>1</v>
      </c>
      <c r="N895" s="6" t="n">
        <v>1</v>
      </c>
      <c r="O895" s="6" t="n"/>
      <c r="P895" s="6" t="n">
        <v>2500</v>
      </c>
      <c r="Q895" s="6" t="n">
        <v>1</v>
      </c>
      <c r="R895">
        <f>M895+IF(MAX(N895-1,0)&gt;0,IF(ISBLANK(O895),5*MAX(N895-1,0),IF(ISNUMBER(O895),O895*MAX(N895-1,0),SUM(IFERROR(VALUE(TEXTSPLIT(O895,",")),0)))),0)</f>
        <v/>
      </c>
      <c r="S895">
        <f>IFERROR(L895*MAX(N895,1)/R895*IF(ISBLANK(K894),1,K894),0)</f>
        <v/>
      </c>
      <c r="AB895" s="7" t="inlineStr">
        <is>
          <t>DemoTruckTargeting</t>
        </is>
      </c>
    </row>
    <row r="896">
      <c r="A896" t="inlineStr">
        <is>
          <t>redalert</t>
        </is>
      </c>
      <c r="B896" t="inlineStr">
        <is>
          <t>ra1_soviets_monstertank</t>
        </is>
      </c>
      <c r="C896" t="inlineStr">
        <is>
          <t>Monster Tank</t>
        </is>
      </c>
      <c r="D896" s="6" t="inlineStr">
        <is>
          <t>EpicVehicle</t>
        </is>
      </c>
      <c r="E896" s="6" t="n">
        <v>1000000</v>
      </c>
      <c r="F896" s="6" t="n">
        <v>45</v>
      </c>
      <c r="G896" t="inlineStr">
        <is>
          <t>Superheavy</t>
        </is>
      </c>
      <c r="H896" s="6" t="n">
        <v>0.75</v>
      </c>
      <c r="I896" s="6" t="n">
        <v>0.4</v>
      </c>
      <c r="J896" s="6" t="n">
        <v>1</v>
      </c>
      <c r="K896" t="n">
        <v>0.0105</v>
      </c>
      <c r="P896">
        <f>MAX(P897,P898,P899,P900,P901)</f>
        <v/>
      </c>
      <c r="S896">
        <f>S897+S898+S899+S900+S901</f>
        <v/>
      </c>
      <c r="T896">
        <f>(E896/100000+F896/100+(P896/1000)*J896/5+S896/200)*200*I896*H896</f>
        <v/>
      </c>
      <c r="U896">
        <f>((E896*F896/25000)+((P896/1000)*J896*S896/2.5))*I896*H896</f>
        <v/>
      </c>
      <c r="V896">
        <f>(E896*F896*(P896/1000)*J896*S896*I896*H896)/12500000</f>
        <v/>
      </c>
      <c r="W896">
        <f>IFERROR((((E896/4000000)+(F896/60)+(S896/20000)+((P896/8500)*J896))*10000/4+(((E896/4000000)*(F896/60))+(((P896/8500)*J896)*(S896/20000)))*10000/2+((E896/4000000)*(F896/60)*((P896/8500)*J896)*(S896/20000))*10000)*(H896/0.75)/3,"")</f>
        <v/>
      </c>
      <c r="X896" s="6" t="n">
        <v>10000</v>
      </c>
      <c r="Y896">
        <f>IFERROR(W896-X896,"")</f>
        <v/>
      </c>
      <c r="Z896">
        <f>IFERROR(ABS(Y896)/MAX(X896,1),"")</f>
        <v/>
      </c>
      <c r="AA896">
        <f>IFERROR(ROUND(((3*X896-(((E896/4000000)+(F896/60)+(S896/20000))*10000/4+((E896/4000000)*(F896/60))*10000/2)*(H896/0.75))/(10000/4+((S896/20000))*10000/2+((E896/4000000)*(F896/60)*(S896/20000))*10000)*(H896/0.75)*8500)/J896,-1),"")</f>
        <v/>
      </c>
    </row>
    <row r="897">
      <c r="B897" s="7" t="inlineStr">
        <is>
          <t xml:space="preserve">  ↳ MonsterTank120mm</t>
        </is>
      </c>
      <c r="C897" s="7" t="inlineStr">
        <is>
          <t>Armament@PRIMARY</t>
        </is>
      </c>
      <c r="L897" s="6" t="n">
        <v>80000</v>
      </c>
      <c r="M897" s="6" t="n">
        <v>103</v>
      </c>
      <c r="N897" s="6" t="n">
        <v>2</v>
      </c>
      <c r="O897" s="6" t="n">
        <v>32</v>
      </c>
      <c r="P897" s="6" t="n">
        <v>7833</v>
      </c>
      <c r="Q897" s="6" t="n">
        <v>1.25</v>
      </c>
      <c r="R897">
        <f>M897+IF(MAX(N897-1,0)&gt;0,IF(ISBLANK(O897),5*MAX(N897-1,0),IF(ISNUMBER(O897),O897*MAX(N897-1,0),SUM(IFERROR(VALUE(TEXTSPLIT(O897,",")),0)))),0)</f>
        <v/>
      </c>
      <c r="S897">
        <f>IFERROR(L897*MAX(N897,1)/R897*IF(ISBLANK(K896),1,K896),0)</f>
        <v/>
      </c>
      <c r="AB897" s="7" t="inlineStr">
        <is>
          <t>^Warhead_CannonNuke_Heavy</t>
        </is>
      </c>
    </row>
    <row r="898">
      <c r="B898" s="7" t="inlineStr">
        <is>
          <t xml:space="preserve">  ↳ MonsterTank120mmThermobaric</t>
        </is>
      </c>
      <c r="C898" s="7" t="inlineStr">
        <is>
          <t>Armament@Upgrade</t>
        </is>
      </c>
      <c r="L898" s="6" t="n">
        <v>120000</v>
      </c>
      <c r="M898" s="6" t="n">
        <v>103</v>
      </c>
      <c r="N898" s="6" t="n">
        <v>2</v>
      </c>
      <c r="O898" s="6" t="n">
        <v>32</v>
      </c>
      <c r="P898" s="6" t="n">
        <v>7833</v>
      </c>
      <c r="Q898" s="6" t="n">
        <v>1.25</v>
      </c>
      <c r="R898">
        <f>M898+IF(MAX(N898-1,0)&gt;0,IF(ISBLANK(O898),5*MAX(N898-1,0),IF(ISNUMBER(O898),O898*MAX(N898-1,0),SUM(IFERROR(VALUE(TEXTSPLIT(O898,",")),0)))),0)</f>
        <v/>
      </c>
      <c r="S898">
        <f>IFERROR(L898*MAX(N898,1)/R898*IF(ISBLANK(K896),1,K896),0)</f>
        <v/>
      </c>
      <c r="AB898" s="7" t="inlineStr">
        <is>
          <t>^Warhead_CannonFire_Heavy</t>
        </is>
      </c>
    </row>
    <row r="899">
      <c r="B899" s="7" t="inlineStr">
        <is>
          <t xml:space="preserve">  ↳ MonsterTankTusk</t>
        </is>
      </c>
      <c r="C899" s="7" t="inlineStr">
        <is>
          <t>Armament@SECONDARY</t>
        </is>
      </c>
      <c r="L899" s="6" t="n">
        <v>40000</v>
      </c>
      <c r="M899" s="6" t="n">
        <v>125</v>
      </c>
      <c r="N899" s="6" t="n">
        <v>4</v>
      </c>
      <c r="O899" s="6" t="n">
        <v>3</v>
      </c>
      <c r="P899" s="6" t="n">
        <v>7833</v>
      </c>
      <c r="Q899" s="6" t="n">
        <v>1.25</v>
      </c>
      <c r="R899">
        <f>M899+IF(MAX(N899-1,0)&gt;0,IF(ISBLANK(O899),5*MAX(N899-1,0),IF(ISNUMBER(O899),O899*MAX(N899-1,0),SUM(IFERROR(VALUE(TEXTSPLIT(O899,",")),0)))),0)</f>
        <v/>
      </c>
      <c r="S899">
        <f>IFERROR(L899*MAX(N899,1)/R899*IF(ISBLANK(K896),1,K896),0)</f>
        <v/>
      </c>
      <c r="AB899" s="7" t="inlineStr">
        <is>
          <t>^Warhead_Demolition_Heavy, ^Warhead_MissileHE_Heavy</t>
        </is>
      </c>
    </row>
    <row r="900">
      <c r="B900" s="7" t="inlineStr">
        <is>
          <t xml:space="preserve">  ↳ MonsterTankTuskTesla</t>
        </is>
      </c>
      <c r="C900" s="7" t="inlineStr">
        <is>
          <t>Armament@TeslaSECONDARY</t>
        </is>
      </c>
      <c r="L900" s="6" t="n">
        <v>107000</v>
      </c>
      <c r="M900" s="6" t="n">
        <v>125</v>
      </c>
      <c r="N900" s="6" t="n">
        <v>4</v>
      </c>
      <c r="O900" s="6" t="n">
        <v>3</v>
      </c>
      <c r="P900" s="6" t="n">
        <v>7833</v>
      </c>
      <c r="Q900" s="6" t="n">
        <v>1</v>
      </c>
      <c r="R900">
        <f>M900+IF(MAX(N900-1,0)&gt;0,IF(ISBLANK(O900),5*MAX(N900-1,0),IF(ISNUMBER(O900),O900*MAX(N900-1,0),SUM(IFERROR(VALUE(TEXTSPLIT(O900,",")),0)))),0)</f>
        <v/>
      </c>
      <c r="S900">
        <f>IFERROR(L900*MAX(N900,1)/R900*IF(ISBLANK(K896),1,K896),0)</f>
        <v/>
      </c>
      <c r="AB900" s="7" t="inlineStr">
        <is>
          <t>^Grenade, ^LightFlameWeapon, ^TeslaWeapon, ^HeavyMissile, ^Effect_Tesla_Impact_RA2</t>
        </is>
      </c>
    </row>
    <row r="901">
      <c r="B901" s="7" t="inlineStr">
        <is>
          <t xml:space="preserve">  ↳ MonsterTankTuskThermobaric</t>
        </is>
      </c>
      <c r="C901" s="7" t="inlineStr">
        <is>
          <t>Armament@NukeSECONDARY</t>
        </is>
      </c>
      <c r="L901" s="6" t="n">
        <v>106000</v>
      </c>
      <c r="M901" s="6" t="n">
        <v>125</v>
      </c>
      <c r="N901" s="6" t="n">
        <v>4</v>
      </c>
      <c r="O901" s="6" t="n">
        <v>3</v>
      </c>
      <c r="P901" s="6" t="n">
        <v>7833</v>
      </c>
      <c r="Q901" s="6" t="n">
        <v>1</v>
      </c>
      <c r="R901">
        <f>M901+IF(MAX(N901-1,0)&gt;0,IF(ISBLANK(O901),5*MAX(N901-1,0),IF(ISNUMBER(O901),O901*MAX(N901-1,0),SUM(IFERROR(VALUE(TEXTSPLIT(O901,",")),0)))),0)</f>
        <v/>
      </c>
      <c r="S901">
        <f>IFERROR(L901*MAX(N901,1)/R901*IF(ISBLANK(K896),1,K896),0)</f>
        <v/>
      </c>
      <c r="AB901" s="7" t="inlineStr">
        <is>
          <t>^LightFlameWeapon, ^MediumFlameWeapon, ^HeavyFlameWeapon, ^Grenade, ^FlakWeapon, ^ShrapnelWeapon, ^MediumMissile, ^HeavyMissile</t>
        </is>
      </c>
    </row>
    <row r="902">
      <c r="A902" t="inlineStr">
        <is>
          <t>redalert</t>
        </is>
      </c>
      <c r="B902" t="inlineStr">
        <is>
          <t>ra1_allies_chronotank</t>
        </is>
      </c>
      <c r="C902" t="inlineStr">
        <is>
          <t>Chrono Tank</t>
        </is>
      </c>
      <c r="D902" s="6" t="inlineStr">
        <is>
          <t>EpicVehicle</t>
        </is>
      </c>
      <c r="E902" s="6" t="n">
        <v>75000</v>
      </c>
      <c r="F902" s="6" t="n">
        <v>100</v>
      </c>
      <c r="G902" t="inlineStr">
        <is>
          <t>Superheavy</t>
        </is>
      </c>
      <c r="H902" s="6" t="n">
        <v>0.75</v>
      </c>
      <c r="I902" s="6" t="n">
        <v>0.4</v>
      </c>
      <c r="J902" s="6" t="n">
        <v>2</v>
      </c>
      <c r="P902">
        <f>MAX(P903,P904,P905,P906)</f>
        <v/>
      </c>
      <c r="S902">
        <f>S903+S904+S905+S906</f>
        <v/>
      </c>
      <c r="T902">
        <f>(E902/100000+F902/100+(P902/1000)*J902/5+S902/200)*200*I902*H902</f>
        <v/>
      </c>
      <c r="U902">
        <f>((E902*F902/25000)+((P902/1000)*J902*S902/2.5))*I902*H902</f>
        <v/>
      </c>
      <c r="V902">
        <f>(E902*F902*(P902/1000)*J902*S902*I902*H902)/12500000</f>
        <v/>
      </c>
      <c r="W902">
        <f>IFERROR((((E902/4000000)+(F902/60)+(S902/20000)+((P902/8500)*J902))*10000/4+(((E902/4000000)*(F902/60))+(((P902/8500)*J902)*(S902/20000)))*10000/2+((E902/4000000)*(F902/60)*((P902/8500)*J902)*(S902/20000))*10000)*(H902/0.75)/3,"")</f>
        <v/>
      </c>
      <c r="X902" s="6" t="n">
        <v>2000</v>
      </c>
      <c r="Y902">
        <f>IFERROR(W902-X902,"")</f>
        <v/>
      </c>
      <c r="Z902">
        <f>IFERROR(ABS(Y902)/MAX(X902,1),"")</f>
        <v/>
      </c>
      <c r="AA902">
        <f>IFERROR(ROUND(((3*X902-(((E902/4000000)+(F902/60)+(S902/20000))*10000/4+((E902/4000000)*(F902/60))*10000/2)*(H902/0.75))/(10000/4+((S902/20000))*10000/2+((E902/4000000)*(F902/60)*(S902/20000))*10000)*(H902/0.75)*8500)/J902,-1),"")</f>
        <v/>
      </c>
    </row>
    <row r="903">
      <c r="B903" s="7" t="inlineStr">
        <is>
          <t xml:space="preserve">  ↳ ChronoTusk</t>
        </is>
      </c>
      <c r="C903" s="7" t="inlineStr">
        <is>
          <t>Armament@PRIMARY</t>
        </is>
      </c>
      <c r="L903" s="6" t="n">
        <v>20000</v>
      </c>
      <c r="M903" s="6" t="n">
        <v>54</v>
      </c>
      <c r="N903" s="6" t="n">
        <v>4</v>
      </c>
      <c r="O903" s="6" t="n">
        <v>3</v>
      </c>
      <c r="P903" s="6" t="n">
        <v>6102</v>
      </c>
      <c r="Q903" s="6" t="n">
        <v>1</v>
      </c>
      <c r="R903">
        <f>M903+IF(MAX(N903-1,0)&gt;0,IF(ISBLANK(O903),5*MAX(N903-1,0),IF(ISNUMBER(O903),O903*MAX(N903-1,0),SUM(IFERROR(VALUE(TEXTSPLIT(O903,",")),0)))),0)</f>
        <v/>
      </c>
      <c r="S903">
        <f>IFERROR(L903*MAX(N903,1)/R903*IF(ISBLANK(K902),1,K902),0)</f>
        <v/>
      </c>
      <c r="AB903" s="7" t="inlineStr">
        <is>
          <t>^Grenade, ^FlakWeapon, ^Chaingun, ^HeavyMissile, ^MediumMissile</t>
        </is>
      </c>
    </row>
    <row r="904">
      <c r="B904" s="7" t="inlineStr">
        <is>
          <t xml:space="preserve">  ↳ ChronoTusk</t>
        </is>
      </c>
      <c r="C904" s="7" t="inlineStr">
        <is>
          <t>Armament@SECONDARY</t>
        </is>
      </c>
      <c r="L904" s="6" t="n">
        <v>20000</v>
      </c>
      <c r="M904" s="6" t="n">
        <v>54</v>
      </c>
      <c r="N904" s="6" t="n">
        <v>4</v>
      </c>
      <c r="O904" s="6" t="n">
        <v>3</v>
      </c>
      <c r="P904" s="6" t="n">
        <v>6102</v>
      </c>
      <c r="Q904" s="6" t="n">
        <v>1</v>
      </c>
      <c r="R904">
        <f>M904+IF(MAX(N904-1,0)&gt;0,IF(ISBLANK(O904),5*MAX(N904-1,0),IF(ISNUMBER(O904),O904*MAX(N904-1,0),SUM(IFERROR(VALUE(TEXTSPLIT(O904,",")),0)))),0)</f>
        <v/>
      </c>
      <c r="S904">
        <f>IFERROR(L904*MAX(N904,1)/R904*IF(ISBLANK(K902),1,K902),0)</f>
        <v/>
      </c>
      <c r="AB904" s="7" t="inlineStr">
        <is>
          <t>^Grenade, ^FlakWeapon, ^Chaingun, ^HeavyMissile, ^MediumMissile</t>
        </is>
      </c>
    </row>
    <row r="905">
      <c r="B905" s="7" t="inlineStr">
        <is>
          <t xml:space="preserve">  ↳ ChronoTuskCryo</t>
        </is>
      </c>
      <c r="C905" s="7" t="inlineStr">
        <is>
          <t>Armament@Upgrade</t>
        </is>
      </c>
      <c r="L905" s="6" t="n">
        <v>20000</v>
      </c>
      <c r="M905" s="6" t="n">
        <v>54</v>
      </c>
      <c r="N905" s="6" t="n">
        <v>4</v>
      </c>
      <c r="O905" s="6" t="n">
        <v>3</v>
      </c>
      <c r="P905" s="6" t="n">
        <v>6102</v>
      </c>
      <c r="Q905" s="6" t="n">
        <v>1</v>
      </c>
      <c r="R905">
        <f>M905+IF(MAX(N905-1,0)&gt;0,IF(ISBLANK(O905),5*MAX(N905-1,0),IF(ISNUMBER(O905),O905*MAX(N905-1,0),SUM(IFERROR(VALUE(TEXTSPLIT(O905,",")),0)))),0)</f>
        <v/>
      </c>
      <c r="S905">
        <f>IFERROR(L905*MAX(N905,1)/R905*IF(ISBLANK(K902),1,K902),0)</f>
        <v/>
      </c>
      <c r="AB905" s="7" t="inlineStr">
        <is>
          <t>ChronoTusk, ^CryoMissileProjectile</t>
        </is>
      </c>
    </row>
    <row r="906">
      <c r="B906" s="7" t="inlineStr">
        <is>
          <t xml:space="preserve">  ↳ ChronoTuskCryo</t>
        </is>
      </c>
      <c r="C906" s="7" t="inlineStr">
        <is>
          <t>Armament@UpgradeSECONDARY</t>
        </is>
      </c>
      <c r="L906" s="6" t="n">
        <v>20000</v>
      </c>
      <c r="M906" s="6" t="n">
        <v>54</v>
      </c>
      <c r="N906" s="6" t="n">
        <v>4</v>
      </c>
      <c r="O906" s="6" t="n">
        <v>3</v>
      </c>
      <c r="P906" s="6" t="n">
        <v>6102</v>
      </c>
      <c r="Q906" s="6" t="n">
        <v>1</v>
      </c>
      <c r="R906">
        <f>M906+IF(MAX(N906-1,0)&gt;0,IF(ISBLANK(O906),5*MAX(N906-1,0),IF(ISNUMBER(O906),O906*MAX(N906-1,0),SUM(IFERROR(VALUE(TEXTSPLIT(O906,",")),0)))),0)</f>
        <v/>
      </c>
      <c r="S906">
        <f>IFERROR(L906*MAX(N906,1)/R906*IF(ISBLANK(K902),1,K902),0)</f>
        <v/>
      </c>
      <c r="AB906" s="7" t="inlineStr">
        <is>
          <t>ChronoTusk, ^CryoMissileProjectile</t>
        </is>
      </c>
    </row>
    <row r="907">
      <c r="A907" t="inlineStr">
        <is>
          <t>tiberiansun</t>
        </is>
      </c>
      <c r="B907" t="inlineStr">
        <is>
          <t>cabal_coredefender</t>
        </is>
      </c>
      <c r="C907" t="inlineStr">
        <is>
          <t>Core Defender</t>
        </is>
      </c>
      <c r="D907" s="6" t="inlineStr">
        <is>
          <t>EpicVehicle</t>
        </is>
      </c>
      <c r="E907" s="6" t="n">
        <v>2000000</v>
      </c>
      <c r="F907" s="6" t="n">
        <v>50</v>
      </c>
      <c r="G907" t="inlineStr">
        <is>
          <t>Superheavy</t>
        </is>
      </c>
      <c r="H907" s="6" t="n">
        <v>1</v>
      </c>
      <c r="I907" s="6" t="n">
        <v>0.3</v>
      </c>
      <c r="J907" s="6" t="n">
        <v>1</v>
      </c>
      <c r="P907">
        <f>MAX(P908,P909)</f>
        <v/>
      </c>
      <c r="S907">
        <f>S908+S909</f>
        <v/>
      </c>
      <c r="T907">
        <f>(E907/100000+F907/100+(P907/1000)*J907/5+S907/200)*200*I907*H907</f>
        <v/>
      </c>
      <c r="U907">
        <f>((E907*F907/25000)+((P907/1000)*J907*S907/2.5))*I907*H907</f>
        <v/>
      </c>
      <c r="V907">
        <f>(E907*F907*(P907/1000)*J907*S907*I907*H907)/12500000</f>
        <v/>
      </c>
      <c r="W907">
        <f>IFERROR((((E907/4000000)+(F907/60)+(S907/20000)+((P907/8500)*J907))*10000/4+(((E907/4000000)*(F907/60))+(((P907/8500)*J907)*(S907/20000)))*10000/2+((E907/4000000)*(F907/60)*((P907/8500)*J907)*(S907/20000))*10000)*(H907/0.75)/3,"")</f>
        <v/>
      </c>
      <c r="X907" s="6" t="n">
        <v>15000</v>
      </c>
      <c r="Y907">
        <f>IFERROR(W907-X907,"")</f>
        <v/>
      </c>
      <c r="Z907">
        <f>IFERROR(ABS(Y907)/MAX(X907,1),"")</f>
        <v/>
      </c>
      <c r="AA907">
        <f>IFERROR(ROUND(((3*X907-(((E907/4000000)+(F907/60)+(S907/20000))*10000/4+((E907/4000000)*(F907/60))*10000/2)*(H907/0.75))/(10000/4+((S907/20000))*10000/2+((E907/4000000)*(F907/60)*(S907/20000))*10000)*(H907/0.75)*8500)/J907,-1),"")</f>
        <v/>
      </c>
    </row>
    <row r="908">
      <c r="B908" s="7" t="inlineStr">
        <is>
          <t xml:space="preserve">  ↳ CabalCoreDefenderLaser</t>
        </is>
      </c>
      <c r="C908" s="7" t="inlineStr">
        <is>
          <t>Armament</t>
        </is>
      </c>
      <c r="L908" s="6" t="n">
        <v>160000</v>
      </c>
      <c r="M908" s="6" t="n">
        <v>70</v>
      </c>
      <c r="N908" s="6" t="n">
        <v>1</v>
      </c>
      <c r="O908" s="6" t="n"/>
      <c r="P908" s="6" t="n">
        <v>6332</v>
      </c>
      <c r="Q908" s="6" t="n">
        <v>1.25</v>
      </c>
      <c r="R908">
        <f>M908+IF(MAX(N908-1,0)&gt;0,IF(ISBLANK(O908),5*MAX(N908-1,0),IF(ISNUMBER(O908),O908*MAX(N908-1,0),SUM(IFERROR(VALUE(TEXTSPLIT(O908,",")),0)))),0)</f>
        <v/>
      </c>
      <c r="S908">
        <f>IFERROR(L908*MAX(N908,1)/R908*IF(ISBLANK(K907),1,K907),0)</f>
        <v/>
      </c>
      <c r="AB908" s="7" t="inlineStr">
        <is>
          <t>^Warhead_Laser_Heavy</t>
        </is>
      </c>
    </row>
    <row r="909">
      <c r="B909" s="7" t="inlineStr">
        <is>
          <t xml:space="preserve">  ↳ CabalCoreDefenderLaser</t>
        </is>
      </c>
      <c r="C909" s="7" t="inlineStr">
        <is>
          <t>Armament@RIGHT</t>
        </is>
      </c>
      <c r="L909" s="6" t="n">
        <v>160000</v>
      </c>
      <c r="M909" s="6" t="n">
        <v>70</v>
      </c>
      <c r="N909" s="6" t="n">
        <v>1</v>
      </c>
      <c r="O909" s="6" t="n"/>
      <c r="P909" s="6" t="n">
        <v>6332</v>
      </c>
      <c r="Q909" s="6" t="n">
        <v>1.25</v>
      </c>
      <c r="R909">
        <f>M909+IF(MAX(N909-1,0)&gt;0,IF(ISBLANK(O909),5*MAX(N909-1,0),IF(ISNUMBER(O909),O909*MAX(N909-1,0),SUM(IFERROR(VALUE(TEXTSPLIT(O909,",")),0)))),0)</f>
        <v/>
      </c>
      <c r="S909">
        <f>IFERROR(L909*MAX(N909,1)/R909*IF(ISBLANK(K907),1,K907),0)</f>
        <v/>
      </c>
      <c r="AB909" s="7" t="inlineStr">
        <is>
          <t>^Warhead_Laser_Heavy</t>
        </is>
      </c>
    </row>
    <row r="910">
      <c r="A910" t="inlineStr">
        <is>
          <t>tiberiansun</t>
        </is>
      </c>
      <c r="B910" t="inlineStr">
        <is>
          <t>ts_gdi_mammothmkii</t>
        </is>
      </c>
      <c r="C910" t="inlineStr">
        <is>
          <t>Mammoth MK. II</t>
        </is>
      </c>
      <c r="D910" s="6" t="inlineStr">
        <is>
          <t>EpicVehicle</t>
        </is>
      </c>
      <c r="E910" s="6" t="n">
        <v>1200000</v>
      </c>
      <c r="F910" s="6" t="n">
        <v>50</v>
      </c>
      <c r="G910" t="inlineStr">
        <is>
          <t>Superheavy</t>
        </is>
      </c>
      <c r="H910" s="6" t="n">
        <v>0.6471</v>
      </c>
      <c r="I910" s="6" t="n">
        <v>1</v>
      </c>
      <c r="J910" s="6" t="n">
        <v>1</v>
      </c>
      <c r="P910">
        <f>MAX(P911,P912,P913,P914)</f>
        <v/>
      </c>
      <c r="S910">
        <f>S911+S912+S913+S914</f>
        <v/>
      </c>
      <c r="T910">
        <f>(E910/100000+F910/100+(P910/1000)*J910/5+S910/200)*200*I910*H910</f>
        <v/>
      </c>
      <c r="U910">
        <f>((E910*F910/25000)+((P910/1000)*J910*S910/2.5))*I910*H910</f>
        <v/>
      </c>
      <c r="V910">
        <f>(E910*F910*(P910/1000)*J910*S910*I910*H910)/12500000</f>
        <v/>
      </c>
      <c r="W910">
        <f>IFERROR((((E910/4000000)+(F910/60)+(S910/20000)+((P910/8500)*J910))*10000/4+(((E910/4000000)*(F910/60))+(((P910/8500)*J910)*(S910/20000)))*10000/2+((E910/4000000)*(F910/60)*((P910/8500)*J910)*(S910/20000))*10000)*(H910/0.75)/3,"")</f>
        <v/>
      </c>
      <c r="X910" s="6" t="n">
        <v>8000</v>
      </c>
      <c r="Y910">
        <f>IFERROR(W910-X910,"")</f>
        <v/>
      </c>
      <c r="Z910">
        <f>IFERROR(ABS(Y910)/MAX(X910,1),"")</f>
        <v/>
      </c>
      <c r="AA910">
        <f>IFERROR(ROUND(((3*X910-(((E910/4000000)+(F910/60)+(S910/20000))*10000/4+((E910/4000000)*(F910/60))*10000/2)*(H910/0.75))/(10000/4+((S910/20000))*10000/2+((E910/4000000)*(F910/60)*(S910/20000))*10000)*(H910/0.75)*8500)/J910,-1),"")</f>
        <v/>
      </c>
    </row>
    <row r="911">
      <c r="B911" s="7" t="inlineStr">
        <is>
          <t xml:space="preserve">  ↳ TSMechRailgunII</t>
        </is>
      </c>
      <c r="C911" s="7" t="inlineStr">
        <is>
          <t>Armament@RAILGUN</t>
        </is>
      </c>
      <c r="L911" s="6" t="n">
        <v>80000</v>
      </c>
      <c r="M911" s="6" t="n">
        <v>112</v>
      </c>
      <c r="N911" s="6" t="n">
        <v>2</v>
      </c>
      <c r="O911" s="6" t="n">
        <v>8</v>
      </c>
      <c r="P911" s="6" t="n">
        <v>8434</v>
      </c>
      <c r="Q911" s="6" t="n">
        <v>1.25</v>
      </c>
      <c r="R911">
        <f>M911+IF(MAX(N911-1,0)&gt;0,IF(ISBLANK(O911),5*MAX(N911-1,0),IF(ISNUMBER(O911),O911*MAX(N911-1,0),SUM(IFERROR(VALUE(TEXTSPLIT(O911,",")),0)))),0)</f>
        <v/>
      </c>
      <c r="S911">
        <f>IFERROR(L911*MAX(N911,1)/R911*IF(ISBLANK(K910),1,K910),0)</f>
        <v/>
      </c>
      <c r="AB911" s="7" t="inlineStr">
        <is>
          <t>^Warhead_Railgun_Heavy</t>
        </is>
      </c>
    </row>
    <row r="912">
      <c r="B912" s="7" t="inlineStr">
        <is>
          <t xml:space="preserve">  ↳ TSMammothTusk2II_AA</t>
        </is>
      </c>
      <c r="C912" s="7" t="inlineStr">
        <is>
          <t>Armament@MISSILES</t>
        </is>
      </c>
      <c r="L912" s="6" t="n">
        <v>60000</v>
      </c>
      <c r="M912" s="6" t="n">
        <v>92</v>
      </c>
      <c r="N912" s="6" t="n">
        <v>2</v>
      </c>
      <c r="O912" s="6" t="n">
        <v>8</v>
      </c>
      <c r="P912" s="6" t="n">
        <v>9388</v>
      </c>
      <c r="Q912" s="6" t="n">
        <v>1.25</v>
      </c>
      <c r="R912">
        <f>M912+IF(MAX(N912-1,0)&gt;0,IF(ISBLANK(O912),5*MAX(N912-1,0),IF(ISNUMBER(O912),O912*MAX(N912-1,0),SUM(IFERROR(VALUE(TEXTSPLIT(O912,",")),0)))),0)</f>
        <v/>
      </c>
      <c r="S912">
        <f>IFERROR(L912*MAX(N912,1)/R912*IF(ISBLANK(K910),1,K910),0)</f>
        <v/>
      </c>
      <c r="AB912" s="7" t="inlineStr">
        <is>
          <t>^Warhead_MissileAP_Heavy</t>
        </is>
      </c>
    </row>
    <row r="913">
      <c r="B913" s="7" t="inlineStr">
        <is>
          <t xml:space="preserve">  ↳ TSMechRailgunRailII</t>
        </is>
      </c>
      <c r="C913" s="7" t="inlineStr">
        <is>
          <t>Armament@UpgradeRAILGUN</t>
        </is>
      </c>
      <c r="L913" s="6" t="n">
        <v>80000</v>
      </c>
      <c r="M913" s="6" t="n">
        <v>72</v>
      </c>
      <c r="N913" s="6" t="n">
        <v>2</v>
      </c>
      <c r="O913" s="6" t="n">
        <v>8</v>
      </c>
      <c r="P913" s="6" t="n">
        <v>8434</v>
      </c>
      <c r="Q913" s="6" t="n">
        <v>1.25</v>
      </c>
      <c r="R913">
        <f>M913+IF(MAX(N913-1,0)&gt;0,IF(ISBLANK(O913),5*MAX(N913-1,0),IF(ISNUMBER(O913),O913*MAX(N913-1,0),SUM(IFERROR(VALUE(TEXTSPLIT(O913,",")),0)))),0)</f>
        <v/>
      </c>
      <c r="S913">
        <f>IFERROR(L913*MAX(N913,1)/R913*IF(ISBLANK(K910),1,K910),0)</f>
        <v/>
      </c>
      <c r="AB913" s="7" t="inlineStr">
        <is>
          <t>^Warhead_Railgun_Heavy</t>
        </is>
      </c>
    </row>
    <row r="914">
      <c r="B914" s="7" t="inlineStr">
        <is>
          <t xml:space="preserve">  ↳ TSMechMGII</t>
        </is>
      </c>
      <c r="C914" s="7" t="inlineStr">
        <is>
          <t>Armament@MG</t>
        </is>
      </c>
      <c r="L914" s="6" t="n">
        <v>16000</v>
      </c>
      <c r="M914" s="6" t="n">
        <v>8</v>
      </c>
      <c r="N914" s="6" t="n">
        <v>1</v>
      </c>
      <c r="O914" s="6" t="n"/>
      <c r="P914" s="6" t="n">
        <v>7002</v>
      </c>
      <c r="Q914" s="6" t="n">
        <v>1</v>
      </c>
      <c r="R914">
        <f>M914+IF(MAX(N914-1,0)&gt;0,IF(ISBLANK(O914),5*MAX(N914-1,0),IF(ISNUMBER(O914),O914*MAX(N914-1,0),SUM(IFERROR(VALUE(TEXTSPLIT(O914,",")),0)))),0)</f>
        <v/>
      </c>
      <c r="S914">
        <f>IFERROR(L914*MAX(N914,1)/R914*IF(ISBLANK(K910),1,K910),0)</f>
        <v/>
      </c>
      <c r="AB914" s="7" t="inlineStr">
        <is>
          <t>^Warhead_Bullet_Medium</t>
        </is>
      </c>
    </row>
    <row r="915">
      <c r="A915" t="inlineStr">
        <is>
          <t>tiberiansun</t>
        </is>
      </c>
      <c r="B915" t="inlineStr">
        <is>
          <t>ts_gdi_mammothprototype</t>
        </is>
      </c>
      <c r="C915" t="inlineStr">
        <is>
          <t>Mammoth Prototype</t>
        </is>
      </c>
      <c r="D915" s="6" t="inlineStr">
        <is>
          <t>EpicVehicle</t>
        </is>
      </c>
      <c r="E915" s="6" t="n">
        <v>800000</v>
      </c>
      <c r="F915" s="6" t="n">
        <v>50</v>
      </c>
      <c r="G915" t="inlineStr">
        <is>
          <t>Superheavy</t>
        </is>
      </c>
      <c r="H915" s="6" t="n">
        <v>0.6471</v>
      </c>
      <c r="I915" s="6" t="n">
        <v>1</v>
      </c>
      <c r="J915" s="6" t="n">
        <v>1</v>
      </c>
      <c r="P915">
        <f>MAX(P916,P917,P918)</f>
        <v/>
      </c>
      <c r="S915">
        <f>S916+S917+S918</f>
        <v/>
      </c>
      <c r="T915">
        <f>(E915/100000+F915/100+(P915/1000)*J915/5+S915/200)*200*I915*H915</f>
        <v/>
      </c>
      <c r="U915">
        <f>((E915*F915/25000)+((P915/1000)*J915*S915/2.5))*I915*H915</f>
        <v/>
      </c>
      <c r="V915">
        <f>(E915*F915*(P915/1000)*J915*S915*I915*H915)/12500000</f>
        <v/>
      </c>
      <c r="W915">
        <f>IFERROR((((E915/4000000)+(F915/60)+(S915/20000)+((P915/8500)*J915))*10000/4+(((E915/4000000)*(F915/60))+(((P915/8500)*J915)*(S915/20000)))*10000/2+((E915/4000000)*(F915/60)*((P915/8500)*J915)*(S915/20000))*10000)*(H915/0.75)/3,"")</f>
        <v/>
      </c>
      <c r="X915" s="6" t="n">
        <v>4000</v>
      </c>
      <c r="Y915">
        <f>IFERROR(W915-X915,"")</f>
        <v/>
      </c>
      <c r="Z915">
        <f>IFERROR(ABS(Y915)/MAX(X915,1),"")</f>
        <v/>
      </c>
      <c r="AA915">
        <f>IFERROR(ROUND(((3*X915-(((E915/4000000)+(F915/60)+(S915/20000))*10000/4+((E915/4000000)*(F915/60))*10000/2)*(H915/0.75))/(10000/4+((S915/20000))*10000/2+((E915/4000000)*(F915/60)*(S915/20000))*10000)*(H915/0.75)*8500)/J915,-1),"")</f>
        <v/>
      </c>
    </row>
    <row r="916">
      <c r="B916" s="7" t="inlineStr">
        <is>
          <t xml:space="preserve">  ↳ TSMechRailgun</t>
        </is>
      </c>
      <c r="C916" s="7" t="inlineStr">
        <is>
          <t>Armament@RAILGUN</t>
        </is>
      </c>
      <c r="L916" s="6" t="n">
        <v>40000</v>
      </c>
      <c r="M916" s="6" t="n">
        <v>92</v>
      </c>
      <c r="N916" s="6" t="n">
        <v>2</v>
      </c>
      <c r="O916" s="6" t="n">
        <v>8</v>
      </c>
      <c r="P916" s="6" t="n">
        <v>8409</v>
      </c>
      <c r="Q916" s="6" t="n">
        <v>1.25</v>
      </c>
      <c r="R916">
        <f>M916+IF(MAX(N916-1,0)&gt;0,IF(ISBLANK(O916),5*MAX(N916-1,0),IF(ISNUMBER(O916),O916*MAX(N916-1,0),SUM(IFERROR(VALUE(TEXTSPLIT(O916,",")),0)))),0)</f>
        <v/>
      </c>
      <c r="S916">
        <f>IFERROR(L916*MAX(N916,1)/R916*IF(ISBLANK(K915),1,K915),0)</f>
        <v/>
      </c>
      <c r="AB916" s="7" t="inlineStr">
        <is>
          <t>^Warhead_Railgun_Heavy</t>
        </is>
      </c>
    </row>
    <row r="917">
      <c r="B917" s="7" t="inlineStr">
        <is>
          <t xml:space="preserve">  ↳ TSMammothTusk2</t>
        </is>
      </c>
      <c r="C917" s="7" t="inlineStr">
        <is>
          <t>Armament@MISSILES</t>
        </is>
      </c>
      <c r="L917" s="6" t="n">
        <v>42000</v>
      </c>
      <c r="M917" s="6" t="n">
        <v>92</v>
      </c>
      <c r="N917" s="6" t="n">
        <v>2</v>
      </c>
      <c r="O917" s="6" t="n">
        <v>8</v>
      </c>
      <c r="P917" s="6" t="n">
        <v>9332</v>
      </c>
      <c r="Q917" s="6" t="n">
        <v>1.25</v>
      </c>
      <c r="R917">
        <f>M917+IF(MAX(N917-1,0)&gt;0,IF(ISBLANK(O917),5*MAX(N917-1,0),IF(ISNUMBER(O917),O917*MAX(N917-1,0),SUM(IFERROR(VALUE(TEXTSPLIT(O917,",")),0)))),0)</f>
        <v/>
      </c>
      <c r="S917">
        <f>IFERROR(L917*MAX(N917,1)/R917*IF(ISBLANK(K915),1,K915),0)</f>
        <v/>
      </c>
      <c r="AB917" s="7" t="inlineStr">
        <is>
          <t>^Warhead_MissileAP_Heavy</t>
        </is>
      </c>
    </row>
    <row r="918">
      <c r="B918" s="7" t="inlineStr">
        <is>
          <t xml:space="preserve">  ↳ TSMechRailgunRail</t>
        </is>
      </c>
      <c r="C918" s="7" t="inlineStr">
        <is>
          <t>Armament@UpgradeRAILGUN</t>
        </is>
      </c>
      <c r="L918" s="6" t="n">
        <v>40000</v>
      </c>
      <c r="M918" s="6" t="n">
        <v>58</v>
      </c>
      <c r="N918" s="6" t="n">
        <v>2</v>
      </c>
      <c r="O918" s="6" t="n">
        <v>8</v>
      </c>
      <c r="P918" s="6" t="n">
        <v>8409</v>
      </c>
      <c r="Q918" s="6" t="n">
        <v>1.25</v>
      </c>
      <c r="R918">
        <f>M918+IF(MAX(N918-1,0)&gt;0,IF(ISBLANK(O918),5*MAX(N918-1,0),IF(ISNUMBER(O918),O918*MAX(N918-1,0),SUM(IFERROR(VALUE(TEXTSPLIT(O918,",")),0)))),0)</f>
        <v/>
      </c>
      <c r="S918">
        <f>IFERROR(L918*MAX(N918,1)/R918*IF(ISBLANK(K915),1,K915),0)</f>
        <v/>
      </c>
      <c r="AB918" s="7" t="inlineStr">
        <is>
          <t>^Warhead_Railgun_Heavy</t>
        </is>
      </c>
    </row>
    <row r="919">
      <c r="A919" t="inlineStr">
        <is>
          <t>tiberiansun</t>
        </is>
      </c>
      <c r="B919" t="inlineStr">
        <is>
          <t>forgotten_chemicalmammothtank</t>
        </is>
      </c>
      <c r="C919" t="inlineStr">
        <is>
          <t>actor_forgotten_chemicalmammothtank.name</t>
        </is>
      </c>
      <c r="D919" s="6" t="inlineStr">
        <is>
          <t>EpicVehicle</t>
        </is>
      </c>
      <c r="E919" s="6" t="n">
        <v>400000</v>
      </c>
      <c r="F919" s="6" t="n">
        <v>60</v>
      </c>
      <c r="G919" t="inlineStr">
        <is>
          <t>Superheavy</t>
        </is>
      </c>
      <c r="H919" s="6" t="n">
        <v>0.7269</v>
      </c>
      <c r="I919" s="6" t="n">
        <v>1</v>
      </c>
      <c r="J919" s="6" t="n">
        <v>1</v>
      </c>
      <c r="P919">
        <f>MAX(P920,P921)</f>
        <v/>
      </c>
      <c r="S919">
        <f>S920+S921</f>
        <v/>
      </c>
      <c r="T919">
        <f>(E919/100000+F919/100+(P919/1000)*J919/5+S919/200)*200*I919*H919</f>
        <v/>
      </c>
      <c r="U919">
        <f>((E919*F919/25000)+((P919/1000)*J919*S919/2.5))*I919*H919</f>
        <v/>
      </c>
      <c r="V919">
        <f>(E919*F919*(P919/1000)*J919*S919*I919*H919)/12500000</f>
        <v/>
      </c>
      <c r="W919">
        <f>IFERROR((((E919/4000000)+(F919/60)+(S919/20000)+((P919/8500)*J919))*10000/4+(((E919/4000000)*(F919/60))+(((P919/8500)*J919)*(S919/20000)))*10000/2+((E919/4000000)*(F919/60)*((P919/8500)*J919)*(S919/20000))*10000)*(H919/0.75)/3,"")</f>
        <v/>
      </c>
      <c r="X919" s="6" t="n">
        <v>5000</v>
      </c>
      <c r="Y919">
        <f>IFERROR(W919-X919,"")</f>
        <v/>
      </c>
      <c r="Z919">
        <f>IFERROR(ABS(Y919)/MAX(X919,1),"")</f>
        <v/>
      </c>
      <c r="AA919">
        <f>IFERROR(ROUND(((3*X919-(((E919/4000000)+(F919/60)+(S919/20000))*10000/4+((E919/4000000)*(F919/60))*10000/2)*(H919/0.75))/(10000/4+((S919/20000))*10000/2+((E919/4000000)*(F919/60)*(S919/20000))*10000)*(H919/0.75)*8500)/J919,-1),"")</f>
        <v/>
      </c>
    </row>
    <row r="920">
      <c r="B920" s="7" t="inlineStr">
        <is>
          <t xml:space="preserve">  ↳ TS120mmxChem</t>
        </is>
      </c>
      <c r="C920" s="7" t="inlineStr">
        <is>
          <t>Armament@PRIMARY</t>
        </is>
      </c>
      <c r="L920" s="6" t="n">
        <v>80000</v>
      </c>
      <c r="M920" s="6" t="n">
        <v>60</v>
      </c>
      <c r="N920" s="6" t="n">
        <v>2</v>
      </c>
      <c r="O920" s="6" t="n">
        <v>4</v>
      </c>
      <c r="P920" s="6" t="n">
        <v>6172</v>
      </c>
      <c r="Q920" s="6" t="n">
        <v>1.25</v>
      </c>
      <c r="R920">
        <f>M920+IF(MAX(N920-1,0)&gt;0,IF(ISBLANK(O920),5*MAX(N920-1,0),IF(ISNUMBER(O920),O920*MAX(N920-1,0),SUM(IFERROR(VALUE(TEXTSPLIT(O920,",")),0)))),0)</f>
        <v/>
      </c>
      <c r="S920">
        <f>IFERROR(L920*MAX(N920,1)/R920*IF(ISBLANK(K919),1,K919),0)</f>
        <v/>
      </c>
      <c r="AB920" s="7" t="inlineStr">
        <is>
          <t>^Warhead_Demolition_Heavy, ^Warhead_Chemical_Heavy</t>
        </is>
      </c>
    </row>
    <row r="921">
      <c r="B921" s="7" t="inlineStr">
        <is>
          <t xml:space="preserve">  ↳ TSMammothTuskChem</t>
        </is>
      </c>
      <c r="C921" s="7" t="inlineStr">
        <is>
          <t>Armament@SECONDARY</t>
        </is>
      </c>
      <c r="L921" s="6" t="n">
        <v>40000</v>
      </c>
      <c r="M921" s="6" t="n">
        <v>48</v>
      </c>
      <c r="N921" s="6" t="n">
        <v>4</v>
      </c>
      <c r="O921" s="6" t="n">
        <v>6</v>
      </c>
      <c r="P921" s="6" t="n">
        <v>6172</v>
      </c>
      <c r="Q921" s="6" t="n">
        <v>1</v>
      </c>
      <c r="R921">
        <f>M921+IF(MAX(N921-1,0)&gt;0,IF(ISBLANK(O921),5*MAX(N921-1,0),IF(ISNUMBER(O921),O921*MAX(N921-1,0),SUM(IFERROR(VALUE(TEXTSPLIT(O921,",")),0)))),0)</f>
        <v/>
      </c>
      <c r="S921">
        <f>IFERROR(L921*MAX(N921,1)/R921*IF(ISBLANK(K919),1,K919),0)</f>
        <v/>
      </c>
      <c r="AB921" s="7" t="inlineStr">
        <is>
          <t>^HeavyMissile, ^HeavyChemicalWeapon</t>
        </is>
      </c>
    </row>
    <row r="922">
      <c r="A922" t="inlineStr">
        <is>
          <t>tiberiansun</t>
        </is>
      </c>
      <c r="B922" t="inlineStr">
        <is>
          <t>forgotten_experimentalmammothtank</t>
        </is>
      </c>
      <c r="C922" t="inlineStr">
        <is>
          <t>actor_forgotten_experimentalmammothtank.name</t>
        </is>
      </c>
      <c r="D922" s="6" t="inlineStr">
        <is>
          <t>EpicVehicle</t>
        </is>
      </c>
      <c r="E922" s="6" t="n">
        <v>1000000</v>
      </c>
      <c r="F922" s="6" t="n">
        <v>50</v>
      </c>
      <c r="G922" t="inlineStr">
        <is>
          <t>Superheavy</t>
        </is>
      </c>
      <c r="H922" s="6" t="n">
        <v>0.7269</v>
      </c>
      <c r="I922" s="6" t="n">
        <v>1</v>
      </c>
      <c r="J922" s="6" t="n">
        <v>1</v>
      </c>
      <c r="P922">
        <f>MAX(P923,P924,P925)</f>
        <v/>
      </c>
      <c r="S922">
        <f>S923+S924+S925</f>
        <v/>
      </c>
      <c r="T922">
        <f>(E922/100000+F922/100+(P922/1000)*J922/5+S922/200)*200*I922*H922</f>
        <v/>
      </c>
      <c r="U922">
        <f>((E922*F922/25000)+((P922/1000)*J922*S922/2.5))*I922*H922</f>
        <v/>
      </c>
      <c r="V922">
        <f>(E922*F922*(P922/1000)*J922*S922*I922*H922)/12500000</f>
        <v/>
      </c>
      <c r="W922">
        <f>IFERROR((((E922/4000000)+(F922/60)+(S922/20000)+((P922/8500)*J922))*10000/4+(((E922/4000000)*(F922/60))+(((P922/8500)*J922)*(S922/20000)))*10000/2+((E922/4000000)*(F922/60)*((P922/8500)*J922)*(S922/20000))*10000)*(H922/0.75)/3,"")</f>
        <v/>
      </c>
      <c r="X922" s="6" t="n">
        <v>6000</v>
      </c>
      <c r="Y922">
        <f>IFERROR(W922-X922,"")</f>
        <v/>
      </c>
      <c r="Z922">
        <f>IFERROR(ABS(Y922)/MAX(X922,1),"")</f>
        <v/>
      </c>
      <c r="AA922">
        <f>IFERROR(ROUND(((3*X922-(((E922/4000000)+(F922/60)+(S922/20000))*10000/4+((E922/4000000)*(F922/60))*10000/2)*(H922/0.75))/(10000/4+((S922/20000))*10000/2+((E922/4000000)*(F922/60)*(S922/20000))*10000)*(H922/0.75)*8500)/J922,-1),"")</f>
        <v/>
      </c>
    </row>
    <row r="923">
      <c r="B923" s="7" t="inlineStr">
        <is>
          <t xml:space="preserve">  ↳ TS120mmx</t>
        </is>
      </c>
      <c r="C923" s="7" t="inlineStr">
        <is>
          <t>Armament@PRIMARY</t>
        </is>
      </c>
      <c r="L923" s="6" t="n">
        <v>63600</v>
      </c>
      <c r="M923" s="6" t="n">
        <v>52</v>
      </c>
      <c r="N923" s="6" t="n">
        <v>2</v>
      </c>
      <c r="O923" s="6" t="n">
        <v>4</v>
      </c>
      <c r="P923" s="6" t="n">
        <v>5677</v>
      </c>
      <c r="Q923" s="6" t="n">
        <v>1</v>
      </c>
      <c r="R923">
        <f>M923+IF(MAX(N923-1,0)&gt;0,IF(ISBLANK(O923),5*MAX(N923-1,0),IF(ISNUMBER(O923),O923*MAX(N923-1,0),SUM(IFERROR(VALUE(TEXTSPLIT(O923,",")),0)))),0)</f>
        <v/>
      </c>
      <c r="S923">
        <f>IFERROR(L923*MAX(N923,1)/R923*IF(ISBLANK(K922),1,K922),0)</f>
        <v/>
      </c>
      <c r="AB923" s="7" t="inlineStr">
        <is>
          <t>^Warhead_CannonHE_Medium, ^Warhead_Concussion_Medium</t>
        </is>
      </c>
    </row>
    <row r="924">
      <c r="B924" s="7" t="inlineStr">
        <is>
          <t xml:space="preserve">  ↳ TSChem120mmx</t>
        </is>
      </c>
      <c r="C924" s="7" t="inlineStr">
        <is>
          <t>Armament@UPGRADE</t>
        </is>
      </c>
      <c r="L924" s="6" t="n">
        <v>93600</v>
      </c>
      <c r="M924" s="6" t="n">
        <v>52</v>
      </c>
      <c r="N924" s="6" t="n">
        <v>2</v>
      </c>
      <c r="O924" s="6" t="n">
        <v>4</v>
      </c>
      <c r="P924" s="6" t="n">
        <v>5677</v>
      </c>
      <c r="Q924" s="6" t="n">
        <v>1</v>
      </c>
      <c r="R924">
        <f>M924+IF(MAX(N924-1,0)&gt;0,IF(ISBLANK(O924),5*MAX(N924-1,0),IF(ISNUMBER(O924),O924*MAX(N924-1,0),SUM(IFERROR(VALUE(TEXTSPLIT(O924,",")),0)))),0)</f>
        <v/>
      </c>
      <c r="S924">
        <f>IFERROR(L924*MAX(N924,1)/R924*IF(ISBLANK(K922),1,K922),0)</f>
        <v/>
      </c>
      <c r="AB924" s="7" t="inlineStr">
        <is>
          <t>^Warhead_CannonHE_Medium</t>
        </is>
      </c>
    </row>
    <row r="925">
      <c r="B925" s="7" t="inlineStr">
        <is>
          <t xml:space="preserve">  ↳ TSMammothTusk</t>
        </is>
      </c>
      <c r="C925" s="7" t="inlineStr">
        <is>
          <t>Armament@SECONDARY</t>
        </is>
      </c>
      <c r="L925" s="6" t="n">
        <v>60000</v>
      </c>
      <c r="M925" s="6" t="n">
        <v>62</v>
      </c>
      <c r="N925" s="6" t="n">
        <v>2</v>
      </c>
      <c r="O925" s="6" t="n">
        <v>8</v>
      </c>
      <c r="P925" s="6" t="n">
        <v>5677</v>
      </c>
      <c r="Q925" s="6" t="n">
        <v>1.25</v>
      </c>
      <c r="R925">
        <f>M925+IF(MAX(N925-1,0)&gt;0,IF(ISBLANK(O925),5*MAX(N925-1,0),IF(ISNUMBER(O925),O925*MAX(N925-1,0),SUM(IFERROR(VALUE(TEXTSPLIT(O925,",")),0)))),0)</f>
        <v/>
      </c>
      <c r="S925">
        <f>IFERROR(L925*MAX(N925,1)/R925*IF(ISBLANK(K922),1,K922),0)</f>
        <v/>
      </c>
      <c r="AB925" s="7" t="inlineStr">
        <is>
          <t>^Warhead_MissileAP_Heavy</t>
        </is>
      </c>
    </row>
    <row r="926">
      <c r="A926" t="inlineStr">
        <is>
          <t>tiberiansun</t>
        </is>
      </c>
      <c r="B926" t="inlineStr">
        <is>
          <t>forgotten_nomadbarracks</t>
        </is>
      </c>
      <c r="C926" t="inlineStr">
        <is>
          <t>actor_forgotten_nomadbarracks.name</t>
        </is>
      </c>
      <c r="D926" s="6" t="inlineStr">
        <is>
          <t>EpicVehicle</t>
        </is>
      </c>
      <c r="E926" s="6" t="n">
        <v>650000</v>
      </c>
      <c r="F926" s="6" t="n">
        <v>65</v>
      </c>
      <c r="G926" t="inlineStr">
        <is>
          <t>Superheavy</t>
        </is>
      </c>
      <c r="H926" s="6" t="n">
        <v>0.7269</v>
      </c>
      <c r="I926" s="6" t="n">
        <v>1</v>
      </c>
      <c r="J926" s="6" t="n">
        <v>1</v>
      </c>
      <c r="P926">
        <f>MAX(P927)</f>
        <v/>
      </c>
      <c r="S926">
        <f>S927</f>
        <v/>
      </c>
      <c r="T926">
        <f>(E926/100000+F926/100+(P926/1000)*J926/5+S926/200)*200*I926*H926</f>
        <v/>
      </c>
      <c r="U926">
        <f>((E926*F926/25000)+((P926/1000)*J926*S926/2.5))*I926*H926</f>
        <v/>
      </c>
      <c r="V926">
        <f>(E926*F926*(P926/1000)*J926*S926*I926*H926)/12500000</f>
        <v/>
      </c>
      <c r="W926">
        <f>IFERROR((((E926/4000000)+(F926/60)+(S926/20000)+((P926/8500)*J926))*10000/4+(((E926/4000000)*(F926/60))+(((P926/8500)*J926)*(S926/20000)))*10000/2+((E926/4000000)*(F926/60)*((P926/8500)*J926)*(S926/20000))*10000)*(H926/0.75)/3,"")</f>
        <v/>
      </c>
      <c r="X926" s="6" t="n">
        <v>6500</v>
      </c>
      <c r="Y926">
        <f>IFERROR(W926-X926,"")</f>
        <v/>
      </c>
      <c r="Z926">
        <f>IFERROR(ABS(Y926)/MAX(X926,1),"")</f>
        <v/>
      </c>
      <c r="AA926">
        <f>IFERROR(ROUND(((3*X926-(((E926/4000000)+(F926/60)+(S926/20000))*10000/4+((E926/4000000)*(F926/60))*10000/2)*(H926/0.75))/(10000/4+((S926/20000))*10000/2+((E926/4000000)*(F926/60)*(S926/20000))*10000)*(H926/0.75)*8500)/J926,-1),"")</f>
        <v/>
      </c>
    </row>
    <row r="927">
      <c r="B927" s="7" t="inlineStr">
        <is>
          <t xml:space="preserve">  ↳ TSNomadGun</t>
        </is>
      </c>
      <c r="C927" s="7" t="inlineStr">
        <is>
          <t>Armament</t>
        </is>
      </c>
      <c r="L927" s="6" t="n">
        <v>8000</v>
      </c>
      <c r="M927" s="6" t="n">
        <v>6</v>
      </c>
      <c r="N927" s="6" t="n">
        <v>1</v>
      </c>
      <c r="O927" s="6" t="n"/>
      <c r="P927" s="6" t="n">
        <v>8301</v>
      </c>
      <c r="Q927" s="6" t="n">
        <v>1</v>
      </c>
      <c r="R927">
        <f>M927+IF(MAX(N927-1,0)&gt;0,IF(ISBLANK(O927),5*MAX(N927-1,0),IF(ISNUMBER(O927),O927*MAX(N927-1,0),SUM(IFERROR(VALUE(TEXTSPLIT(O927,",")),0)))),0)</f>
        <v/>
      </c>
      <c r="S927">
        <f>IFERROR(L927*MAX(N927,1)/R927*IF(ISBLANK(K926),1,K926),0)</f>
        <v/>
      </c>
      <c r="AB927" s="7" t="inlineStr">
        <is>
          <t>^Warhead_Bullet_Medium</t>
        </is>
      </c>
    </row>
    <row r="928">
      <c r="A928" t="inlineStr">
        <is>
          <t>redalert2mod</t>
        </is>
      </c>
      <c r="B928" t="inlineStr">
        <is>
          <t>latinsyndicate_nuketruck</t>
        </is>
      </c>
      <c r="C928" t="inlineStr">
        <is>
          <t>Nuke Truck</t>
        </is>
      </c>
      <c r="D928" s="6" t="inlineStr">
        <is>
          <t>EpicVehicle</t>
        </is>
      </c>
      <c r="E928" s="6" t="n">
        <v>60000</v>
      </c>
      <c r="F928" s="6" t="n">
        <v>100</v>
      </c>
      <c r="G928" t="inlineStr">
        <is>
          <t>Superheavy</t>
        </is>
      </c>
      <c r="H928" s="6" t="n">
        <v>0.4783</v>
      </c>
      <c r="I928" s="6" t="n">
        <v>1</v>
      </c>
      <c r="J928" s="6" t="n">
        <v>1</v>
      </c>
      <c r="X928" s="6" t="n">
        <v>3000</v>
      </c>
    </row>
    <row r="929">
      <c r="B929" s="7" t="inlineStr">
        <is>
          <t xml:space="preserve">  ↳ DemoTruckTargeting</t>
        </is>
      </c>
      <c r="C929" s="7" t="inlineStr">
        <is>
          <t>Armament@PRIMARY</t>
        </is>
      </c>
      <c r="M929" s="6" t="n">
        <v>1</v>
      </c>
      <c r="N929" s="6" t="n">
        <v>1</v>
      </c>
      <c r="O929" s="6" t="n"/>
      <c r="P929" s="6" t="n">
        <v>2000</v>
      </c>
      <c r="Q929" s="6" t="n">
        <v>1</v>
      </c>
      <c r="R929">
        <f>M929+IF(MAX(N929-1,0)&gt;0,IF(ISBLANK(O929),5*MAX(N929-1,0),IF(ISNUMBER(O929),O929*MAX(N929-1,0),SUM(IFERROR(VALUE(TEXTSPLIT(O929,",")),0)))),0)</f>
        <v/>
      </c>
      <c r="S929">
        <f>IFERROR(L929*MAX(N929,1)/R929*IF(ISBLANK(K928),1,K928),0)</f>
        <v/>
      </c>
      <c r="AB929" s="7" t="inlineStr"/>
    </row>
    <row r="930">
      <c r="A930" t="inlineStr">
        <is>
          <t>redalert2mod</t>
        </is>
      </c>
      <c r="B930" t="inlineStr">
        <is>
          <t>latinsyndicate_topolm</t>
        </is>
      </c>
      <c r="C930" t="inlineStr">
        <is>
          <t>Topol-M</t>
        </is>
      </c>
      <c r="D930" s="6" t="inlineStr">
        <is>
          <t>EpicVehicle</t>
        </is>
      </c>
      <c r="E930" s="6" t="n">
        <v>100000</v>
      </c>
      <c r="F930" s="6" t="n">
        <v>75</v>
      </c>
      <c r="G930" t="inlineStr">
        <is>
          <t>Superheavy</t>
        </is>
      </c>
      <c r="H930" s="6" t="n">
        <v>0.75</v>
      </c>
      <c r="I930" s="6" t="n">
        <v>0.5</v>
      </c>
      <c r="J930" s="6" t="n">
        <v>1</v>
      </c>
      <c r="P930">
        <f>MAX(P932)</f>
        <v/>
      </c>
      <c r="S930">
        <f>S932</f>
        <v/>
      </c>
      <c r="T930">
        <f>(E930/100000+F930/100+(P930/1000)*J930/5+S930/200)*200*I930*H930</f>
        <v/>
      </c>
      <c r="U930">
        <f>((E930*F930/25000)+((P930/1000)*J930*S930/2.5))*I930*H930</f>
        <v/>
      </c>
      <c r="V930">
        <f>(E930*F930*(P930/1000)*J930*S930*I930*H930)/12500000</f>
        <v/>
      </c>
      <c r="W930">
        <f>IFERROR((((E930/4000000)+(F930/60)+(S930/20000)+((P930/8500)*J930))*10000/4+(((E930/4000000)*(F930/60))+(((P930/8500)*J930)*(S930/20000)))*10000/2+((E930/4000000)*(F930/60)*((P930/8500)*J930)*(S930/20000))*10000)*(H930/0.75)/3,"")</f>
        <v/>
      </c>
      <c r="X930" s="6" t="n">
        <v>6000</v>
      </c>
      <c r="Y930">
        <f>IFERROR(W930-X930,"")</f>
        <v/>
      </c>
      <c r="Z930">
        <f>IFERROR(ABS(Y930)/MAX(X930,1),"")</f>
        <v/>
      </c>
      <c r="AA930">
        <f>IFERROR(ROUND(((3*X930-(((E930/4000000)+(F930/60)+(S930/20000))*10000/4+((E930/4000000)*(F930/60))*10000/2)*(H930/0.75))/(10000/4+((S930/20000))*10000/2+((E930/4000000)*(F930/60)*(S930/20000))*10000)*(H930/0.75)*8500)/J930,-1),"")</f>
        <v/>
      </c>
    </row>
    <row r="931">
      <c r="B931" s="7" t="inlineStr">
        <is>
          <t xml:space="preserve">  ↳ RA2TOPOLCubaTarget</t>
        </is>
      </c>
      <c r="C931" s="7" t="inlineStr">
        <is>
          <t>Armament</t>
        </is>
      </c>
      <c r="M931" s="6" t="n">
        <v>50</v>
      </c>
      <c r="N931" s="6" t="n">
        <v>1</v>
      </c>
      <c r="O931" s="6" t="n"/>
      <c r="P931" s="6" t="n">
        <v>32000</v>
      </c>
      <c r="Q931" s="6" t="n">
        <v>1</v>
      </c>
      <c r="R931">
        <f>M931+IF(MAX(N931-1,0)&gt;0,IF(ISBLANK(O931),5*MAX(N931-1,0),IF(ISNUMBER(O931),O931*MAX(N931-1,0),SUM(IFERROR(VALUE(TEXTSPLIT(O931,",")),0)))),0)</f>
        <v/>
      </c>
      <c r="S931">
        <f>IFERROR(L931*MAX(N931,1)/R931*IF(ISBLANK(K930),1,K930),0)</f>
        <v/>
      </c>
      <c r="AB931" s="7" t="inlineStr"/>
    </row>
    <row r="932">
      <c r="B932" s="7" t="inlineStr">
        <is>
          <t xml:space="preserve">  ↳ RA2TOPOLCuba</t>
        </is>
      </c>
      <c r="C932" s="7" t="inlineStr">
        <is>
          <t>Armament@Launch</t>
        </is>
      </c>
      <c r="L932" s="6" t="n">
        <v>120000</v>
      </c>
      <c r="M932" s="6" t="n">
        <v>500</v>
      </c>
      <c r="N932" s="6" t="n">
        <v>1</v>
      </c>
      <c r="O932" s="6" t="n"/>
      <c r="P932" s="6" t="n">
        <v>32000</v>
      </c>
      <c r="Q932" s="6" t="n">
        <v>1</v>
      </c>
      <c r="R932">
        <f>M932+IF(MAX(N932-1,0)&gt;0,IF(ISBLANK(O932),5*MAX(N932-1,0),IF(ISNUMBER(O932),O932*MAX(N932-1,0),SUM(IFERROR(VALUE(TEXTSPLIT(O932,",")),0)))),0)</f>
        <v/>
      </c>
      <c r="S932">
        <f>IFERROR(L932*MAX(N932,1)/R932*IF(ISBLANK(K930),1,K930),0)</f>
        <v/>
      </c>
      <c r="AB932" s="7" t="inlineStr">
        <is>
          <t>^NuclearWarhead, ^HeavyBomb, ^MediumFlameWeapon, ^ShrapnelWeapon, ^LightChemicalWeapon, ^Grenade</t>
        </is>
      </c>
    </row>
    <row r="933">
      <c r="A933" t="inlineStr">
        <is>
          <t>redalert2mod</t>
        </is>
      </c>
      <c r="B933" t="inlineStr">
        <is>
          <t>naxis_nokana</t>
        </is>
      </c>
      <c r="C933" t="inlineStr">
        <is>
          <t>Nokana</t>
        </is>
      </c>
      <c r="D933" s="6" t="inlineStr">
        <is>
          <t>EpicVehicle</t>
        </is>
      </c>
      <c r="E933" s="6" t="n">
        <v>450000</v>
      </c>
      <c r="F933" s="6" t="n">
        <v>60</v>
      </c>
      <c r="G933" t="inlineStr">
        <is>
          <t>Superheavy</t>
        </is>
      </c>
      <c r="H933" s="6" t="n">
        <v>0.4839</v>
      </c>
      <c r="I933" s="6" t="n">
        <v>1</v>
      </c>
      <c r="J933" s="6" t="n">
        <v>1</v>
      </c>
      <c r="P933">
        <f>MAX(P934,P935,P936)</f>
        <v/>
      </c>
      <c r="S933">
        <f>S934+S935+S936</f>
        <v/>
      </c>
      <c r="T933">
        <f>(E933/100000+F933/100+(P933/1000)*J933/5+S933/200)*200*I933*H933</f>
        <v/>
      </c>
      <c r="U933">
        <f>((E933*F933/25000)+((P933/1000)*J933*S933/2.5))*I933*H933</f>
        <v/>
      </c>
      <c r="V933">
        <f>(E933*F933*(P933/1000)*J933*S933*I933*H933)/12500000</f>
        <v/>
      </c>
      <c r="W933">
        <f>IFERROR((((E933/4000000)+(F933/60)+(S933/20000)+((P933/8500)*J933))*10000/4+(((E933/4000000)*(F933/60))+(((P933/8500)*J933)*(S933/20000)))*10000/2+((E933/4000000)*(F933/60)*((P933/8500)*J933)*(S933/20000))*10000)*(H933/0.75)/3,"")</f>
        <v/>
      </c>
      <c r="X933" s="6" t="n">
        <v>3000</v>
      </c>
      <c r="Y933">
        <f>IFERROR(W933-X933,"")</f>
        <v/>
      </c>
      <c r="Z933">
        <f>IFERROR(ABS(Y933)/MAX(X933,1),"")</f>
        <v/>
      </c>
      <c r="AA933">
        <f>IFERROR(ROUND(((3*X933-(((E933/4000000)+(F933/60)+(S933/20000))*10000/4+((E933/4000000)*(F933/60))*10000/2)*(H933/0.75))/(10000/4+((S933/20000))*10000/2+((E933/4000000)*(F933/60)*(S933/20000))*10000)*(H933/0.75)*8500)/J933,-1),"")</f>
        <v/>
      </c>
    </row>
    <row r="934">
      <c r="B934" s="7" t="inlineStr">
        <is>
          <t xml:space="preserve">  ↳ NaxMausCannon</t>
        </is>
      </c>
      <c r="C934" s="7" t="inlineStr">
        <is>
          <t>Armament@AG</t>
        </is>
      </c>
      <c r="L934" s="6" t="n">
        <v>60000</v>
      </c>
      <c r="M934" s="6" t="n">
        <v>99</v>
      </c>
      <c r="N934" s="6" t="n">
        <v>1</v>
      </c>
      <c r="O934" s="6" t="n"/>
      <c r="P934" s="6" t="n">
        <v>6666</v>
      </c>
      <c r="Q934" s="6" t="n">
        <v>1</v>
      </c>
      <c r="R934">
        <f>M934+IF(MAX(N934-1,0)&gt;0,IF(ISBLANK(O934),5*MAX(N934-1,0),IF(ISNUMBER(O934),O934*MAX(N934-1,0),SUM(IFERROR(VALUE(TEXTSPLIT(O934,",")),0)))),0)</f>
        <v/>
      </c>
      <c r="S934">
        <f>IFERROR(L934*MAX(N934,1)/R934*IF(ISBLANK(K933),1,K933),0)</f>
        <v/>
      </c>
      <c r="AB934" s="7" t="inlineStr">
        <is>
          <t>^Warhead_CannonHE_Medium</t>
        </is>
      </c>
    </row>
    <row r="935">
      <c r="B935" s="7" t="inlineStr">
        <is>
          <t xml:space="preserve">  ↳ LatinBuggyRocket_elite</t>
        </is>
      </c>
      <c r="C935" s="7" t="inlineStr">
        <is>
          <t>Armament@RK</t>
        </is>
      </c>
      <c r="L935" s="6" t="n">
        <v>40000</v>
      </c>
      <c r="M935" s="6" t="n">
        <v>55</v>
      </c>
      <c r="N935" s="6" t="n">
        <v>2</v>
      </c>
      <c r="O935" s="6" t="n">
        <v>3</v>
      </c>
      <c r="P935" s="6" t="n">
        <v>7000</v>
      </c>
      <c r="Q935" s="6" t="n">
        <v>1</v>
      </c>
      <c r="R935">
        <f>M935+IF(MAX(N935-1,0)&gt;0,IF(ISBLANK(O935),5*MAX(N935-1,0),IF(ISNUMBER(O935),O935*MAX(N935-1,0),SUM(IFERROR(VALUE(TEXTSPLIT(O935,",")),0)))),0)</f>
        <v/>
      </c>
      <c r="S935">
        <f>IFERROR(L935*MAX(N935,1)/R935*IF(ISBLANK(K933),1,K933),0)</f>
        <v/>
      </c>
      <c r="AB935" s="7" t="inlineStr">
        <is>
          <t>^Warhead_Demolition_Light, ^Warhead_Concussion_Medium, ^Warhead_MissileAP_Light, ^Warhead_MissileAP_Medium</t>
        </is>
      </c>
    </row>
    <row r="936">
      <c r="B936" s="7" t="inlineStr">
        <is>
          <t xml:space="preserve">  ↳ SyndicateFireballLauncher</t>
        </is>
      </c>
      <c r="C936" s="7" t="inlineStr">
        <is>
          <t>Armament@Flam</t>
        </is>
      </c>
      <c r="L936" s="6" t="n">
        <v>6000</v>
      </c>
      <c r="M936" s="6" t="n">
        <v>44</v>
      </c>
      <c r="N936" s="6" t="n">
        <v>4</v>
      </c>
      <c r="O936" s="6" t="n">
        <v>4</v>
      </c>
      <c r="P936" s="6" t="n">
        <v>5555</v>
      </c>
      <c r="Q936" s="6" t="n">
        <v>1</v>
      </c>
      <c r="R936">
        <f>M936+IF(MAX(N936-1,0)&gt;0,IF(ISBLANK(O936),5*MAX(N936-1,0),IF(ISNUMBER(O936),O936*MAX(N936-1,0),SUM(IFERROR(VALUE(TEXTSPLIT(O936,",")),0)))),0)</f>
        <v/>
      </c>
      <c r="S936">
        <f>IFERROR(L936*MAX(N936,1)/R936*IF(ISBLANK(K933),1,K933),0)</f>
        <v/>
      </c>
      <c r="AB936" s="7" t="inlineStr">
        <is>
          <t>^Warhead_Flame_Light, ^Warhead_Flame_Medium, ^Warhead_Flame_Heavy</t>
        </is>
      </c>
    </row>
    <row r="937">
      <c r="A937" t="inlineStr">
        <is>
          <t>redalert2mod</t>
        </is>
      </c>
      <c r="B937" t="inlineStr">
        <is>
          <t>naxis_ratte</t>
        </is>
      </c>
      <c r="C937" t="inlineStr">
        <is>
          <t>Ratte</t>
        </is>
      </c>
      <c r="D937" s="6" t="inlineStr">
        <is>
          <t>EpicVehicle</t>
        </is>
      </c>
      <c r="E937" s="6" t="n">
        <v>2000000</v>
      </c>
      <c r="F937" s="6" t="n">
        <v>35</v>
      </c>
      <c r="G937" t="inlineStr">
        <is>
          <t>Superheavy</t>
        </is>
      </c>
      <c r="H937" s="6" t="n">
        <v>0.75</v>
      </c>
      <c r="I937" s="6" t="n">
        <v>0.4</v>
      </c>
      <c r="J937" s="6" t="n">
        <v>1</v>
      </c>
      <c r="P937">
        <f>MAX(P938,P939,P940,P941)</f>
        <v/>
      </c>
      <c r="S937">
        <f>S938+S939+S940+S941</f>
        <v/>
      </c>
      <c r="T937">
        <f>(E937/100000+F937/100+(P937/1000)*J937/5+S937/200)*200*I937*H937</f>
        <v/>
      </c>
      <c r="U937">
        <f>((E937*F937/25000)+((P937/1000)*J937*S937/2.5))*I937*H937</f>
        <v/>
      </c>
      <c r="V937">
        <f>(E937*F937*(P937/1000)*J937*S937*I937*H937)/12500000</f>
        <v/>
      </c>
      <c r="W937">
        <f>IFERROR((((E937/4000000)+(F937/60)+(S937/20000)+((P937/8500)*J937))*10000/4+(((E937/4000000)*(F937/60))+(((P937/8500)*J937)*(S937/20000)))*10000/2+((E937/4000000)*(F937/60)*((P937/8500)*J937)*(S937/20000))*10000)*(H937/0.75)/3,"")</f>
        <v/>
      </c>
      <c r="X937" s="6" t="n">
        <v>8000</v>
      </c>
      <c r="Y937">
        <f>IFERROR(W937-X937,"")</f>
        <v/>
      </c>
      <c r="Z937">
        <f>IFERROR(ABS(Y937)/MAX(X937,1),"")</f>
        <v/>
      </c>
      <c r="AA937">
        <f>IFERROR(ROUND(((3*X937-(((E937/4000000)+(F937/60)+(S937/20000))*10000/4+((E937/4000000)*(F937/60))*10000/2)*(H937/0.75))/(10000/4+((S937/20000))*10000/2+((E937/4000000)*(F937/60)*(S937/20000))*10000)*(H937/0.75)*8500)/J937,-1),"")</f>
        <v/>
      </c>
    </row>
    <row r="938">
      <c r="B938" s="7" t="inlineStr">
        <is>
          <t xml:space="preserve">  ↳ NaxRatteCannon</t>
        </is>
      </c>
      <c r="C938" s="7" t="inlineStr">
        <is>
          <t>Armament</t>
        </is>
      </c>
      <c r="L938" s="6" t="n">
        <v>150000</v>
      </c>
      <c r="M938" s="6" t="n">
        <v>145</v>
      </c>
      <c r="N938" s="6" t="n">
        <v>2</v>
      </c>
      <c r="O938" s="6" t="n">
        <v>10</v>
      </c>
      <c r="P938" s="6" t="n">
        <v>6110</v>
      </c>
      <c r="Q938" s="6" t="n">
        <v>1</v>
      </c>
      <c r="R938">
        <f>M938+IF(MAX(N938-1,0)&gt;0,IF(ISBLANK(O938),5*MAX(N938-1,0),IF(ISNUMBER(O938),O938*MAX(N938-1,0),SUM(IFERROR(VALUE(TEXTSPLIT(O938,",")),0)))),0)</f>
        <v/>
      </c>
      <c r="S938">
        <f>IFERROR(L938*MAX(N938,1)/R938*IF(ISBLANK(K937),1,K937),0)</f>
        <v/>
      </c>
      <c r="AB938" s="7" t="inlineStr">
        <is>
          <t>^Warhead_CannonHE_Medium</t>
        </is>
      </c>
    </row>
    <row r="939">
      <c r="B939" s="7" t="inlineStr">
        <is>
          <t xml:space="preserve">  ↳ NaxRatteCannon_elite</t>
        </is>
      </c>
      <c r="C939" s="7" t="inlineStr">
        <is>
          <t>Armament@elite</t>
        </is>
      </c>
      <c r="L939" s="6" t="n">
        <v>150000</v>
      </c>
      <c r="M939" s="6" t="n">
        <v>145</v>
      </c>
      <c r="N939" s="6" t="n">
        <v>4</v>
      </c>
      <c r="O939" s="6" t="n">
        <v>3</v>
      </c>
      <c r="P939" s="6" t="n">
        <v>7110</v>
      </c>
      <c r="Q939" s="6" t="n">
        <v>1</v>
      </c>
      <c r="R939">
        <f>M939+IF(MAX(N939-1,0)&gt;0,IF(ISBLANK(O939),5*MAX(N939-1,0),IF(ISNUMBER(O939),O939*MAX(N939-1,0),SUM(IFERROR(VALUE(TEXTSPLIT(O939,",")),0)))),0)</f>
        <v/>
      </c>
      <c r="S939">
        <f>IFERROR(L939*MAX(N939,1)/R939*IF(ISBLANK(K937),1,K937),0)</f>
        <v/>
      </c>
      <c r="AB939" s="7" t="inlineStr">
        <is>
          <t>^Warhead_CannonHE_Medium</t>
        </is>
      </c>
    </row>
    <row r="940">
      <c r="B940" s="7" t="inlineStr">
        <is>
          <t xml:space="preserve">  ↳ NaxQuadCannon_AA_elite</t>
        </is>
      </c>
      <c r="C940" s="7" t="inlineStr">
        <is>
          <t>Armament@AA1</t>
        </is>
      </c>
      <c r="L940" s="6" t="n">
        <v>7000</v>
      </c>
      <c r="M940" s="6" t="n">
        <v>47</v>
      </c>
      <c r="N940" s="6" t="n">
        <v>8</v>
      </c>
      <c r="O940" s="6" t="n">
        <v>3</v>
      </c>
      <c r="P940" s="6" t="n">
        <v>9052</v>
      </c>
      <c r="Q940" s="6" t="n">
        <v>1</v>
      </c>
      <c r="R940">
        <f>M940+IF(MAX(N940-1,0)&gt;0,IF(ISBLANK(O940),5*MAX(N940-1,0),IF(ISNUMBER(O940),O940*MAX(N940-1,0),SUM(IFERROR(VALUE(TEXTSPLIT(O940,",")),0)))),0)</f>
        <v/>
      </c>
      <c r="S940">
        <f>IFERROR(L940*MAX(N940,1)/R940*IF(ISBLANK(K937),1,K937),0)</f>
        <v/>
      </c>
      <c r="AB940" s="7" t="inlineStr">
        <is>
          <t>^Warhead_Flak_Medium</t>
        </is>
      </c>
    </row>
    <row r="941">
      <c r="B941" s="7" t="inlineStr">
        <is>
          <t xml:space="preserve">  ↳ NaxQuadCannon_AA_elite</t>
        </is>
      </c>
      <c r="C941" s="7" t="inlineStr">
        <is>
          <t>Armament@AA2</t>
        </is>
      </c>
      <c r="L941" s="6" t="n">
        <v>7000</v>
      </c>
      <c r="M941" s="6" t="n">
        <v>47</v>
      </c>
      <c r="N941" s="6" t="n">
        <v>8</v>
      </c>
      <c r="O941" s="6" t="n">
        <v>3</v>
      </c>
      <c r="P941" s="6" t="n">
        <v>9052</v>
      </c>
      <c r="Q941" s="6" t="n">
        <v>1</v>
      </c>
      <c r="R941">
        <f>M941+IF(MAX(N941-1,0)&gt;0,IF(ISBLANK(O941),5*MAX(N941-1,0),IF(ISNUMBER(O941),O941*MAX(N941-1,0),SUM(IFERROR(VALUE(TEXTSPLIT(O941,",")),0)))),0)</f>
        <v/>
      </c>
      <c r="S941">
        <f>IFERROR(L941*MAX(N941,1)/R941*IF(ISBLANK(K937),1,K937),0)</f>
        <v/>
      </c>
      <c r="AB941" s="7" t="inlineStr">
        <is>
          <t>^Warhead_Flak_Medium</t>
        </is>
      </c>
    </row>
    <row r="942">
      <c r="A942" t="inlineStr">
        <is>
          <t>redalert2mod</t>
        </is>
      </c>
      <c r="B942" t="inlineStr">
        <is>
          <t>schwarzermond_dalek</t>
        </is>
      </c>
      <c r="C942" t="inlineStr">
        <is>
          <t>Dalek</t>
        </is>
      </c>
      <c r="D942" s="6" t="inlineStr">
        <is>
          <t>EpicVehicle</t>
        </is>
      </c>
      <c r="E942" s="6" t="n">
        <v>325000</v>
      </c>
      <c r="F942" s="6" t="n">
        <v>65</v>
      </c>
      <c r="G942" t="inlineStr">
        <is>
          <t>Superheavy</t>
        </is>
      </c>
      <c r="H942" s="6" t="n">
        <v>0.75</v>
      </c>
      <c r="I942" s="6" t="n">
        <v>0.4</v>
      </c>
      <c r="J942" s="6" t="n">
        <v>1</v>
      </c>
      <c r="K942" t="n">
        <v>0.005</v>
      </c>
      <c r="P942">
        <f>MAX(P943,P944)</f>
        <v/>
      </c>
      <c r="S942">
        <f>S943+S944</f>
        <v/>
      </c>
      <c r="T942">
        <f>(E942/100000+F942/100+(P942/1000)*J942/5+S942/200)*200*I942*H942</f>
        <v/>
      </c>
      <c r="U942">
        <f>((E942*F942/25000)+((P942/1000)*J942*S942/2.5))*I942*H942</f>
        <v/>
      </c>
      <c r="V942">
        <f>(E942*F942*(P942/1000)*J942*S942*I942*H942)/12500000</f>
        <v/>
      </c>
      <c r="W942">
        <f>IFERROR((((E942/4000000)+(F942/60)+(S942/20000)+((P942/8500)*J942))*10000/4+(((E942/4000000)*(F942/60))+(((P942/8500)*J942)*(S942/20000)))*10000/2+((E942/4000000)*(F942/60)*((P942/8500)*J942)*(S942/20000))*10000)*(H942/0.75)/3,"")</f>
        <v/>
      </c>
      <c r="X942" s="6" t="n">
        <v>9000</v>
      </c>
      <c r="Y942">
        <f>IFERROR(W942-X942,"")</f>
        <v/>
      </c>
      <c r="Z942">
        <f>IFERROR(ABS(Y942)/MAX(X942,1),"")</f>
        <v/>
      </c>
      <c r="AA942">
        <f>IFERROR(ROUND(((3*X942-(((E942/4000000)+(F942/60)+(S942/20000))*10000/4+((E942/4000000)*(F942/60))*10000/2)*(H942/0.75))/(10000/4+((S942/20000))*10000/2+((E942/4000000)*(F942/60)*(S942/20000))*10000)*(H942/0.75)*8500)/J942,-1),"")</f>
        <v/>
      </c>
    </row>
    <row r="943">
      <c r="B943" s="7" t="inlineStr">
        <is>
          <t xml:space="preserve">  ↳ DalekCannon</t>
        </is>
      </c>
      <c r="C943" s="7" t="inlineStr">
        <is>
          <t>Armament@PRIMARY</t>
        </is>
      </c>
      <c r="L943" s="6" t="n">
        <v>300000</v>
      </c>
      <c r="M943" s="6" t="n">
        <v>76</v>
      </c>
      <c r="N943" s="6" t="n">
        <v>1</v>
      </c>
      <c r="O943" s="6" t="n"/>
      <c r="P943" s="6" t="n">
        <v>8060</v>
      </c>
      <c r="Q943" s="6" t="n">
        <v>1</v>
      </c>
      <c r="R943">
        <f>M943+IF(MAX(N943-1,0)&gt;0,IF(ISBLANK(O943),5*MAX(N943-1,0),IF(ISNUMBER(O943),O943*MAX(N943-1,0),SUM(IFERROR(VALUE(TEXTSPLIT(O943,",")),0)))),0)</f>
        <v/>
      </c>
      <c r="S943">
        <f>IFERROR(L943*MAX(N943,1)/R943*IF(ISBLANK(K942),1,K942),0)</f>
        <v/>
      </c>
      <c r="AB943" s="7" t="inlineStr">
        <is>
          <t>^Warhead_Tesla_Heavy, ^Warhead_Laser_Heavy, ^Warhead_Railgun_Heavy</t>
        </is>
      </c>
    </row>
    <row r="944">
      <c r="B944" s="7" t="inlineStr">
        <is>
          <t xml:space="preserve">  ↳ DalekCannon_elite</t>
        </is>
      </c>
      <c r="C944" s="7" t="inlineStr">
        <is>
          <t>Armament@ELITE</t>
        </is>
      </c>
      <c r="L944" s="6" t="n">
        <v>600000</v>
      </c>
      <c r="M944" s="6" t="n">
        <v>76</v>
      </c>
      <c r="N944" s="6" t="n">
        <v>1</v>
      </c>
      <c r="O944" s="6" t="n"/>
      <c r="P944" s="6" t="n">
        <v>9060</v>
      </c>
      <c r="Q944" s="6" t="n">
        <v>1</v>
      </c>
      <c r="R944">
        <f>M944+IF(MAX(N944-1,0)&gt;0,IF(ISBLANK(O944),5*MAX(N944-1,0),IF(ISNUMBER(O944),O944*MAX(N944-1,0),SUM(IFERROR(VALUE(TEXTSPLIT(O944,",")),0)))),0)</f>
        <v/>
      </c>
      <c r="S944">
        <f>IFERROR(L944*MAX(N944,1)/R944*IF(ISBLANK(K942),1,K942),0)</f>
        <v/>
      </c>
      <c r="AB944" s="7" t="inlineStr">
        <is>
          <t>^Warhead_Tesla_Heavy, ^Warhead_Laser_Heavy, ^Warhead_Railgun_Heavy</t>
        </is>
      </c>
    </row>
    <row r="945">
      <c r="A945" t="inlineStr">
        <is>
          <t>redalert2mod</t>
        </is>
      </c>
      <c r="B945" t="inlineStr">
        <is>
          <t>futuretech_futuretank</t>
        </is>
      </c>
      <c r="C945" t="inlineStr">
        <is>
          <t>Future Tank</t>
        </is>
      </c>
      <c r="D945" s="6" t="inlineStr">
        <is>
          <t>EpicVehicle</t>
        </is>
      </c>
      <c r="E945" s="6" t="n">
        <v>650000</v>
      </c>
      <c r="F945" s="6" t="n">
        <v>45</v>
      </c>
      <c r="G945" t="inlineStr">
        <is>
          <t>Superheavy</t>
        </is>
      </c>
      <c r="H945" s="6" t="n">
        <v>0.75</v>
      </c>
      <c r="I945" s="6" t="n">
        <v>0.4</v>
      </c>
      <c r="J945" s="6" t="n">
        <v>1</v>
      </c>
      <c r="K945" t="n">
        <v>0.0025</v>
      </c>
      <c r="P945">
        <f>MAX(P946,P947)</f>
        <v/>
      </c>
      <c r="S945">
        <f>S946+S947</f>
        <v/>
      </c>
      <c r="T945">
        <f>(E945/100000+F945/100+(P945/1000)*J945/5+S945/200)*200*I945*H945</f>
        <v/>
      </c>
      <c r="U945">
        <f>((E945*F945/25000)+((P945/1000)*J945*S945/2.5))*I945*H945</f>
        <v/>
      </c>
      <c r="V945">
        <f>(E945*F945*(P945/1000)*J945*S945*I945*H945)/12500000</f>
        <v/>
      </c>
      <c r="W945">
        <f>IFERROR((((E945/4000000)+(F945/60)+(S945/20000)+((P945/8500)*J945))*10000/4+(((E945/4000000)*(F945/60))+(((P945/8500)*J945)*(S945/20000)))*10000/2+((E945/4000000)*(F945/60)*((P945/8500)*J945)*(S945/20000))*10000)*(H945/0.75)/3,"")</f>
        <v/>
      </c>
      <c r="X945" s="6" t="n">
        <v>10000</v>
      </c>
      <c r="Y945">
        <f>IFERROR(W945-X945,"")</f>
        <v/>
      </c>
      <c r="Z945">
        <f>IFERROR(ABS(Y945)/MAX(X945,1),"")</f>
        <v/>
      </c>
      <c r="AA945">
        <f>IFERROR(ROUND(((3*X945-(((E945/4000000)+(F945/60)+(S945/20000))*10000/4+((E945/4000000)*(F945/60))*10000/2)*(H945/0.75))/(10000/4+((S945/20000))*10000/2+((E945/4000000)*(F945/60)*(S945/20000))*10000)*(H945/0.75)*8500)/J945,-1),"")</f>
        <v/>
      </c>
    </row>
    <row r="946">
      <c r="B946" s="7" t="inlineStr">
        <is>
          <t xml:space="preserve">  ↳ FutureTankCannons</t>
        </is>
      </c>
      <c r="C946" s="7" t="inlineStr">
        <is>
          <t>Armament</t>
        </is>
      </c>
      <c r="L946" s="6" t="n">
        <v>600000</v>
      </c>
      <c r="M946" s="6" t="n">
        <v>65</v>
      </c>
      <c r="N946" s="6" t="n">
        <v>2</v>
      </c>
      <c r="O946" s="6" t="n">
        <v>10</v>
      </c>
      <c r="P946" s="6" t="n">
        <v>7500</v>
      </c>
      <c r="Q946" s="6" t="n">
        <v>1.25</v>
      </c>
      <c r="R946">
        <f>M946+IF(MAX(N946-1,0)&gt;0,IF(ISBLANK(O946),5*MAX(N946-1,0),IF(ISNUMBER(O946),O946*MAX(N946-1,0),SUM(IFERROR(VALUE(TEXTSPLIT(O946,",")),0)))),0)</f>
        <v/>
      </c>
      <c r="S946">
        <f>IFERROR(L946*MAX(N946,1)/R946*IF(ISBLANK(K945),1,K945),0)</f>
        <v/>
      </c>
      <c r="AB946" s="7" t="inlineStr">
        <is>
          <t>^Warhead_CannonHE_Heavy</t>
        </is>
      </c>
    </row>
    <row r="947">
      <c r="B947" s="7" t="inlineStr">
        <is>
          <t xml:space="preserve">  ↳ FutureTankCannons_elite</t>
        </is>
      </c>
      <c r="C947" s="7" t="inlineStr">
        <is>
          <t>Armament@elite</t>
        </is>
      </c>
      <c r="L947" s="6" t="n">
        <v>600000</v>
      </c>
      <c r="M947" s="6" t="n">
        <v>65</v>
      </c>
      <c r="N947" s="6" t="n">
        <v>4</v>
      </c>
      <c r="O947" s="6" t="n">
        <v>5</v>
      </c>
      <c r="P947" s="6" t="n">
        <v>8500</v>
      </c>
      <c r="Q947" s="6" t="n">
        <v>1.25</v>
      </c>
      <c r="R947">
        <f>M947+IF(MAX(N947-1,0)&gt;0,IF(ISBLANK(O947),5*MAX(N947-1,0),IF(ISNUMBER(O947),O947*MAX(N947-1,0),SUM(IFERROR(VALUE(TEXTSPLIT(O947,",")),0)))),0)</f>
        <v/>
      </c>
      <c r="S947">
        <f>IFERROR(L947*MAX(N947,1)/R947*IF(ISBLANK(K945),1,K945),0)</f>
        <v/>
      </c>
      <c r="AB947" s="7" t="inlineStr">
        <is>
          <t>^Warhead_CannonHE_Heavy</t>
        </is>
      </c>
    </row>
    <row r="948">
      <c r="A948" t="inlineStr">
        <is>
          <t>redalert2mod</t>
        </is>
      </c>
      <c r="B948" t="inlineStr">
        <is>
          <t>tkm_bigshiee</t>
        </is>
      </c>
      <c r="C948" t="inlineStr">
        <is>
          <t>Big Shiee</t>
        </is>
      </c>
      <c r="D948" s="6" t="inlineStr">
        <is>
          <t>EpicVehicle</t>
        </is>
      </c>
      <c r="E948" s="6" t="n">
        <v>500000</v>
      </c>
      <c r="F948" s="6" t="n">
        <v>50</v>
      </c>
      <c r="G948" t="inlineStr">
        <is>
          <t>Superheavy</t>
        </is>
      </c>
      <c r="H948" s="6" t="n">
        <v>0.4955</v>
      </c>
      <c r="I948" s="6" t="n">
        <v>1</v>
      </c>
      <c r="J948" s="6" t="n">
        <v>1</v>
      </c>
      <c r="P948">
        <f>MAX(P949,P950,P951,P952,P953,P954,P955,P956)</f>
        <v/>
      </c>
      <c r="S948">
        <f>S949+S950+S951+S952+S953+S954+S955+S956</f>
        <v/>
      </c>
      <c r="T948">
        <f>(E948/100000+F948/100+(P948/1000)*J948/5+S948/200)*200*I948*H948</f>
        <v/>
      </c>
      <c r="U948">
        <f>((E948*F948/25000)+((P948/1000)*J948*S948/2.5))*I948*H948</f>
        <v/>
      </c>
      <c r="V948">
        <f>(E948*F948*(P948/1000)*J948*S948*I948*H948)/12500000</f>
        <v/>
      </c>
      <c r="W948">
        <f>IFERROR((((E948/4000000)+(F948/60)+(S948/20000)+((P948/8500)*J948))*10000/4+(((E948/4000000)*(F948/60))+(((P948/8500)*J948)*(S948/20000)))*10000/2+((E948/4000000)*(F948/60)*((P948/8500)*J948)*(S948/20000))*10000)*(H948/0.75)/3,"")</f>
        <v/>
      </c>
      <c r="X948" s="6" t="n">
        <v>5000</v>
      </c>
      <c r="Y948">
        <f>IFERROR(W948-X948,"")</f>
        <v/>
      </c>
      <c r="Z948">
        <f>IFERROR(ABS(Y948)/MAX(X948,1),"")</f>
        <v/>
      </c>
      <c r="AA948">
        <f>IFERROR(ROUND(((3*X948-(((E948/4000000)+(F948/60)+(S948/20000))*10000/4+((E948/4000000)*(F948/60))*10000/2)*(H948/0.75))/(10000/4+((S948/20000))*10000/2+((E948/4000000)*(F948/60)*(S948/20000))*10000)*(H948/0.75)*8500)/J948,-1),"")</f>
        <v/>
      </c>
    </row>
    <row r="949">
      <c r="B949" s="7" t="inlineStr">
        <is>
          <t xml:space="preserve">  ↳ BigShieeTusk</t>
        </is>
      </c>
      <c r="C949" s="7" t="inlineStr">
        <is>
          <t>Armament@PRIMARY</t>
        </is>
      </c>
      <c r="L949" s="6" t="n">
        <v>80000</v>
      </c>
      <c r="M949" s="6" t="n">
        <v>83</v>
      </c>
      <c r="N949" s="6" t="n">
        <v>2</v>
      </c>
      <c r="O949" s="6" t="n">
        <v>3</v>
      </c>
      <c r="P949" s="6" t="n">
        <v>7238</v>
      </c>
      <c r="Q949" s="6" t="n">
        <v>1.125</v>
      </c>
      <c r="R949">
        <f>M949+IF(MAX(N949-1,0)&gt;0,IF(ISBLANK(O949),5*MAX(N949-1,0),IF(ISNUMBER(O949),O949*MAX(N949-1,0),SUM(IFERROR(VALUE(TEXTSPLIT(O949,",")),0)))),0)</f>
        <v/>
      </c>
      <c r="S949">
        <f>IFERROR(L949*MAX(N949,1)/R949*IF(ISBLANK(K948),1,K948),0)</f>
        <v/>
      </c>
      <c r="AB949" s="7" t="inlineStr">
        <is>
          <t>^Warhead_MissileHE_Heavy, ^Warhead_Concussion_Medium</t>
        </is>
      </c>
    </row>
    <row r="950">
      <c r="B950" s="7" t="inlineStr">
        <is>
          <t xml:space="preserve">  ↳ SandmarineTuskCryo</t>
        </is>
      </c>
      <c r="C950" s="7" t="inlineStr">
        <is>
          <t>Armament@PRIMARYNATO</t>
        </is>
      </c>
      <c r="L950" s="6" t="n">
        <v>80000</v>
      </c>
      <c r="M950" s="6" t="n">
        <v>129</v>
      </c>
      <c r="N950" s="6" t="n">
        <v>3</v>
      </c>
      <c r="O950" s="6" t="n">
        <v>3</v>
      </c>
      <c r="P950" s="6" t="n">
        <v>6464</v>
      </c>
      <c r="Q950" s="6" t="n">
        <v>1.125</v>
      </c>
      <c r="R950">
        <f>M950+IF(MAX(N950-1,0)&gt;0,IF(ISBLANK(O950),5*MAX(N950-1,0),IF(ISNUMBER(O950),O950*MAX(N950-1,0),SUM(IFERROR(VALUE(TEXTSPLIT(O950,",")),0)))),0)</f>
        <v/>
      </c>
      <c r="S950">
        <f>IFERROR(L950*MAX(N950,1)/R950*IF(ISBLANK(K948),1,K948),0)</f>
        <v/>
      </c>
      <c r="AB950" s="7" t="inlineStr">
        <is>
          <t>^Warhead_MissileHE_Heavy, ^Warhead_Concussion_Medium</t>
        </is>
      </c>
    </row>
    <row r="951">
      <c r="B951" s="7" t="inlineStr">
        <is>
          <t xml:space="preserve">  ↳ SandmarineTuskCryo</t>
        </is>
      </c>
      <c r="C951" s="7" t="inlineStr">
        <is>
          <t>Armament@SECONDARYNATO</t>
        </is>
      </c>
      <c r="L951" s="6" t="n">
        <v>80000</v>
      </c>
      <c r="M951" s="6" t="n">
        <v>129</v>
      </c>
      <c r="N951" s="6" t="n">
        <v>3</v>
      </c>
      <c r="O951" s="6" t="n">
        <v>3</v>
      </c>
      <c r="P951" s="6" t="n">
        <v>6464</v>
      </c>
      <c r="Q951" s="6" t="n">
        <v>1.125</v>
      </c>
      <c r="R951">
        <f>M951+IF(MAX(N951-1,0)&gt;0,IF(ISBLANK(O951),5*MAX(N951-1,0),IF(ISNUMBER(O951),O951*MAX(N951-1,0),SUM(IFERROR(VALUE(TEXTSPLIT(O951,",")),0)))),0)</f>
        <v/>
      </c>
      <c r="S951">
        <f>IFERROR(L951*MAX(N951,1)/R951*IF(ISBLANK(K948),1,K948),0)</f>
        <v/>
      </c>
      <c r="AB951" s="7" t="inlineStr">
        <is>
          <t>^Warhead_MissileHE_Heavy, ^Warhead_Concussion_Medium</t>
        </is>
      </c>
    </row>
    <row r="952">
      <c r="B952" s="7" t="inlineStr">
        <is>
          <t xml:space="preserve">  ↳ SandmarineTuskTwin</t>
        </is>
      </c>
      <c r="C952" s="7" t="inlineStr">
        <is>
          <t>Armament@PRIMARYBEREZKA</t>
        </is>
      </c>
      <c r="L952" s="6" t="n">
        <v>60000</v>
      </c>
      <c r="M952" s="6" t="n">
        <v>54</v>
      </c>
      <c r="N952" s="6" t="n">
        <v>8</v>
      </c>
      <c r="O952" s="6" t="n">
        <v>3</v>
      </c>
      <c r="P952" s="6" t="n">
        <v>6102</v>
      </c>
      <c r="Q952" s="6" t="n">
        <v>1</v>
      </c>
      <c r="R952">
        <f>M952+IF(MAX(N952-1,0)&gt;0,IF(ISBLANK(O952),5*MAX(N952-1,0),IF(ISNUMBER(O952),O952*MAX(N952-1,0),SUM(IFERROR(VALUE(TEXTSPLIT(O952,",")),0)))),0)</f>
        <v/>
      </c>
      <c r="S952">
        <f>IFERROR(L952*MAX(N952,1)/R952*IF(ISBLANK(K948),1,K948),0)</f>
        <v/>
      </c>
      <c r="AB952" s="7" t="inlineStr">
        <is>
          <t>^Warhead_MissileHE_Heavy, ^Warhead_Concussion_Medium, ^Warhead_MissileAP_Medium</t>
        </is>
      </c>
    </row>
    <row r="953">
      <c r="B953" s="7" t="inlineStr">
        <is>
          <t xml:space="preserve">  ↳ SandmarineTuskTwin</t>
        </is>
      </c>
      <c r="C953" s="7" t="inlineStr">
        <is>
          <t>Armament@SECONDARYBEREZKA</t>
        </is>
      </c>
      <c r="L953" s="6" t="n">
        <v>60000</v>
      </c>
      <c r="M953" s="6" t="n">
        <v>54</v>
      </c>
      <c r="N953" s="6" t="n">
        <v>8</v>
      </c>
      <c r="O953" s="6" t="n">
        <v>3</v>
      </c>
      <c r="P953" s="6" t="n">
        <v>6102</v>
      </c>
      <c r="Q953" s="6" t="n">
        <v>1</v>
      </c>
      <c r="R953">
        <f>M953+IF(MAX(N953-1,0)&gt;0,IF(ISBLANK(O953),5*MAX(N953-1,0),IF(ISNUMBER(O953),O953*MAX(N953-1,0),SUM(IFERROR(VALUE(TEXTSPLIT(O953,",")),0)))),0)</f>
        <v/>
      </c>
      <c r="S953">
        <f>IFERROR(L953*MAX(N953,1)/R953*IF(ISBLANK(K948),1,K948),0)</f>
        <v/>
      </c>
      <c r="AB953" s="7" t="inlineStr">
        <is>
          <t>^Warhead_MissileHE_Heavy, ^Warhead_Concussion_Medium, ^Warhead_MissileAP_Medium</t>
        </is>
      </c>
    </row>
    <row r="954">
      <c r="B954" s="7" t="inlineStr">
        <is>
          <t xml:space="preserve">  ↳ SandmarineTuskFire</t>
        </is>
      </c>
      <c r="C954" s="7" t="inlineStr">
        <is>
          <t>Armament@PRIMARYTITAN</t>
        </is>
      </c>
      <c r="L954" s="6" t="n">
        <v>88000</v>
      </c>
      <c r="M954" s="6" t="n">
        <v>129</v>
      </c>
      <c r="N954" s="6" t="n">
        <v>3</v>
      </c>
      <c r="O954" s="6" t="n">
        <v>3</v>
      </c>
      <c r="P954" s="6" t="n">
        <v>6464</v>
      </c>
      <c r="Q954" s="6" t="n">
        <v>1</v>
      </c>
      <c r="R954">
        <f>M954+IF(MAX(N954-1,0)&gt;0,IF(ISBLANK(O954),5*MAX(N954-1,0),IF(ISNUMBER(O954),O954*MAX(N954-1,0),SUM(IFERROR(VALUE(TEXTSPLIT(O954,",")),0)))),0)</f>
        <v/>
      </c>
      <c r="S954">
        <f>IFERROR(L954*MAX(N954,1)/R954*IF(ISBLANK(K948),1,K948),0)</f>
        <v/>
      </c>
      <c r="AB954" s="7" t="inlineStr">
        <is>
          <t>^Warhead_MissileAP_Light, ^Warhead_Flame_Light, ^Warhead_MissileHE_Heavy, ^Warhead_Concussion_Medium</t>
        </is>
      </c>
    </row>
    <row r="955">
      <c r="B955" s="7" t="inlineStr">
        <is>
          <t xml:space="preserve">  ↳ SandmarineTuskFire</t>
        </is>
      </c>
      <c r="C955" s="7" t="inlineStr">
        <is>
          <t>Armament@SECONDARYTITAN</t>
        </is>
      </c>
      <c r="L955" s="6" t="n">
        <v>88000</v>
      </c>
      <c r="M955" s="6" t="n">
        <v>129</v>
      </c>
      <c r="N955" s="6" t="n">
        <v>3</v>
      </c>
      <c r="O955" s="6" t="n">
        <v>3</v>
      </c>
      <c r="P955" s="6" t="n">
        <v>6464</v>
      </c>
      <c r="Q955" s="6" t="n">
        <v>1</v>
      </c>
      <c r="R955">
        <f>M955+IF(MAX(N955-1,0)&gt;0,IF(ISBLANK(O955),5*MAX(N955-1,0),IF(ISNUMBER(O955),O955*MAX(N955-1,0),SUM(IFERROR(VALUE(TEXTSPLIT(O955,",")),0)))),0)</f>
        <v/>
      </c>
      <c r="S955">
        <f>IFERROR(L955*MAX(N955,1)/R955*IF(ISBLANK(K948),1,K948),0)</f>
        <v/>
      </c>
      <c r="AB955" s="7" t="inlineStr">
        <is>
          <t>^Warhead_MissileAP_Light, ^Warhead_Flame_Light, ^Warhead_MissileHE_Heavy, ^Warhead_Concussion_Medium</t>
        </is>
      </c>
    </row>
    <row r="956">
      <c r="B956" s="7" t="inlineStr">
        <is>
          <t xml:space="preserve">  ↳ bigshieemortar</t>
        </is>
      </c>
      <c r="C956" s="7" t="inlineStr">
        <is>
          <t>Armament@Mortar</t>
        </is>
      </c>
      <c r="L956" s="6" t="n">
        <v>160000</v>
      </c>
      <c r="M956" s="6" t="n">
        <v>86</v>
      </c>
      <c r="N956" s="6" t="n">
        <v>1</v>
      </c>
      <c r="O956" s="6" t="n"/>
      <c r="P956" s="6" t="n">
        <v>7238</v>
      </c>
      <c r="Q956" s="6" t="n">
        <v>1.125</v>
      </c>
      <c r="R956">
        <f>M956+IF(MAX(N956-1,0)&gt;0,IF(ISBLANK(O956),5*MAX(N956-1,0),IF(ISNUMBER(O956),O956*MAX(N956-1,0),SUM(IFERROR(VALUE(TEXTSPLIT(O956,",")),0)))),0)</f>
        <v/>
      </c>
      <c r="S956">
        <f>IFERROR(L956*MAX(N956,1)/R956*IF(ISBLANK(K948),1,K948),0)</f>
        <v/>
      </c>
      <c r="AB956" s="7" t="inlineStr">
        <is>
          <t>^Warhead_Demolition_Heavy, ^Warhead_Flame_Medium</t>
        </is>
      </c>
    </row>
    <row r="957">
      <c r="A957" t="inlineStr">
        <is>
          <t>redalert2mod</t>
        </is>
      </c>
      <c r="B957" t="inlineStr">
        <is>
          <t>tkm_sandmarine</t>
        </is>
      </c>
      <c r="C957" t="inlineStr">
        <is>
          <t>Sand Marine</t>
        </is>
      </c>
      <c r="D957" s="6" t="inlineStr">
        <is>
          <t>EpicVehicle</t>
        </is>
      </c>
      <c r="E957" s="6" t="n">
        <v>800000</v>
      </c>
      <c r="F957" s="6" t="n">
        <v>30</v>
      </c>
      <c r="G957" t="inlineStr">
        <is>
          <t>Superheavy</t>
        </is>
      </c>
      <c r="H957" s="6" t="n">
        <v>0.4955</v>
      </c>
      <c r="I957" s="6" t="n">
        <v>1</v>
      </c>
      <c r="J957" s="6" t="n">
        <v>1</v>
      </c>
      <c r="P957">
        <f>MAX(P958,P959,P960,P961,P962,P963,P964,P965)</f>
        <v/>
      </c>
      <c r="S957">
        <f>S958+S959+S960+S961+S962+S963+S964+S965</f>
        <v/>
      </c>
      <c r="T957">
        <f>(E957/100000+F957/100+(P957/1000)*J957/5+S957/200)*200*I957*H957</f>
        <v/>
      </c>
      <c r="U957">
        <f>((E957*F957/25000)+((P957/1000)*J957*S957/2.5))*I957*H957</f>
        <v/>
      </c>
      <c r="V957">
        <f>(E957*F957*(P957/1000)*J957*S957*I957*H957)/12500000</f>
        <v/>
      </c>
      <c r="W957">
        <f>IFERROR((((E957/4000000)+(F957/60)+(S957/20000)+((P957/8500)*J957))*10000/4+(((E957/4000000)*(F957/60))+(((P957/8500)*J957)*(S957/20000)))*10000/2+((E957/4000000)*(F957/60)*((P957/8500)*J957)*(S957/20000))*10000)*(H957/0.75)/3,"")</f>
        <v/>
      </c>
      <c r="X957" s="6" t="n">
        <v>5000</v>
      </c>
      <c r="Y957">
        <f>IFERROR(W957-X957,"")</f>
        <v/>
      </c>
      <c r="Z957">
        <f>IFERROR(ABS(Y957)/MAX(X957,1),"")</f>
        <v/>
      </c>
      <c r="AA957">
        <f>IFERROR(ROUND(((3*X957-(((E957/4000000)+(F957/60)+(S957/20000))*10000/4+((E957/4000000)*(F957/60))*10000/2)*(H957/0.75))/(10000/4+((S957/20000))*10000/2+((E957/4000000)*(F957/60)*(S957/20000))*10000)*(H957/0.75)*8500)/J957,-1),"")</f>
        <v/>
      </c>
    </row>
    <row r="958">
      <c r="B958" s="7" t="inlineStr">
        <is>
          <t xml:space="preserve">  ↳ SandmarineTusk</t>
        </is>
      </c>
      <c r="C958" s="7" t="inlineStr">
        <is>
          <t>Armament@PRIMARY</t>
        </is>
      </c>
      <c r="L958" s="6" t="n">
        <v>80000</v>
      </c>
      <c r="M958" s="6" t="n">
        <v>129</v>
      </c>
      <c r="N958" s="6" t="n">
        <v>3</v>
      </c>
      <c r="O958" s="6" t="n">
        <v>3</v>
      </c>
      <c r="P958" s="6" t="n">
        <v>6464</v>
      </c>
      <c r="Q958" s="6" t="n">
        <v>1.125</v>
      </c>
      <c r="R958">
        <f>M958+IF(MAX(N958-1,0)&gt;0,IF(ISBLANK(O958),5*MAX(N958-1,0),IF(ISNUMBER(O958),O958*MAX(N958-1,0),SUM(IFERROR(VALUE(TEXTSPLIT(O958,",")),0)))),0)</f>
        <v/>
      </c>
      <c r="S958">
        <f>IFERROR(L958*MAX(N958,1)/R958*IF(ISBLANK(K957),1,K957),0)</f>
        <v/>
      </c>
      <c r="AB958" s="7" t="inlineStr">
        <is>
          <t>^Warhead_MissileHE_Heavy, ^Warhead_Concussion_Medium</t>
        </is>
      </c>
    </row>
    <row r="959">
      <c r="B959" s="7" t="inlineStr">
        <is>
          <t xml:space="preserve">  ↳ SandmarineTuskCryo</t>
        </is>
      </c>
      <c r="C959" s="7" t="inlineStr">
        <is>
          <t>Armament@PRIMARYNATO</t>
        </is>
      </c>
      <c r="L959" s="6" t="n">
        <v>80000</v>
      </c>
      <c r="M959" s="6" t="n">
        <v>129</v>
      </c>
      <c r="N959" s="6" t="n">
        <v>3</v>
      </c>
      <c r="O959" s="6" t="n">
        <v>3</v>
      </c>
      <c r="P959" s="6" t="n">
        <v>6464</v>
      </c>
      <c r="Q959" s="6" t="n">
        <v>1.125</v>
      </c>
      <c r="R959">
        <f>M959+IF(MAX(N959-1,0)&gt;0,IF(ISBLANK(O959),5*MAX(N959-1,0),IF(ISNUMBER(O959),O959*MAX(N959-1,0),SUM(IFERROR(VALUE(TEXTSPLIT(O959,",")),0)))),0)</f>
        <v/>
      </c>
      <c r="S959">
        <f>IFERROR(L959*MAX(N959,1)/R959*IF(ISBLANK(K957),1,K957),0)</f>
        <v/>
      </c>
      <c r="AB959" s="7" t="inlineStr">
        <is>
          <t>^Warhead_MissileHE_Heavy, ^Warhead_Concussion_Medium</t>
        </is>
      </c>
    </row>
    <row r="960">
      <c r="B960" s="7" t="inlineStr">
        <is>
          <t xml:space="preserve">  ↳ SandmarineTuskCryo</t>
        </is>
      </c>
      <c r="C960" s="7" t="inlineStr">
        <is>
          <t>Armament@SECONDARYNATO</t>
        </is>
      </c>
      <c r="L960" s="6" t="n">
        <v>80000</v>
      </c>
      <c r="M960" s="6" t="n">
        <v>129</v>
      </c>
      <c r="N960" s="6" t="n">
        <v>3</v>
      </c>
      <c r="O960" s="6" t="n">
        <v>3</v>
      </c>
      <c r="P960" s="6" t="n">
        <v>6464</v>
      </c>
      <c r="Q960" s="6" t="n">
        <v>1.125</v>
      </c>
      <c r="R960">
        <f>M960+IF(MAX(N960-1,0)&gt;0,IF(ISBLANK(O960),5*MAX(N960-1,0),IF(ISNUMBER(O960),O960*MAX(N960-1,0),SUM(IFERROR(VALUE(TEXTSPLIT(O960,",")),0)))),0)</f>
        <v/>
      </c>
      <c r="S960">
        <f>IFERROR(L960*MAX(N960,1)/R960*IF(ISBLANK(K957),1,K957),0)</f>
        <v/>
      </c>
      <c r="AB960" s="7" t="inlineStr">
        <is>
          <t>^Warhead_MissileHE_Heavy, ^Warhead_Concussion_Medium</t>
        </is>
      </c>
    </row>
    <row r="961">
      <c r="B961" s="7" t="inlineStr">
        <is>
          <t xml:space="preserve">  ↳ SandmarineTuskTwin</t>
        </is>
      </c>
      <c r="C961" s="7" t="inlineStr">
        <is>
          <t>Armament@PRIMARYBEREZKA</t>
        </is>
      </c>
      <c r="L961" s="6" t="n">
        <v>60000</v>
      </c>
      <c r="M961" s="6" t="n">
        <v>54</v>
      </c>
      <c r="N961" s="6" t="n">
        <v>8</v>
      </c>
      <c r="O961" s="6" t="n">
        <v>3</v>
      </c>
      <c r="P961" s="6" t="n">
        <v>6102</v>
      </c>
      <c r="Q961" s="6" t="n">
        <v>1</v>
      </c>
      <c r="R961">
        <f>M961+IF(MAX(N961-1,0)&gt;0,IF(ISBLANK(O961),5*MAX(N961-1,0),IF(ISNUMBER(O961),O961*MAX(N961-1,0),SUM(IFERROR(VALUE(TEXTSPLIT(O961,",")),0)))),0)</f>
        <v/>
      </c>
      <c r="S961">
        <f>IFERROR(L961*MAX(N961,1)/R961*IF(ISBLANK(K957),1,K957),0)</f>
        <v/>
      </c>
      <c r="AB961" s="7" t="inlineStr">
        <is>
          <t>^Warhead_MissileHE_Heavy, ^Warhead_Concussion_Medium, ^Warhead_MissileAP_Medium</t>
        </is>
      </c>
    </row>
    <row r="962">
      <c r="B962" s="7" t="inlineStr">
        <is>
          <t xml:space="preserve">  ↳ SandmarineTuskTwin</t>
        </is>
      </c>
      <c r="C962" s="7" t="inlineStr">
        <is>
          <t>Armament@SECONDARYBEREZKA</t>
        </is>
      </c>
      <c r="L962" s="6" t="n">
        <v>60000</v>
      </c>
      <c r="M962" s="6" t="n">
        <v>54</v>
      </c>
      <c r="N962" s="6" t="n">
        <v>8</v>
      </c>
      <c r="O962" s="6" t="n">
        <v>3</v>
      </c>
      <c r="P962" s="6" t="n">
        <v>6102</v>
      </c>
      <c r="Q962" s="6" t="n">
        <v>1</v>
      </c>
      <c r="R962">
        <f>M962+IF(MAX(N962-1,0)&gt;0,IF(ISBLANK(O962),5*MAX(N962-1,0),IF(ISNUMBER(O962),O962*MAX(N962-1,0),SUM(IFERROR(VALUE(TEXTSPLIT(O962,",")),0)))),0)</f>
        <v/>
      </c>
      <c r="S962">
        <f>IFERROR(L962*MAX(N962,1)/R962*IF(ISBLANK(K957),1,K957),0)</f>
        <v/>
      </c>
      <c r="AB962" s="7" t="inlineStr">
        <is>
          <t>^Warhead_MissileHE_Heavy, ^Warhead_Concussion_Medium, ^Warhead_MissileAP_Medium</t>
        </is>
      </c>
    </row>
    <row r="963">
      <c r="B963" s="7" t="inlineStr">
        <is>
          <t xml:space="preserve">  ↳ SandmarineTuskFire</t>
        </is>
      </c>
      <c r="C963" s="7" t="inlineStr">
        <is>
          <t>Armament@PRIMARYTITAN</t>
        </is>
      </c>
      <c r="L963" s="6" t="n">
        <v>88000</v>
      </c>
      <c r="M963" s="6" t="n">
        <v>129</v>
      </c>
      <c r="N963" s="6" t="n">
        <v>3</v>
      </c>
      <c r="O963" s="6" t="n">
        <v>3</v>
      </c>
      <c r="P963" s="6" t="n">
        <v>6464</v>
      </c>
      <c r="Q963" s="6" t="n">
        <v>1</v>
      </c>
      <c r="R963">
        <f>M963+IF(MAX(N963-1,0)&gt;0,IF(ISBLANK(O963),5*MAX(N963-1,0),IF(ISNUMBER(O963),O963*MAX(N963-1,0),SUM(IFERROR(VALUE(TEXTSPLIT(O963,",")),0)))),0)</f>
        <v/>
      </c>
      <c r="S963">
        <f>IFERROR(L963*MAX(N963,1)/R963*IF(ISBLANK(K957),1,K957),0)</f>
        <v/>
      </c>
      <c r="AB963" s="7" t="inlineStr">
        <is>
          <t>^Warhead_MissileAP_Light, ^Warhead_Flame_Light, ^Warhead_MissileHE_Heavy, ^Warhead_Concussion_Medium</t>
        </is>
      </c>
    </row>
    <row r="964">
      <c r="B964" s="7" t="inlineStr">
        <is>
          <t xml:space="preserve">  ↳ SandmarineTuskFire</t>
        </is>
      </c>
      <c r="C964" s="7" t="inlineStr">
        <is>
          <t>Armament@SECONDARYTITAN</t>
        </is>
      </c>
      <c r="L964" s="6" t="n">
        <v>88000</v>
      </c>
      <c r="M964" s="6" t="n">
        <v>129</v>
      </c>
      <c r="N964" s="6" t="n">
        <v>3</v>
      </c>
      <c r="O964" s="6" t="n">
        <v>3</v>
      </c>
      <c r="P964" s="6" t="n">
        <v>6464</v>
      </c>
      <c r="Q964" s="6" t="n">
        <v>1</v>
      </c>
      <c r="R964">
        <f>M964+IF(MAX(N964-1,0)&gt;0,IF(ISBLANK(O964),5*MAX(N964-1,0),IF(ISNUMBER(O964),O964*MAX(N964-1,0),SUM(IFERROR(VALUE(TEXTSPLIT(O964,",")),0)))),0)</f>
        <v/>
      </c>
      <c r="S964">
        <f>IFERROR(L964*MAX(N964,1)/R964*IF(ISBLANK(K957),1,K957),0)</f>
        <v/>
      </c>
      <c r="AB964" s="7" t="inlineStr">
        <is>
          <t>^Warhead_MissileAP_Light, ^Warhead_Flame_Light, ^Warhead_MissileHE_Heavy, ^Warhead_Concussion_Medium</t>
        </is>
      </c>
    </row>
    <row r="965">
      <c r="B965" s="7" t="inlineStr">
        <is>
          <t xml:space="preserve">  ↳ sandmarinemortar</t>
        </is>
      </c>
      <c r="C965" s="7" t="inlineStr">
        <is>
          <t>Armament@Mortar</t>
        </is>
      </c>
      <c r="L965" s="6" t="n">
        <v>240000</v>
      </c>
      <c r="M965" s="6" t="n">
        <v>135</v>
      </c>
      <c r="N965" s="6" t="n">
        <v>1</v>
      </c>
      <c r="O965" s="6" t="n"/>
      <c r="P965" s="6" t="n">
        <v>6464</v>
      </c>
      <c r="Q965" s="6" t="n">
        <v>1.125</v>
      </c>
      <c r="R965">
        <f>M965+IF(MAX(N965-1,0)&gt;0,IF(ISBLANK(O965),5*MAX(N965-1,0),IF(ISNUMBER(O965),O965*MAX(N965-1,0),SUM(IFERROR(VALUE(TEXTSPLIT(O965,",")),0)))),0)</f>
        <v/>
      </c>
      <c r="S965">
        <f>IFERROR(L965*MAX(N965,1)/R965*IF(ISBLANK(K957),1,K957),0)</f>
        <v/>
      </c>
      <c r="AB965" s="7" t="inlineStr">
        <is>
          <t>^Warhead_Demolition_Heavy, ^Warhead_Flame_Medium</t>
        </is>
      </c>
    </row>
    <row r="966">
      <c r="A966" t="inlineStr">
        <is>
          <t>redalert2mod</t>
        </is>
      </c>
      <c r="B966" t="inlineStr">
        <is>
          <t>tkm_t30</t>
        </is>
      </c>
      <c r="C966" t="inlineStr">
        <is>
          <t>T-30</t>
        </is>
      </c>
      <c r="D966" s="6" t="inlineStr">
        <is>
          <t>EpicVehicle</t>
        </is>
      </c>
      <c r="E966" s="6" t="n">
        <v>400000</v>
      </c>
      <c r="F966" s="6" t="n">
        <v>50</v>
      </c>
      <c r="G966" t="inlineStr">
        <is>
          <t>Superheavy</t>
        </is>
      </c>
      <c r="H966" s="6" t="n">
        <v>0.4955</v>
      </c>
      <c r="I966" s="6" t="n">
        <v>1</v>
      </c>
      <c r="J966" s="6" t="n">
        <v>1</v>
      </c>
      <c r="P966">
        <f>MAX(P967)</f>
        <v/>
      </c>
      <c r="S966">
        <f>S967</f>
        <v/>
      </c>
      <c r="T966">
        <f>(E966/100000+F966/100+(P966/1000)*J966/5+S966/200)*200*I966*H966</f>
        <v/>
      </c>
      <c r="U966">
        <f>((E966*F966/25000)+((P966/1000)*J966*S966/2.5))*I966*H966</f>
        <v/>
      </c>
      <c r="V966">
        <f>(E966*F966*(P966/1000)*J966*S966*I966*H966)/12500000</f>
        <v/>
      </c>
      <c r="W966">
        <f>IFERROR((((E966/4000000)+(F966/60)+(S966/20000)+((P966/8500)*J966))*10000/4+(((E966/4000000)*(F966/60))+(((P966/8500)*J966)*(S966/20000)))*10000/2+((E966/4000000)*(F966/60)*((P966/8500)*J966)*(S966/20000))*10000)*(H966/0.75)/3,"")</f>
        <v/>
      </c>
      <c r="X966" s="6" t="n">
        <v>5000</v>
      </c>
      <c r="Y966">
        <f>IFERROR(W966-X966,"")</f>
        <v/>
      </c>
      <c r="Z966">
        <f>IFERROR(ABS(Y966)/MAX(X966,1),"")</f>
        <v/>
      </c>
      <c r="AA966">
        <f>IFERROR(ROUND(((3*X966-(((E966/4000000)+(F966/60)+(S966/20000))*10000/4+((E966/4000000)*(F966/60))*10000/2)*(H966/0.75))/(10000/4+((S966/20000))*10000/2+((E966/4000000)*(F966/60)*(S966/20000))*10000)*(H966/0.75)*8500)/J966,-1),"")</f>
        <v/>
      </c>
    </row>
    <row r="967">
      <c r="B967" s="7" t="inlineStr">
        <is>
          <t xml:space="preserve">  ↳ t30shell</t>
        </is>
      </c>
      <c r="C967" s="7" t="inlineStr">
        <is>
          <t>Armament</t>
        </is>
      </c>
      <c r="L967" s="6" t="n">
        <v>80000</v>
      </c>
      <c r="M967" s="6" t="n">
        <v>80</v>
      </c>
      <c r="N967" s="6" t="n">
        <v>1</v>
      </c>
      <c r="O967" s="6" t="n"/>
      <c r="P967" s="6" t="n">
        <v>22000</v>
      </c>
      <c r="Q967" s="6" t="n">
        <v>1.25</v>
      </c>
      <c r="R967">
        <f>M967+IF(MAX(N967-1,0)&gt;0,IF(ISBLANK(O967),5*MAX(N967-1,0),IF(ISNUMBER(O967),O967*MAX(N967-1,0),SUM(IFERROR(VALUE(TEXTSPLIT(O967,",")),0)))),0)</f>
        <v/>
      </c>
      <c r="S967">
        <f>IFERROR(L967*MAX(N967,1)/R967*IF(ISBLANK(K966),1,K966),0)</f>
        <v/>
      </c>
      <c r="AB967" s="7" t="inlineStr">
        <is>
          <t>^Warhead_Demolition_Heavy, ^Warhead_Railgun_Heavy</t>
        </is>
      </c>
    </row>
    <row r="968">
      <c r="A968" t="inlineStr">
        <is>
          <t>d2k</t>
        </is>
      </c>
      <c r="B968" t="inlineStr">
        <is>
          <t>ixian_ixprojector</t>
        </is>
      </c>
      <c r="C968" t="inlineStr">
        <is>
          <t>Ix Projector</t>
        </is>
      </c>
      <c r="D968" s="6" t="inlineStr">
        <is>
          <t>EpicVehicle</t>
        </is>
      </c>
      <c r="E968" s="6" t="n">
        <v>100000</v>
      </c>
      <c r="F968" s="6" t="n">
        <v>100</v>
      </c>
      <c r="G968" t="inlineStr">
        <is>
          <t>Superheavy</t>
        </is>
      </c>
      <c r="H968" s="6" t="n">
        <v>0.4925</v>
      </c>
      <c r="I968" s="6" t="n">
        <v>1</v>
      </c>
      <c r="J968" s="6" t="n">
        <v>1</v>
      </c>
      <c r="P968">
        <f>MAX(P969,P970)</f>
        <v/>
      </c>
      <c r="S968">
        <f>S969+S970</f>
        <v/>
      </c>
      <c r="T968">
        <f>(E968/100000+F968/100+(P968/1000)*J968/5+S968/200)*200*I968*H968</f>
        <v/>
      </c>
      <c r="U968">
        <f>((E968*F968/25000)+((P968/1000)*J968*S968/2.5))*I968*H968</f>
        <v/>
      </c>
      <c r="V968">
        <f>(E968*F968*(P968/1000)*J968*S968*I968*H968)/12500000</f>
        <v/>
      </c>
      <c r="W968">
        <f>IFERROR((((E968/4000000)+(F968/60)+(S968/20000)+((P968/8500)*J968))*10000/4+(((E968/4000000)*(F968/60))+(((P968/8500)*J968)*(S968/20000)))*10000/2+((E968/4000000)*(F968/60)*((P968/8500)*J968)*(S968/20000))*10000)*(H968/0.75)/3,"")</f>
        <v/>
      </c>
      <c r="X968" s="6" t="n">
        <v>5000</v>
      </c>
      <c r="Y968">
        <f>IFERROR(W968-X968,"")</f>
        <v/>
      </c>
      <c r="Z968">
        <f>IFERROR(ABS(Y968)/MAX(X968,1),"")</f>
        <v/>
      </c>
      <c r="AA968">
        <f>IFERROR(ROUND(((3*X968-(((E968/4000000)+(F968/60)+(S968/20000))*10000/4+((E968/4000000)*(F968/60))*10000/2)*(H968/0.75))/(10000/4+((S968/20000))*10000/2+((E968/4000000)*(F968/60)*(S968/20000))*10000)*(H968/0.75)*8500)/J968,-1),"")</f>
        <v/>
      </c>
    </row>
    <row r="969">
      <c r="B969" s="7" t="inlineStr">
        <is>
          <t xml:space="preserve">  ↳ IxianCharge_EMP</t>
        </is>
      </c>
      <c r="C969" s="7" t="inlineStr">
        <is>
          <t>Armament@Anim</t>
        </is>
      </c>
      <c r="L969" t="n">
        <v>1</v>
      </c>
      <c r="M969" s="6" t="n">
        <v>3</v>
      </c>
      <c r="N969" s="6" t="n">
        <v>1</v>
      </c>
      <c r="O969" s="6" t="n"/>
      <c r="P969" s="6" t="n">
        <v>20000</v>
      </c>
      <c r="Q969" s="6" t="n">
        <v>1</v>
      </c>
      <c r="R969">
        <f>M969+IF(MAX(N969-1,0)&gt;0,IF(ISBLANK(O969),5*MAX(N969-1,0),IF(ISNUMBER(O969),O969*MAX(N969-1,0),SUM(IFERROR(VALUE(TEXTSPLIT(O969,",")),0)))),0)</f>
        <v/>
      </c>
      <c r="S969">
        <f>IFERROR(L969*MAX(N969,1)/R969*IF(ISBLANK(K968),1,K968),0)</f>
        <v/>
      </c>
      <c r="AB969" s="7" t="inlineStr"/>
    </row>
    <row r="970">
      <c r="B970" s="7" t="inlineStr">
        <is>
          <t xml:space="preserve">  ↳ IxianDisable_EMP</t>
        </is>
      </c>
      <c r="C970" s="7" t="inlineStr">
        <is>
          <t>Armament@End</t>
        </is>
      </c>
      <c r="L970" s="6" t="n">
        <v>2000</v>
      </c>
      <c r="M970" s="6" t="n">
        <v>4</v>
      </c>
      <c r="N970" s="6" t="n">
        <v>1</v>
      </c>
      <c r="O970" s="6" t="n"/>
      <c r="P970" s="6" t="n">
        <v>20000</v>
      </c>
      <c r="Q970" s="6" t="n">
        <v>1</v>
      </c>
      <c r="R970">
        <f>M970+IF(MAX(N970-1,0)&gt;0,IF(ISBLANK(O970),5*MAX(N970-1,0),IF(ISNUMBER(O970),O970*MAX(N970-1,0),SUM(IFERROR(VALUE(TEXTSPLIT(O970,",")),0)))),0)</f>
        <v/>
      </c>
      <c r="S970">
        <f>IFERROR(L970*MAX(N970,1)/R970*IF(ISBLANK(K968),1,K968),0)</f>
        <v/>
      </c>
      <c r="AB970" s="7" t="inlineStr">
        <is>
          <t>^Warhead_Tesla_Super</t>
        </is>
      </c>
    </row>
    <row r="971">
      <c r="A971" t="inlineStr">
        <is>
          <t>starcraft</t>
        </is>
      </c>
      <c r="B971" t="inlineStr">
        <is>
          <t>protoss_idol</t>
        </is>
      </c>
      <c r="C971" t="inlineStr">
        <is>
          <t>Idol</t>
        </is>
      </c>
      <c r="D971" s="6" t="inlineStr">
        <is>
          <t>EpicVehicle</t>
        </is>
      </c>
      <c r="E971" s="6" t="n">
        <v>350000</v>
      </c>
      <c r="F971" s="6" t="n">
        <v>40</v>
      </c>
      <c r="G971" t="inlineStr">
        <is>
          <t>Superheavy</t>
        </is>
      </c>
      <c r="H971" s="6" t="n">
        <v>0.75</v>
      </c>
      <c r="I971" s="6" t="n">
        <v>0.4</v>
      </c>
      <c r="J971" s="6" t="n">
        <v>1.25</v>
      </c>
      <c r="K971" t="n">
        <v>0.0223</v>
      </c>
      <c r="P971">
        <f>MAX(P972,P973,P974)</f>
        <v/>
      </c>
      <c r="S971">
        <f>S972+S973+S974</f>
        <v/>
      </c>
      <c r="T971">
        <f>(E971/100000+F971/100+(P971/1000)*J971/5+S971/200)*200*I971*H971</f>
        <v/>
      </c>
      <c r="U971">
        <f>((E971*F971/25000)+((P971/1000)*J971*S971/2.5))*I971*H971</f>
        <v/>
      </c>
      <c r="V971">
        <f>(E971*F971*(P971/1000)*J971*S971*I971*H971)/12500000</f>
        <v/>
      </c>
      <c r="W971">
        <f>IFERROR((((E971/4000000)+(F971/60)+(S971/20000)+((P971/8500)*J971))*10000/4+(((E971/4000000)*(F971/60))+(((P971/8500)*J971)*(S971/20000)))*10000/2+((E971/4000000)*(F971/60)*((P971/8500)*J971)*(S971/20000))*10000)*(H971/0.75)/3,"")</f>
        <v/>
      </c>
      <c r="X971" s="6" t="n">
        <v>2800</v>
      </c>
      <c r="Y971">
        <f>IFERROR(W971-X971,"")</f>
        <v/>
      </c>
      <c r="Z971">
        <f>IFERROR(ABS(Y971)/MAX(X971,1),"")</f>
        <v/>
      </c>
      <c r="AA971">
        <f>IFERROR(ROUND(((3*X971-(((E971/4000000)+(F971/60)+(S971/20000))*10000/4+((E971/4000000)*(F971/60))*10000/2)*(H971/0.75))/(10000/4+((S971/20000))*10000/2+((E971/4000000)*(F971/60)*(S971/20000))*10000)*(H971/0.75)*8500)/J971,-1),"")</f>
        <v/>
      </c>
    </row>
    <row r="972">
      <c r="B972" s="7" t="inlineStr">
        <is>
          <t xml:space="preserve">  ↳ WaveforceCannonChargedLaser</t>
        </is>
      </c>
      <c r="C972" s="7" t="inlineStr">
        <is>
          <t>Armament@Upgrade1</t>
        </is>
      </c>
      <c r="L972" s="6" t="n">
        <v>20000</v>
      </c>
      <c r="M972" s="6" t="n">
        <v>120</v>
      </c>
      <c r="N972" s="6" t="n">
        <v>1</v>
      </c>
      <c r="O972" s="6" t="n"/>
      <c r="P972" s="6" t="n">
        <v>9343</v>
      </c>
      <c r="Q972" s="6" t="n">
        <v>1.25</v>
      </c>
      <c r="R972">
        <f>M972+IF(MAX(N972-1,0)&gt;0,IF(ISBLANK(O972),5*MAX(N972-1,0),IF(ISNUMBER(O972),O972*MAX(N972-1,0),SUM(IFERROR(VALUE(TEXTSPLIT(O972,",")),0)))),0)</f>
        <v/>
      </c>
      <c r="S972">
        <f>IFERROR(L972*MAX(N972,1)/R972*IF(ISBLANK(K971),1,K971),0)</f>
        <v/>
      </c>
      <c r="AB972" s="7" t="inlineStr">
        <is>
          <t>^Warhead_MissileHE_Heavy, ^Warhead_Railgun_Heavy</t>
        </is>
      </c>
    </row>
    <row r="973">
      <c r="B973" s="7" t="inlineStr">
        <is>
          <t xml:space="preserve">  ↳ WaveforceCannonDistortedBeam1</t>
        </is>
      </c>
      <c r="C973" s="7" t="inlineStr">
        <is>
          <t>Armament@Upgrade2</t>
        </is>
      </c>
      <c r="L973" s="6" t="n">
        <v>20000</v>
      </c>
      <c r="M973" s="6" t="n">
        <v>120</v>
      </c>
      <c r="N973" s="6" t="n">
        <v>1</v>
      </c>
      <c r="O973" s="6" t="n"/>
      <c r="P973" s="6" t="n">
        <v>9343</v>
      </c>
      <c r="Q973" s="6" t="n">
        <v>1</v>
      </c>
      <c r="R973">
        <f>M973+IF(MAX(N973-1,0)&gt;0,IF(ISBLANK(O973),5*MAX(N973-1,0),IF(ISNUMBER(O973),O973*MAX(N973-1,0),SUM(IFERROR(VALUE(TEXTSPLIT(O973,",")),0)))),0)</f>
        <v/>
      </c>
      <c r="S973">
        <f>IFERROR(L973*MAX(N973,1)/R973*IF(ISBLANK(K971),1,K971),0)</f>
        <v/>
      </c>
      <c r="AB973" s="7" t="inlineStr">
        <is>
          <t>^TeslaWeapon, ^HeavyCannon</t>
        </is>
      </c>
    </row>
    <row r="974">
      <c r="B974" s="7" t="inlineStr">
        <is>
          <t xml:space="preserve">  ↳ WaveforceCannonDistortedBeam2</t>
        </is>
      </c>
      <c r="C974" s="7" t="inlineStr">
        <is>
          <t>Armament@Upgrade3</t>
        </is>
      </c>
      <c r="L974" s="6" t="n">
        <v>20000</v>
      </c>
      <c r="M974" s="6" t="n">
        <v>120</v>
      </c>
      <c r="N974" s="6" t="n">
        <v>1</v>
      </c>
      <c r="O974" s="6" t="n"/>
      <c r="P974" s="6" t="n">
        <v>9343</v>
      </c>
      <c r="Q974" s="6" t="n">
        <v>1.25</v>
      </c>
      <c r="R974">
        <f>M974+IF(MAX(N974-1,0)&gt;0,IF(ISBLANK(O974),5*MAX(N974-1,0),IF(ISNUMBER(O974),O974*MAX(N974-1,0),SUM(IFERROR(VALUE(TEXTSPLIT(O974,",")),0)))),0)</f>
        <v/>
      </c>
      <c r="S974">
        <f>IFERROR(L974*MAX(N974,1)/R974*IF(ISBLANK(K971),1,K971),0)</f>
        <v/>
      </c>
      <c r="AB974" s="7" t="inlineStr">
        <is>
          <t>^Warhead_Chemical_Heavy, ^Warhead_Flame_Heavy</t>
        </is>
      </c>
    </row>
    <row r="975">
      <c r="A975" t="inlineStr">
        <is>
          <t>starcraft</t>
        </is>
      </c>
      <c r="B975" t="inlineStr">
        <is>
          <t>zerg_hermit</t>
        </is>
      </c>
      <c r="C975" t="inlineStr">
        <is>
          <t>Hermit</t>
        </is>
      </c>
      <c r="D975" s="6" t="inlineStr">
        <is>
          <t>EpicVehicle</t>
        </is>
      </c>
      <c r="E975" s="6" t="n">
        <v>375000</v>
      </c>
      <c r="F975" s="6" t="n">
        <v>50</v>
      </c>
      <c r="G975" t="inlineStr">
        <is>
          <t>Superheavy</t>
        </is>
      </c>
      <c r="H975" s="6" t="n">
        <v>0.75</v>
      </c>
      <c r="I975" s="6" t="n">
        <v>0.4</v>
      </c>
      <c r="J975" s="6" t="n">
        <v>1</v>
      </c>
      <c r="K975" t="n">
        <v>0.004</v>
      </c>
      <c r="P975">
        <f>MAX(P976)</f>
        <v/>
      </c>
      <c r="S975">
        <f>S976</f>
        <v/>
      </c>
      <c r="T975">
        <f>(E975/100000+F975/100+(P975/1000)*J975/5+S975/200)*200*I975*H975</f>
        <v/>
      </c>
      <c r="U975">
        <f>((E975*F975/25000)+((P975/1000)*J975*S975/2.5))*I975*H975</f>
        <v/>
      </c>
      <c r="V975">
        <f>(E975*F975*(P975/1000)*J975*S975*I975*H975)/12500000</f>
        <v/>
      </c>
      <c r="W975">
        <f>IFERROR((((E975/4000000)+(F975/60)+(S975/20000)+((P975/8500)*J975))*10000/4+(((E975/4000000)*(F975/60))+(((P975/8500)*J975)*(S975/20000)))*10000/2+((E975/4000000)*(F975/60)*((P975/8500)*J975)*(S975/20000))*10000)*(H975/0.75)/3,"")</f>
        <v/>
      </c>
      <c r="X975" s="6" t="n">
        <v>6000</v>
      </c>
      <c r="Y975">
        <f>IFERROR(W975-X975,"")</f>
        <v/>
      </c>
      <c r="Z975">
        <f>IFERROR(ABS(Y975)/MAX(X975,1),"")</f>
        <v/>
      </c>
      <c r="AA975">
        <f>IFERROR(ROUND(((3*X975-(((E975/4000000)+(F975/60)+(S975/20000))*10000/4+((E975/4000000)*(F975/60))*10000/2)*(H975/0.75))/(10000/4+((S975/20000))*10000/2+((E975/4000000)*(F975/60)*(S975/20000))*10000)*(H975/0.75)*8500)/J975,-1),"")</f>
        <v/>
      </c>
    </row>
    <row r="976">
      <c r="B976" s="7" t="inlineStr">
        <is>
          <t xml:space="preserve">  ↳ HermitShoot</t>
        </is>
      </c>
      <c r="C976" s="7" t="inlineStr">
        <is>
          <t>Armament</t>
        </is>
      </c>
      <c r="L976" s="6" t="n">
        <v>12000</v>
      </c>
      <c r="M976" s="6" t="n">
        <v>30</v>
      </c>
      <c r="N976" s="6" t="n">
        <v>5</v>
      </c>
      <c r="O976" s="6" t="n">
        <v>0</v>
      </c>
      <c r="P976" s="6" t="n">
        <v>7120</v>
      </c>
      <c r="Q976" s="6" t="n">
        <v>1</v>
      </c>
      <c r="R976">
        <f>M976+IF(MAX(N976-1,0)&gt;0,IF(ISBLANK(O976),5*MAX(N976-1,0),IF(ISNUMBER(O976),O976*MAX(N976-1,0),SUM(IFERROR(VALUE(TEXTSPLIT(O976,",")),0)))),0)</f>
        <v/>
      </c>
      <c r="S976">
        <f>IFERROR(L976*MAX(N976,1)/R976*IF(ISBLANK(K975),1,K975),0)</f>
        <v/>
      </c>
      <c r="AB976" s="7" t="inlineStr">
        <is>
          <t>^Grenade, ^ShrapnelWeapon, ^HeavyBomb, ^MediumMissile, ^Chaingun, ^FlakWeapon</t>
        </is>
      </c>
    </row>
    <row r="977">
      <c r="A977" s="4" t="inlineStr">
        <is>
          <t>AntiAirVehicle</t>
        </is>
      </c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  <c r="AB977" s="5" t="n"/>
    </row>
    <row r="978">
      <c r="A978" t="inlineStr">
        <is>
          <t>redalert</t>
        </is>
      </c>
      <c r="B978" t="inlineStr">
        <is>
          <t>japan_armoredcar</t>
        </is>
      </c>
      <c r="C978" t="inlineStr">
        <is>
          <t>Armored Car</t>
        </is>
      </c>
      <c r="D978" s="6" t="inlineStr">
        <is>
          <t>AntiAirVehicle</t>
        </is>
      </c>
      <c r="E978" s="6" t="n">
        <v>42500</v>
      </c>
      <c r="F978" s="6" t="n">
        <v>130</v>
      </c>
      <c r="G978" t="inlineStr">
        <is>
          <t>Medium</t>
        </is>
      </c>
      <c r="H978" s="6" t="n">
        <v>1</v>
      </c>
      <c r="I978" s="6" t="n">
        <v>1.25</v>
      </c>
      <c r="J978" s="6" t="n">
        <v>1</v>
      </c>
      <c r="K978" t="n">
        <v>0.0125</v>
      </c>
      <c r="P978">
        <f>MAX(P979,P980,P981,P982)</f>
        <v/>
      </c>
      <c r="S978">
        <f>S979+S980+S981+S982</f>
        <v/>
      </c>
      <c r="T978">
        <f>(E978/100000+F978/100+(P978/1000)*J978/5+S978/200)*200*I978*H978</f>
        <v/>
      </c>
      <c r="U978">
        <f>((E978*F978/25000)+((P978/1000)*J978*S978/2.5))*I978*H978</f>
        <v/>
      </c>
      <c r="V978">
        <f>(E978*F978*(P978/1000)*J978*S978*I978*H978)/12500000</f>
        <v/>
      </c>
      <c r="W978">
        <f>IFERROR((((E978/170000)+(F978/110)+(S978/1250)+((P978/6000)*J978))*1000/4+(((E978/170000)*(F978/110))+(((P978/6000)*J978)*(S978/1250)))*1000/2+((E978/170000)*(F978/110)*((P978/6000)*J978)*(S978/1250))*1000)*(H978/1.0)/3,"")</f>
        <v/>
      </c>
      <c r="X978" s="6" t="n">
        <v>700</v>
      </c>
      <c r="Y978">
        <f>IFERROR(W978-X978,"")</f>
        <v/>
      </c>
      <c r="Z978">
        <f>IFERROR(ABS(Y978)/MAX(X978,1),"")</f>
        <v/>
      </c>
      <c r="AA978">
        <f>IFERROR(ROUND(((3*X978-(((E978/170000)+(F978/110)+(S978/1250))*1000/4+((E978/170000)*(F978/110))*1000/2)*(H978/1.0))/(1000/4+((S978/1250))*1000/2+((E978/170000)*(F978/110)*(S978/1250))*1000)*(H978/1.0)*6000)/J978,-1),"")</f>
        <v/>
      </c>
    </row>
    <row r="979">
      <c r="B979" s="7" t="inlineStr">
        <is>
          <t xml:space="preserve">  ↳ ArmoredCarMG</t>
        </is>
      </c>
      <c r="C979" s="7" t="inlineStr">
        <is>
          <t>Armament@AG</t>
        </is>
      </c>
      <c r="L979" s="6" t="n">
        <v>16000</v>
      </c>
      <c r="M979" s="6" t="n">
        <v>8</v>
      </c>
      <c r="N979" s="6" t="n">
        <v>1</v>
      </c>
      <c r="O979" s="6" t="n"/>
      <c r="P979" s="6" t="n">
        <v>5012</v>
      </c>
      <c r="Q979" s="6" t="n">
        <v>1</v>
      </c>
      <c r="R979">
        <f>M979+IF(MAX(N979-1,0)&gt;0,IF(ISBLANK(O979),5*MAX(N979-1,0),IF(ISNUMBER(O979),O979*MAX(N979-1,0),SUM(IFERROR(VALUE(TEXTSPLIT(O979,",")),0)))),0)</f>
        <v/>
      </c>
      <c r="S979">
        <f>IFERROR(L979*MAX(N979,1)/R979*IF(ISBLANK(K978),1,K978),0)</f>
        <v/>
      </c>
      <c r="AB979" s="7" t="inlineStr">
        <is>
          <t>^ArrowWeapon, ^TankDestroyerCannon, ^SmallArms, ^Grenade, ^MediumCannon, ^MediumMissile, ^FlakWeapon, ^Chaingun</t>
        </is>
      </c>
    </row>
    <row r="980">
      <c r="B980" s="7" t="inlineStr">
        <is>
          <t xml:space="preserve">  ↳ ArmoredCarMG_AA</t>
        </is>
      </c>
      <c r="C980" s="7" t="inlineStr">
        <is>
          <t>Armament@AA</t>
        </is>
      </c>
      <c r="L980" s="6" t="n">
        <v>16000</v>
      </c>
      <c r="M980" s="6" t="n">
        <v>8</v>
      </c>
      <c r="N980" s="6" t="n">
        <v>1</v>
      </c>
      <c r="O980" s="6" t="n"/>
      <c r="P980" s="6" t="n">
        <v>7518</v>
      </c>
      <c r="Q980" s="6" t="n">
        <v>1</v>
      </c>
      <c r="R980">
        <f>M980+IF(MAX(N980-1,0)&gt;0,IF(ISBLANK(O980),5*MAX(N980-1,0),IF(ISNUMBER(O980),O980*MAX(N980-1,0),SUM(IFERROR(VALUE(TEXTSPLIT(O980,",")),0)))),0)</f>
        <v/>
      </c>
      <c r="S980">
        <f>IFERROR(L980*MAX(N980,1)/R980*IF(ISBLANK(K978),1,K978),0)</f>
        <v/>
      </c>
      <c r="AB980" s="7" t="inlineStr">
        <is>
          <t>ArmoredCarMG</t>
        </is>
      </c>
    </row>
    <row r="981">
      <c r="B981" s="7" t="inlineStr">
        <is>
          <t xml:space="preserve">  ↳ ArmoredCarMGWaveforce</t>
        </is>
      </c>
      <c r="C981" s="7" t="inlineStr">
        <is>
          <t>Armament@UpgradeAG</t>
        </is>
      </c>
      <c r="L981" s="6" t="n">
        <v>19000</v>
      </c>
      <c r="M981" s="6" t="n">
        <v>8</v>
      </c>
      <c r="N981" s="6" t="n">
        <v>1</v>
      </c>
      <c r="O981" s="6" t="n"/>
      <c r="P981" s="6" t="n">
        <v>5012</v>
      </c>
      <c r="Q981" s="6" t="n">
        <v>1.25</v>
      </c>
      <c r="R981">
        <f>M981+IF(MAX(N981-1,0)&gt;0,IF(ISBLANK(O981),5*MAX(N981-1,0),IF(ISNUMBER(O981),O981*MAX(N981-1,0),SUM(IFERROR(VALUE(TEXTSPLIT(O981,",")),0)))),0)</f>
        <v/>
      </c>
      <c r="S981">
        <f>IFERROR(L981*MAX(N981,1)/R981*IF(ISBLANK(K978),1,K978),0)</f>
        <v/>
      </c>
      <c r="AB981" s="7" t="inlineStr">
        <is>
          <t>^Warhead_Railgun_Heavy</t>
        </is>
      </c>
    </row>
    <row r="982">
      <c r="B982" s="7" t="inlineStr">
        <is>
          <t xml:space="preserve">  ↳ ArmoredCarMGAAWaveforce</t>
        </is>
      </c>
      <c r="C982" s="7" t="inlineStr">
        <is>
          <t>Armament@UpgradeAA</t>
        </is>
      </c>
      <c r="L982" s="6" t="n">
        <v>19000</v>
      </c>
      <c r="M982" s="6" t="n">
        <v>8</v>
      </c>
      <c r="N982" s="6" t="n">
        <v>1</v>
      </c>
      <c r="O982" s="6" t="n"/>
      <c r="P982" s="6" t="n">
        <v>7518</v>
      </c>
      <c r="Q982" s="6" t="n">
        <v>1.25</v>
      </c>
      <c r="R982">
        <f>M982+IF(MAX(N982-1,0)&gt;0,IF(ISBLANK(O982),5*MAX(N982-1,0),IF(ISNUMBER(O982),O982*MAX(N982-1,0),SUM(IFERROR(VALUE(TEXTSPLIT(O982,",")),0)))),0)</f>
        <v/>
      </c>
      <c r="S982">
        <f>IFERROR(L982*MAX(N982,1)/R982*IF(ISBLANK(K978),1,K978),0)</f>
        <v/>
      </c>
      <c r="AB982" s="7" t="inlineStr">
        <is>
          <t>^Warhead_Railgun_Heavy</t>
        </is>
      </c>
    </row>
    <row r="983">
      <c r="A983" t="inlineStr">
        <is>
          <t>redalert</t>
        </is>
      </c>
      <c r="B983" t="inlineStr">
        <is>
          <t>ra1_soviets_flaktruck</t>
        </is>
      </c>
      <c r="C983" t="inlineStr">
        <is>
          <t>Flak Truck</t>
        </is>
      </c>
      <c r="D983" s="6" t="inlineStr">
        <is>
          <t>AntiAirVehicle</t>
        </is>
      </c>
      <c r="E983" s="6" t="n">
        <v>30000</v>
      </c>
      <c r="F983" s="6" t="n">
        <v>120</v>
      </c>
      <c r="G983" t="inlineStr">
        <is>
          <t>Medium</t>
        </is>
      </c>
      <c r="H983" s="6" t="n">
        <v>1</v>
      </c>
      <c r="I983" s="6" t="n">
        <v>1.25</v>
      </c>
      <c r="J983" s="6" t="n">
        <v>1</v>
      </c>
      <c r="P983">
        <f>MAX(P984,P985)</f>
        <v/>
      </c>
      <c r="S983">
        <f>S984+S985</f>
        <v/>
      </c>
      <c r="T983">
        <f>(E983/100000+F983/100+(P983/1000)*J983/5+S983/200)*200*I983*H983</f>
        <v/>
      </c>
      <c r="U983">
        <f>((E983*F983/25000)+((P983/1000)*J983*S983/2.5))*I983*H983</f>
        <v/>
      </c>
      <c r="V983">
        <f>(E983*F983*(P983/1000)*J983*S983*I983*H983)/12500000</f>
        <v/>
      </c>
      <c r="W983">
        <f>IFERROR((((E983/170000)+(F983/110)+(S983/1250)+((P983/6000)*J983))*1000/4+(((E983/170000)*(F983/110))+(((P983/6000)*J983)*(S983/1250)))*1000/2+((E983/170000)*(F983/110)*((P983/6000)*J983)*(S983/1250))*1000)*(H983/1.0)/3,"")</f>
        <v/>
      </c>
      <c r="X983" s="6" t="n">
        <v>800</v>
      </c>
      <c r="Y983">
        <f>IFERROR(W983-X983,"")</f>
        <v/>
      </c>
      <c r="Z983">
        <f>IFERROR(ABS(Y983)/MAX(X983,1),"")</f>
        <v/>
      </c>
      <c r="AA983">
        <f>IFERROR(ROUND(((3*X983-(((E983/170000)+(F983/110)+(S983/1250))*1000/4+((E983/170000)*(F983/110))*1000/2)*(H983/1.0))/(1000/4+((S983/1250))*1000/2+((E983/170000)*(F983/110)*(S983/1250))*1000)*(H983/1.0)*6000)/J983,-1),"")</f>
        <v/>
      </c>
    </row>
    <row r="984">
      <c r="B984" s="7" t="inlineStr">
        <is>
          <t xml:space="preserve">  ↳ FLAK-23-AA</t>
        </is>
      </c>
      <c r="C984" s="7" t="inlineStr">
        <is>
          <t>Armament@AA</t>
        </is>
      </c>
      <c r="L984" s="6" t="n">
        <v>4000</v>
      </c>
      <c r="M984" s="6" t="n">
        <v>5</v>
      </c>
      <c r="N984" s="6" t="n">
        <v>2</v>
      </c>
      <c r="O984" s="6" t="n"/>
      <c r="P984" s="6" t="n">
        <v>8118</v>
      </c>
      <c r="Q984" s="6" t="n">
        <v>1</v>
      </c>
      <c r="R984">
        <f>M984+IF(MAX(N984-1,0)&gt;0,IF(ISBLANK(O984),5*MAX(N984-1,0),IF(ISNUMBER(O984),O984*MAX(N984-1,0),SUM(IFERROR(VALUE(TEXTSPLIT(O984,",")),0)))),0)</f>
        <v/>
      </c>
      <c r="S984">
        <f>IFERROR(L984*MAX(N984,1)/R984*IF(ISBLANK(K983),1,K983),0)</f>
        <v/>
      </c>
      <c r="AB984" s="7" t="inlineStr">
        <is>
          <t>^Warhead_Bullet_Medium, ^Warhead_Flak_Medium</t>
        </is>
      </c>
    </row>
    <row r="985">
      <c r="B985" s="7" t="inlineStr">
        <is>
          <t xml:space="preserve">  ↳ FLAK-23-AG</t>
        </is>
      </c>
      <c r="C985" s="7" t="inlineStr">
        <is>
          <t>Armament@AG</t>
        </is>
      </c>
      <c r="L985" s="6" t="n">
        <v>4000</v>
      </c>
      <c r="M985" s="6" t="n">
        <v>5</v>
      </c>
      <c r="N985" s="6" t="n">
        <v>2</v>
      </c>
      <c r="O985" s="6" t="n"/>
      <c r="P985" s="6" t="n">
        <v>5412</v>
      </c>
      <c r="Q985" s="6" t="n">
        <v>1</v>
      </c>
      <c r="R985">
        <f>M985+IF(MAX(N985-1,0)&gt;0,IF(ISBLANK(O985),5*MAX(N985-1,0),IF(ISNUMBER(O985),O985*MAX(N985-1,0),SUM(IFERROR(VALUE(TEXTSPLIT(O985,",")),0)))),0)</f>
        <v/>
      </c>
      <c r="S985">
        <f>IFERROR(L985*MAX(N985,1)/R985*IF(ISBLANK(K983),1,K983),0)</f>
        <v/>
      </c>
      <c r="AB985" s="7" t="inlineStr">
        <is>
          <t>^Warhead_Bullet_Medium, ^Warhead_Flak_Medium</t>
        </is>
      </c>
    </row>
    <row r="986">
      <c r="A986" t="inlineStr">
        <is>
          <t>redalert</t>
        </is>
      </c>
      <c r="B986" t="inlineStr">
        <is>
          <t>ra1_soviets_gatlingtank</t>
        </is>
      </c>
      <c r="C986" t="inlineStr">
        <is>
          <t>Gatling Tank</t>
        </is>
      </c>
      <c r="D986" s="6" t="inlineStr">
        <is>
          <t>AntiAirVehicle</t>
        </is>
      </c>
      <c r="E986" s="6" t="n">
        <v>75000</v>
      </c>
      <c r="F986" s="6" t="n">
        <v>75</v>
      </c>
      <c r="G986" t="inlineStr">
        <is>
          <t>Medium</t>
        </is>
      </c>
      <c r="H986" s="6" t="n">
        <v>0.8919</v>
      </c>
      <c r="I986" s="6" t="n">
        <v>1</v>
      </c>
      <c r="J986" s="6" t="n">
        <v>1</v>
      </c>
      <c r="P986">
        <f>MAX(P987,P988,P989,P990,P991,P992,P993,P994)</f>
        <v/>
      </c>
      <c r="S986">
        <f>S987+S988+S989+S990+S991+S992+S993+S994</f>
        <v/>
      </c>
      <c r="T986">
        <f>(E986/100000+F986/100+(P986/1000)*J986/5+S986/200)*200*I986*H986</f>
        <v/>
      </c>
      <c r="U986">
        <f>((E986*F986/25000)+((P986/1000)*J986*S986/2.5))*I986*H986</f>
        <v/>
      </c>
      <c r="V986">
        <f>(E986*F986*(P986/1000)*J986*S986*I986*H986)/12500000</f>
        <v/>
      </c>
      <c r="W986">
        <f>IFERROR((((E986/170000)+(F986/110)+(S986/1250)+((P986/6000)*J986))*1000/4+(((E986/170000)*(F986/110))+(((P986/6000)*J986)*(S986/1250)))*1000/2+((E986/170000)*(F986/110)*((P986/6000)*J986)*(S986/1250))*1000)*(H986/1.0)/3,"")</f>
        <v/>
      </c>
      <c r="X986" s="6" t="n">
        <v>1100</v>
      </c>
      <c r="Y986">
        <f>IFERROR(W986-X986,"")</f>
        <v/>
      </c>
      <c r="Z986">
        <f>IFERROR(ABS(Y986)/MAX(X986,1),"")</f>
        <v/>
      </c>
      <c r="AA986">
        <f>IFERROR(ROUND(((3*X986-(((E986/170000)+(F986/110)+(S986/1250))*1000/4+((E986/170000)*(F986/110))*1000/2)*(H986/1.0))/(1000/4+((S986/1250))*1000/2+((E986/170000)*(F986/110)*(S986/1250))*1000)*(H986/1.0)*6000)/J986,-1),"")</f>
        <v/>
      </c>
    </row>
    <row r="987">
      <c r="B987" s="7" t="inlineStr">
        <is>
          <t xml:space="preserve">  ↳ RAGatlingTankCannon</t>
        </is>
      </c>
      <c r="C987" s="7" t="inlineStr">
        <is>
          <t>Armament@AG</t>
        </is>
      </c>
      <c r="L987" s="6" t="n">
        <v>2000</v>
      </c>
      <c r="M987" s="6" t="n">
        <v>10</v>
      </c>
      <c r="N987" s="6" t="n">
        <v>1</v>
      </c>
      <c r="O987" s="6" t="n"/>
      <c r="P987" s="6" t="n">
        <v>5000</v>
      </c>
      <c r="Q987" s="6" t="n">
        <v>1</v>
      </c>
      <c r="R987">
        <f>M987+IF(MAX(N987-1,0)&gt;0,IF(ISBLANK(O987),5*MAX(N987-1,0),IF(ISNUMBER(O987),O987*MAX(N987-1,0),SUM(IFERROR(VALUE(TEXTSPLIT(O987,",")),0)))),0)</f>
        <v/>
      </c>
      <c r="S987">
        <f>IFERROR(L987*MAX(N987,1)/R987*IF(ISBLANK(K986),1,K986),0)</f>
        <v/>
      </c>
      <c r="AB987" s="7" t="inlineStr">
        <is>
          <t>^Warhead_Bullet_Medium</t>
        </is>
      </c>
    </row>
    <row r="988">
      <c r="B988" s="7" t="inlineStr">
        <is>
          <t xml:space="preserve">  ↳ RAGatlingTankCannon_AA</t>
        </is>
      </c>
      <c r="C988" s="7" t="inlineStr">
        <is>
          <t>Armament@AA</t>
        </is>
      </c>
      <c r="L988" s="6" t="n">
        <v>2000</v>
      </c>
      <c r="M988" s="6" t="n">
        <v>10</v>
      </c>
      <c r="N988" s="6" t="n">
        <v>1</v>
      </c>
      <c r="O988" s="6" t="n"/>
      <c r="P988" s="6" t="n">
        <v>7500</v>
      </c>
      <c r="Q988" s="6" t="n">
        <v>1</v>
      </c>
      <c r="R988">
        <f>M988+IF(MAX(N988-1,0)&gt;0,IF(ISBLANK(O988),5*MAX(N988-1,0),IF(ISNUMBER(O988),O988*MAX(N988-1,0),SUM(IFERROR(VALUE(TEXTSPLIT(O988,",")),0)))),0)</f>
        <v/>
      </c>
      <c r="S988">
        <f>IFERROR(L988*MAX(N988,1)/R988*IF(ISBLANK(K986),1,K986),0)</f>
        <v/>
      </c>
      <c r="AB988" s="7" t="inlineStr">
        <is>
          <t>^Warhead_Bullet_Medium</t>
        </is>
      </c>
    </row>
    <row r="989">
      <c r="B989" s="7" t="inlineStr">
        <is>
          <t xml:space="preserve">  ↳ IncendiaryRAGatlingTankCannon</t>
        </is>
      </c>
      <c r="C989" s="7" t="inlineStr">
        <is>
          <t>Armament@UpgradeAG</t>
        </is>
      </c>
      <c r="L989" s="6" t="n">
        <v>4000</v>
      </c>
      <c r="M989" s="6" t="n">
        <v>10</v>
      </c>
      <c r="N989" s="6" t="n">
        <v>1</v>
      </c>
      <c r="O989" s="6" t="n"/>
      <c r="P989" s="6" t="n">
        <v>5000</v>
      </c>
      <c r="Q989" s="6" t="n">
        <v>0.875</v>
      </c>
      <c r="R989">
        <f>M989+IF(MAX(N989-1,0)&gt;0,IF(ISBLANK(O989),5*MAX(N989-1,0),IF(ISNUMBER(O989),O989*MAX(N989-1,0),SUM(IFERROR(VALUE(TEXTSPLIT(O989,",")),0)))),0)</f>
        <v/>
      </c>
      <c r="S989">
        <f>IFERROR(L989*MAX(N989,1)/R989*IF(ISBLANK(K986),1,K986),0)</f>
        <v/>
      </c>
      <c r="AB989" s="7" t="inlineStr">
        <is>
          <t>^Warhead_Flame_Light, ^Warhead_Bullet_Medium</t>
        </is>
      </c>
    </row>
    <row r="990">
      <c r="B990" s="7" t="inlineStr">
        <is>
          <t xml:space="preserve">  ↳ IncendiaryRAGatlingTankCannon_AA</t>
        </is>
      </c>
      <c r="C990" s="7" t="inlineStr">
        <is>
          <t>Armament@UpgradeAA</t>
        </is>
      </c>
      <c r="L990" s="6" t="n">
        <v>4000</v>
      </c>
      <c r="M990" s="6" t="n">
        <v>10</v>
      </c>
      <c r="N990" s="6" t="n">
        <v>1</v>
      </c>
      <c r="O990" s="6" t="n"/>
      <c r="P990" s="6" t="n">
        <v>7500</v>
      </c>
      <c r="Q990" s="6" t="n">
        <v>0.875</v>
      </c>
      <c r="R990">
        <f>M990+IF(MAX(N990-1,0)&gt;0,IF(ISBLANK(O990),5*MAX(N990-1,0),IF(ISNUMBER(O990),O990*MAX(N990-1,0),SUM(IFERROR(VALUE(TEXTSPLIT(O990,",")),0)))),0)</f>
        <v/>
      </c>
      <c r="S990">
        <f>IFERROR(L990*MAX(N990,1)/R990*IF(ISBLANK(K986),1,K986),0)</f>
        <v/>
      </c>
      <c r="AB990" s="7" t="inlineStr">
        <is>
          <t>^Warhead_Flame_Light, ^Warhead_Bullet_Medium</t>
        </is>
      </c>
    </row>
    <row r="991">
      <c r="B991" s="7" t="inlineStr">
        <is>
          <t xml:space="preserve">  ↳ TeslaRAGatlingTankCannon</t>
        </is>
      </c>
      <c r="C991" s="7" t="inlineStr">
        <is>
          <t>Armament@TeslaUpgrade1</t>
        </is>
      </c>
      <c r="L991" s="6" t="n">
        <v>2000</v>
      </c>
      <c r="M991" s="6" t="n">
        <v>10</v>
      </c>
      <c r="N991" s="6" t="n">
        <v>1</v>
      </c>
      <c r="O991" s="6" t="n"/>
      <c r="P991" s="6" t="n">
        <v>5000</v>
      </c>
      <c r="Q991" s="6" t="n">
        <v>1.25</v>
      </c>
      <c r="R991">
        <f>M991+IF(MAX(N991-1,0)&gt;0,IF(ISBLANK(O991),5*MAX(N991-1,0),IF(ISNUMBER(O991),O991*MAX(N991-1,0),SUM(IFERROR(VALUE(TEXTSPLIT(O991,",")),0)))),0)</f>
        <v/>
      </c>
      <c r="S991">
        <f>IFERROR(L991*MAX(N991,1)/R991*IF(ISBLANK(K986),1,K986),0)</f>
        <v/>
      </c>
      <c r="AB991" s="7" t="inlineStr">
        <is>
          <t>^Warhead_Tesla_Heavy</t>
        </is>
      </c>
    </row>
    <row r="992">
      <c r="B992" s="7" t="inlineStr">
        <is>
          <t xml:space="preserve">  ↳ TeslaRAGatlingTankCannonArc</t>
        </is>
      </c>
      <c r="C992" s="7" t="inlineStr">
        <is>
          <t>Armament@TeslaUpgrade2</t>
        </is>
      </c>
      <c r="L992" s="6" t="n">
        <v>2000</v>
      </c>
      <c r="M992" s="6" t="n">
        <v>10</v>
      </c>
      <c r="N992" s="6" t="n">
        <v>1</v>
      </c>
      <c r="O992" s="6" t="n"/>
      <c r="P992" s="6" t="n">
        <v>5000</v>
      </c>
      <c r="Q992" s="6" t="n">
        <v>1.25</v>
      </c>
      <c r="R992">
        <f>M992+IF(MAX(N992-1,0)&gt;0,IF(ISBLANK(O992),5*MAX(N992-1,0),IF(ISNUMBER(O992),O992*MAX(N992-1,0),SUM(IFERROR(VALUE(TEXTSPLIT(O992,",")),0)))),0)</f>
        <v/>
      </c>
      <c r="S992">
        <f>IFERROR(L992*MAX(N992,1)/R992*IF(ISBLANK(K986),1,K986),0)</f>
        <v/>
      </c>
      <c r="AB992" s="7" t="inlineStr">
        <is>
          <t>^Warhead_Tesla_Heavy</t>
        </is>
      </c>
    </row>
    <row r="993">
      <c r="B993" s="7" t="inlineStr">
        <is>
          <t xml:space="preserve">  ↳ TeslaRAGatlingTankCannon_AA</t>
        </is>
      </c>
      <c r="C993" s="7" t="inlineStr">
        <is>
          <t>Armament@TeslaUpgrade1AA</t>
        </is>
      </c>
      <c r="L993" s="6" t="n">
        <v>2000</v>
      </c>
      <c r="M993" s="6" t="n">
        <v>10</v>
      </c>
      <c r="N993" s="6" t="n">
        <v>1</v>
      </c>
      <c r="O993" s="6" t="n"/>
      <c r="P993" s="6" t="n">
        <v>7500</v>
      </c>
      <c r="Q993" s="6" t="n">
        <v>1.25</v>
      </c>
      <c r="R993">
        <f>M993+IF(MAX(N993-1,0)&gt;0,IF(ISBLANK(O993),5*MAX(N993-1,0),IF(ISNUMBER(O993),O993*MAX(N993-1,0),SUM(IFERROR(VALUE(TEXTSPLIT(O993,",")),0)))),0)</f>
        <v/>
      </c>
      <c r="S993">
        <f>IFERROR(L993*MAX(N993,1)/R993*IF(ISBLANK(K986),1,K986),0)</f>
        <v/>
      </c>
      <c r="AB993" s="7" t="inlineStr">
        <is>
          <t>^Warhead_Tesla_Heavy</t>
        </is>
      </c>
    </row>
    <row r="994">
      <c r="B994" s="7" t="inlineStr">
        <is>
          <t xml:space="preserve">  ↳ TeslaRAGatlingTankCannonArc_AA</t>
        </is>
      </c>
      <c r="C994" s="7" t="inlineStr">
        <is>
          <t>Armament@TeslaUpgrade2AA</t>
        </is>
      </c>
      <c r="L994" s="6" t="n">
        <v>2000</v>
      </c>
      <c r="M994" s="6" t="n">
        <v>10</v>
      </c>
      <c r="N994" s="6" t="n">
        <v>1</v>
      </c>
      <c r="O994" s="6" t="n"/>
      <c r="P994" s="6" t="n">
        <v>7500</v>
      </c>
      <c r="Q994" s="6" t="n">
        <v>1.25</v>
      </c>
      <c r="R994">
        <f>M994+IF(MAX(N994-1,0)&gt;0,IF(ISBLANK(O994),5*MAX(N994-1,0),IF(ISNUMBER(O994),O994*MAX(N994-1,0),SUM(IFERROR(VALUE(TEXTSPLIT(O994,",")),0)))),0)</f>
        <v/>
      </c>
      <c r="S994">
        <f>IFERROR(L994*MAX(N994,1)/R994*IF(ISBLANK(K986),1,K986),0)</f>
        <v/>
      </c>
      <c r="AB994" s="7" t="inlineStr">
        <is>
          <t>^Warhead_Tesla_Heavy</t>
        </is>
      </c>
    </row>
    <row r="995">
      <c r="A995" t="inlineStr">
        <is>
          <t>redalert</t>
        </is>
      </c>
      <c r="B995" t="inlineStr">
        <is>
          <t>ra1_allies_alliedheavyaatank</t>
        </is>
      </c>
      <c r="C995" t="inlineStr">
        <is>
          <t>Allied Heavy AA Tank</t>
        </is>
      </c>
      <c r="D995" s="6" t="inlineStr">
        <is>
          <t>AntiAirVehicle</t>
        </is>
      </c>
      <c r="E995" s="6" t="n">
        <v>125000</v>
      </c>
      <c r="F995" s="6" t="n">
        <v>75</v>
      </c>
      <c r="G995" t="inlineStr">
        <is>
          <t>Medium</t>
        </is>
      </c>
      <c r="H995" s="6" t="n">
        <v>1</v>
      </c>
      <c r="I995" s="6" t="n">
        <v>1</v>
      </c>
      <c r="J995" s="6" t="n">
        <v>1.25</v>
      </c>
      <c r="K995" t="n">
        <v>0.0025</v>
      </c>
      <c r="P995">
        <f>MAX(P996,P997)</f>
        <v/>
      </c>
      <c r="S995">
        <f>S996+S997</f>
        <v/>
      </c>
      <c r="T995">
        <f>(E995/100000+F995/100+(P995/1000)*J995/5+S995/200)*200*I995*H995</f>
        <v/>
      </c>
      <c r="U995">
        <f>((E995*F995/25000)+((P995/1000)*J995*S995/2.5))*I995*H995</f>
        <v/>
      </c>
      <c r="V995">
        <f>(E995*F995*(P995/1000)*J995*S995*I995*H995)/12500000</f>
        <v/>
      </c>
      <c r="W995">
        <f>IFERROR((((E995/170000)+(F995/110)+(S995/1250)+((P995/6000)*J995))*1000/4+(((E995/170000)*(F995/110))+(((P995/6000)*J995)*(S995/1250)))*1000/2+((E995/170000)*(F995/110)*((P995/6000)*J995)*(S995/1250))*1000)*(H995/1.0)/3,"")</f>
        <v/>
      </c>
      <c r="X995" s="6" t="n">
        <v>1250</v>
      </c>
      <c r="Y995">
        <f>IFERROR(W995-X995,"")</f>
        <v/>
      </c>
      <c r="Z995">
        <f>IFERROR(ABS(Y995)/MAX(X995,1),"")</f>
        <v/>
      </c>
      <c r="AA995">
        <f>IFERROR(ROUND(((3*X995-(((E995/170000)+(F995/110)+(S995/1250))*1000/4+((E995/170000)*(F995/110))*1000/2)*(H995/1.0))/(1000/4+((S995/1250))*1000/2+((E995/170000)*(F995/110)*(S995/1250))*1000)*(H995/1.0)*6000)/J995,-1),"")</f>
        <v/>
      </c>
    </row>
    <row r="996">
      <c r="B996" s="7" t="inlineStr">
        <is>
          <t xml:space="preserve">  ↳ HeavyAATankCannonAG</t>
        </is>
      </c>
      <c r="C996" s="7" t="inlineStr">
        <is>
          <t>Armament@AG</t>
        </is>
      </c>
      <c r="L996" s="6" t="n">
        <v>8000</v>
      </c>
      <c r="M996" s="6" t="n">
        <v>10</v>
      </c>
      <c r="N996" s="6" t="n">
        <v>1</v>
      </c>
      <c r="O996" s="6" t="n"/>
      <c r="P996" s="6" t="n">
        <v>4746</v>
      </c>
      <c r="Q996" s="6" t="n">
        <v>1</v>
      </c>
      <c r="R996">
        <f>M996+IF(MAX(N996-1,0)&gt;0,IF(ISBLANK(O996),5*MAX(N996-1,0),IF(ISNUMBER(O996),O996*MAX(N996-1,0),SUM(IFERROR(VALUE(TEXTSPLIT(O996,",")),0)))),0)</f>
        <v/>
      </c>
      <c r="S996">
        <f>IFERROR(L996*MAX(N996,1)/R996*IF(ISBLANK(K995),1,K995),0)</f>
        <v/>
      </c>
      <c r="AB996" s="7" t="inlineStr">
        <is>
          <t>^LightMissile, ^FlakWeapon, ^SmallArms, ^Chaingun</t>
        </is>
      </c>
    </row>
    <row r="997">
      <c r="B997" s="7" t="inlineStr">
        <is>
          <t xml:space="preserve">  ↳ HeavyAATankCannon_AA</t>
        </is>
      </c>
      <c r="C997" s="7" t="inlineStr">
        <is>
          <t>Armament@AA</t>
        </is>
      </c>
      <c r="L997" s="6" t="n">
        <v>8000</v>
      </c>
      <c r="M997" s="6" t="n">
        <v>10</v>
      </c>
      <c r="N997" s="6" t="n">
        <v>1</v>
      </c>
      <c r="O997" s="6" t="n"/>
      <c r="P997" s="6" t="n">
        <v>7119</v>
      </c>
      <c r="Q997" s="6" t="n">
        <v>1</v>
      </c>
      <c r="R997">
        <f>M997+IF(MAX(N997-1,0)&gt;0,IF(ISBLANK(O997),5*MAX(N997-1,0),IF(ISNUMBER(O997),O997*MAX(N997-1,0),SUM(IFERROR(VALUE(TEXTSPLIT(O997,",")),0)))),0)</f>
        <v/>
      </c>
      <c r="S997">
        <f>IFERROR(L997*MAX(N997,1)/R997*IF(ISBLANK(K995),1,K995),0)</f>
        <v/>
      </c>
      <c r="AB997" s="7" t="inlineStr">
        <is>
          <t>HeavyAATankCannonAG</t>
        </is>
      </c>
    </row>
    <row r="998">
      <c r="A998" t="inlineStr">
        <is>
          <t>tiberiansun</t>
        </is>
      </c>
      <c r="B998" t="inlineStr">
        <is>
          <t>forgotten_m113adats</t>
        </is>
      </c>
      <c r="C998" t="inlineStr">
        <is>
          <t>actor_forgotten_m113adats.name</t>
        </is>
      </c>
      <c r="D998" s="6" t="inlineStr">
        <is>
          <t>AntiAirVehicle</t>
        </is>
      </c>
      <c r="E998" s="6" t="n">
        <v>50000</v>
      </c>
      <c r="F998" s="6" t="n">
        <v>70</v>
      </c>
      <c r="G998" t="inlineStr">
        <is>
          <t>Medium</t>
        </is>
      </c>
      <c r="H998" s="6" t="n">
        <v>1</v>
      </c>
      <c r="I998" s="6" t="n">
        <v>1</v>
      </c>
      <c r="J998" s="6" t="n">
        <v>1</v>
      </c>
      <c r="P998">
        <f>MAX(P999,P1000,P1001,P1002)</f>
        <v/>
      </c>
      <c r="S998">
        <f>S999+S1000+S1001+S1002</f>
        <v/>
      </c>
      <c r="T998">
        <f>(E998/100000+F998/100+(P998/1000)*J998/5+S998/200)*200*I998*H998</f>
        <v/>
      </c>
      <c r="U998">
        <f>((E998*F998/25000)+((P998/1000)*J998*S998/2.5))*I998*H998</f>
        <v/>
      </c>
      <c r="V998">
        <f>(E998*F998*(P998/1000)*J998*S998*I998*H998)/12500000</f>
        <v/>
      </c>
      <c r="W998">
        <f>IFERROR((((E998/170000)+(F998/110)+(S998/1250)+((P998/6000)*J998))*1000/4+(((E998/170000)*(F998/110))+(((P998/6000)*J998)*(S998/1250)))*1000/2+((E998/170000)*(F998/110)*((P998/6000)*J998)*(S998/1250))*1000)*(H998/1.0)/3,"")</f>
        <v/>
      </c>
      <c r="X998" s="6" t="n">
        <v>950</v>
      </c>
      <c r="Y998">
        <f>IFERROR(W998-X998,"")</f>
        <v/>
      </c>
      <c r="Z998">
        <f>IFERROR(ABS(Y998)/MAX(X998,1),"")</f>
        <v/>
      </c>
      <c r="AA998">
        <f>IFERROR(ROUND(((3*X998-(((E998/170000)+(F998/110)+(S998/1250))*1000/4+((E998/170000)*(F998/110))*1000/2)*(H998/1.0))/(1000/4+((S998/1250))*1000/2+((E998/170000)*(F998/110)*(S998/1250))*1000)*(H998/1.0)*6000)/J998,-1),"")</f>
        <v/>
      </c>
    </row>
    <row r="999">
      <c r="B999" s="7" t="inlineStr">
        <is>
          <t xml:space="preserve">  ↳ TSAdatsMissile</t>
        </is>
      </c>
      <c r="C999" s="7" t="inlineStr">
        <is>
          <t>Armament@PRIMARY</t>
        </is>
      </c>
      <c r="L999" s="6" t="n">
        <v>8000</v>
      </c>
      <c r="M999" s="6" t="n">
        <v>54</v>
      </c>
      <c r="N999" s="6" t="n">
        <v>4</v>
      </c>
      <c r="O999" s="6" t="n">
        <v>2</v>
      </c>
      <c r="P999" s="6" t="n">
        <v>5606</v>
      </c>
      <c r="Q999" s="6" t="n">
        <v>0.875</v>
      </c>
      <c r="R999">
        <f>M999+IF(MAX(N999-1,0)&gt;0,IF(ISBLANK(O999),5*MAX(N999-1,0),IF(ISNUMBER(O999),O999*MAX(N999-1,0),SUM(IFERROR(VALUE(TEXTSPLIT(O999,",")),0)))),0)</f>
        <v/>
      </c>
      <c r="S999">
        <f>IFERROR(L999*MAX(N999,1)/R999*IF(ISBLANK(K998),1,K998),0)</f>
        <v/>
      </c>
      <c r="AB999" s="7" t="inlineStr">
        <is>
          <t>^Warhead_Flak_Medium, ^Warhead_MissileHE_Light</t>
        </is>
      </c>
    </row>
    <row r="1000">
      <c r="B1000" s="7" t="inlineStr">
        <is>
          <t xml:space="preserve">  ↳ TSAdatsMissile_AA</t>
        </is>
      </c>
      <c r="C1000" s="7" t="inlineStr">
        <is>
          <t>Armament@SECONDARY</t>
        </is>
      </c>
      <c r="L1000" s="6" t="n">
        <v>8000</v>
      </c>
      <c r="M1000" s="6" t="n">
        <v>54</v>
      </c>
      <c r="N1000" s="6" t="n">
        <v>4</v>
      </c>
      <c r="O1000" s="6" t="n">
        <v>2</v>
      </c>
      <c r="P1000" s="6" t="n">
        <v>8409</v>
      </c>
      <c r="Q1000" s="6" t="n">
        <v>0.875</v>
      </c>
      <c r="R1000">
        <f>M1000+IF(MAX(N1000-1,0)&gt;0,IF(ISBLANK(O1000),5*MAX(N1000-1,0),IF(ISNUMBER(O1000),O1000*MAX(N1000-1,0),SUM(IFERROR(VALUE(TEXTSPLIT(O1000,",")),0)))),0)</f>
        <v/>
      </c>
      <c r="S1000">
        <f>IFERROR(L1000*MAX(N1000,1)/R1000*IF(ISBLANK(K998),1,K998),0)</f>
        <v/>
      </c>
      <c r="AB1000" s="7" t="inlineStr">
        <is>
          <t>^Warhead_Flak_Medium, ^Warhead_MissileHE_Light</t>
        </is>
      </c>
    </row>
    <row r="1001">
      <c r="B1001" s="7" t="inlineStr">
        <is>
          <t xml:space="preserve">  ↳ TSAdatsMissile</t>
        </is>
      </c>
      <c r="C1001" s="7" t="inlineStr">
        <is>
          <t>Armament@UPGRADE</t>
        </is>
      </c>
      <c r="L1001" s="6" t="n">
        <v>8000</v>
      </c>
      <c r="M1001" s="6" t="n">
        <v>54</v>
      </c>
      <c r="N1001" s="6" t="n">
        <v>4</v>
      </c>
      <c r="O1001" s="6" t="n">
        <v>2</v>
      </c>
      <c r="P1001" s="6" t="n">
        <v>5606</v>
      </c>
      <c r="Q1001" s="6" t="n">
        <v>0.875</v>
      </c>
      <c r="R1001">
        <f>M1001+IF(MAX(N1001-1,0)&gt;0,IF(ISBLANK(O1001),5*MAX(N1001-1,0),IF(ISNUMBER(O1001),O1001*MAX(N1001-1,0),SUM(IFERROR(VALUE(TEXTSPLIT(O1001,",")),0)))),0)</f>
        <v/>
      </c>
      <c r="S1001">
        <f>IFERROR(L1001*MAX(N1001,1)/R1001*IF(ISBLANK(K998),1,K998),0)</f>
        <v/>
      </c>
      <c r="AB1001" s="7" t="inlineStr">
        <is>
          <t>^Warhead_Flak_Medium, ^Warhead_MissileHE_Light</t>
        </is>
      </c>
    </row>
    <row r="1002">
      <c r="B1002" s="7" t="inlineStr">
        <is>
          <t xml:space="preserve">  ↳ TSAdatsMissile_AA</t>
        </is>
      </c>
      <c r="C1002" s="7" t="inlineStr">
        <is>
          <t>Armament@UPGRADEAA</t>
        </is>
      </c>
      <c r="L1002" s="6" t="n">
        <v>8000</v>
      </c>
      <c r="M1002" s="6" t="n">
        <v>54</v>
      </c>
      <c r="N1002" s="6" t="n">
        <v>4</v>
      </c>
      <c r="O1002" s="6" t="n">
        <v>2</v>
      </c>
      <c r="P1002" s="6" t="n">
        <v>8409</v>
      </c>
      <c r="Q1002" s="6" t="n">
        <v>0.875</v>
      </c>
      <c r="R1002">
        <f>M1002+IF(MAX(N1002-1,0)&gt;0,IF(ISBLANK(O1002),5*MAX(N1002-1,0),IF(ISNUMBER(O1002),O1002*MAX(N1002-1,0),SUM(IFERROR(VALUE(TEXTSPLIT(O1002,",")),0)))),0)</f>
        <v/>
      </c>
      <c r="S1002">
        <f>IFERROR(L1002*MAX(N1002,1)/R1002*IF(ISBLANK(K998),1,K998),0)</f>
        <v/>
      </c>
      <c r="AB1002" s="7" t="inlineStr">
        <is>
          <t>^Warhead_Flak_Medium, ^Warhead_MissileHE_Light</t>
        </is>
      </c>
    </row>
    <row r="1003">
      <c r="A1003" t="inlineStr">
        <is>
          <t>redalert2</t>
        </is>
      </c>
      <c r="B1003" t="inlineStr">
        <is>
          <t>ra2_soviets_flaktrack</t>
        </is>
      </c>
      <c r="C1003" t="inlineStr">
        <is>
          <t>Flak Track</t>
        </is>
      </c>
      <c r="D1003" s="6" t="inlineStr">
        <is>
          <t>AntiAirVehicle</t>
        </is>
      </c>
      <c r="E1003" s="6" t="n">
        <v>45000</v>
      </c>
      <c r="F1003" s="6" t="n">
        <v>95</v>
      </c>
      <c r="G1003" t="inlineStr">
        <is>
          <t>Medium</t>
        </is>
      </c>
      <c r="H1003" s="6" t="n">
        <v>1</v>
      </c>
      <c r="I1003" s="6" t="n">
        <v>1.25</v>
      </c>
      <c r="J1003" s="6" t="n">
        <v>1</v>
      </c>
      <c r="K1003" t="n">
        <v>0.0075</v>
      </c>
      <c r="P1003">
        <f>MAX(P1004,P1005,P1006,P1007)</f>
        <v/>
      </c>
      <c r="S1003">
        <f>S1004+S1005+S1006+S1007</f>
        <v/>
      </c>
      <c r="T1003">
        <f>(E1003/100000+F1003/100+(P1003/1000)*J1003/5+S1003/200)*200*I1003*H1003</f>
        <v/>
      </c>
      <c r="U1003">
        <f>((E1003*F1003/25000)+((P1003/1000)*J1003*S1003/2.5))*I1003*H1003</f>
        <v/>
      </c>
      <c r="V1003">
        <f>(E1003*F1003*(P1003/1000)*J1003*S1003*I1003*H1003)/12500000</f>
        <v/>
      </c>
      <c r="W1003">
        <f>IFERROR((((E1003/170000)+(F1003/110)+(S1003/1250)+((P1003/6000)*J1003))*1000/4+(((E1003/170000)*(F1003/110))+(((P1003/6000)*J1003)*(S1003/1250)))*1000/2+((E1003/170000)*(F1003/110)*((P1003/6000)*J1003)*(S1003/1250))*1000)*(H1003/1.0)/3,"")</f>
        <v/>
      </c>
      <c r="X1003" s="6" t="n">
        <v>900</v>
      </c>
      <c r="Y1003">
        <f>IFERROR(W1003-X1003,"")</f>
        <v/>
      </c>
      <c r="Z1003">
        <f>IFERROR(ABS(Y1003)/MAX(X1003,1),"")</f>
        <v/>
      </c>
      <c r="AA1003">
        <f>IFERROR(ROUND(((3*X1003-(((E1003/170000)+(F1003/110)+(S1003/1250))*1000/4+((E1003/170000)*(F1003/110))*1000/2)*(H1003/1.0))/(1000/4+((S1003/1250))*1000/2+((E1003/170000)*(F1003/110)*(S1003/1250))*1000)*(H1003/1.0)*6000)/J1003,-1),"")</f>
        <v/>
      </c>
    </row>
    <row r="1004">
      <c r="B1004" s="7" t="inlineStr">
        <is>
          <t xml:space="preserve">  ↳ RA2FlakTrackAAGun</t>
        </is>
      </c>
      <c r="C1004" s="7" t="inlineStr">
        <is>
          <t>Armament@AA</t>
        </is>
      </c>
      <c r="L1004" s="6" t="n">
        <v>8000</v>
      </c>
      <c r="M1004" s="6" t="n">
        <v>25</v>
      </c>
      <c r="N1004" s="6" t="n">
        <v>1</v>
      </c>
      <c r="O1004" s="6" t="n"/>
      <c r="P1004" s="6" t="n">
        <v>8292</v>
      </c>
      <c r="Q1004" s="6" t="n">
        <v>1</v>
      </c>
      <c r="R1004">
        <f>M1004+IF(MAX(N1004-1,0)&gt;0,IF(ISBLANK(O1004),5*MAX(N1004-1,0),IF(ISNUMBER(O1004),O1004*MAX(N1004-1,0),SUM(IFERROR(VALUE(TEXTSPLIT(O1004,",")),0)))),0)</f>
        <v/>
      </c>
      <c r="S1004">
        <f>IFERROR(L1004*MAX(N1004,1)/R1004*IF(ISBLANK(K1003),1,K1003),0)</f>
        <v/>
      </c>
      <c r="AB1004" s="7" t="inlineStr">
        <is>
          <t>^Warhead_Flak_Medium</t>
        </is>
      </c>
    </row>
    <row r="1005">
      <c r="B1005" s="7" t="inlineStr">
        <is>
          <t xml:space="preserve">  ↳ RA2FlakTrackGun</t>
        </is>
      </c>
      <c r="C1005" s="7" t="inlineStr">
        <is>
          <t>Armament@AG</t>
        </is>
      </c>
      <c r="L1005" s="6" t="n">
        <v>8000</v>
      </c>
      <c r="M1005" s="6" t="n">
        <v>18</v>
      </c>
      <c r="N1005" s="6" t="n">
        <v>1</v>
      </c>
      <c r="O1005" s="6" t="n"/>
      <c r="P1005" s="6" t="n">
        <v>5528</v>
      </c>
      <c r="Q1005" s="6" t="n">
        <v>1</v>
      </c>
      <c r="R1005">
        <f>M1005+IF(MAX(N1005-1,0)&gt;0,IF(ISBLANK(O1005),5*MAX(N1005-1,0),IF(ISNUMBER(O1005),O1005*MAX(N1005-1,0),SUM(IFERROR(VALUE(TEXTSPLIT(O1005,",")),0)))),0)</f>
        <v/>
      </c>
      <c r="S1005">
        <f>IFERROR(L1005*MAX(N1005,1)/R1005*IF(ISBLANK(K1003),1,K1003),0)</f>
        <v/>
      </c>
      <c r="AB1005" s="7" t="inlineStr">
        <is>
          <t>^Warhead_Flak_Medium</t>
        </is>
      </c>
    </row>
    <row r="1006">
      <c r="B1006" s="7" t="inlineStr">
        <is>
          <t xml:space="preserve">  ↳ RA2FlakTrackAAGun_elite</t>
        </is>
      </c>
      <c r="C1006" s="7" t="inlineStr">
        <is>
          <t>Armament@AAE</t>
        </is>
      </c>
      <c r="L1006" s="6" t="n">
        <v>8000</v>
      </c>
      <c r="M1006" s="6" t="n">
        <v>25</v>
      </c>
      <c r="N1006" s="6" t="n">
        <v>2</v>
      </c>
      <c r="O1006" s="6" t="n">
        <v>3</v>
      </c>
      <c r="P1006" s="6" t="n">
        <v>9292</v>
      </c>
      <c r="Q1006" s="6" t="n">
        <v>1</v>
      </c>
      <c r="R1006">
        <f>M1006+IF(MAX(N1006-1,0)&gt;0,IF(ISBLANK(O1006),5*MAX(N1006-1,0),IF(ISNUMBER(O1006),O1006*MAX(N1006-1,0),SUM(IFERROR(VALUE(TEXTSPLIT(O1006,",")),0)))),0)</f>
        <v/>
      </c>
      <c r="S1006">
        <f>IFERROR(L1006*MAX(N1006,1)/R1006*IF(ISBLANK(K1003),1,K1003),0)</f>
        <v/>
      </c>
      <c r="AB1006" s="7" t="inlineStr">
        <is>
          <t>^Warhead_Flak_Medium</t>
        </is>
      </c>
    </row>
    <row r="1007">
      <c r="B1007" s="7" t="inlineStr">
        <is>
          <t xml:space="preserve">  ↳ RA2FlakTrackGun_elite</t>
        </is>
      </c>
      <c r="C1007" s="7" t="inlineStr">
        <is>
          <t>Armament@AGE</t>
        </is>
      </c>
      <c r="L1007" s="6" t="n">
        <v>8000</v>
      </c>
      <c r="M1007" s="6" t="n">
        <v>18</v>
      </c>
      <c r="N1007" s="6" t="n">
        <v>2</v>
      </c>
      <c r="O1007" s="6" t="n">
        <v>3</v>
      </c>
      <c r="P1007" s="6" t="n">
        <v>6528</v>
      </c>
      <c r="Q1007" s="6" t="n">
        <v>1</v>
      </c>
      <c r="R1007">
        <f>M1007+IF(MAX(N1007-1,0)&gt;0,IF(ISBLANK(O1007),5*MAX(N1007-1,0),IF(ISNUMBER(O1007),O1007*MAX(N1007-1,0),SUM(IFERROR(VALUE(TEXTSPLIT(O1007,",")),0)))),0)</f>
        <v/>
      </c>
      <c r="S1007">
        <f>IFERROR(L1007*MAX(N1007,1)/R1007*IF(ISBLANK(K1003),1,K1003),0)</f>
        <v/>
      </c>
      <c r="AB1007" s="7" t="inlineStr">
        <is>
          <t>^Warhead_Flak_Medium</t>
        </is>
      </c>
    </row>
    <row r="1008">
      <c r="A1008" t="inlineStr">
        <is>
          <t>redalert2</t>
        </is>
      </c>
      <c r="B1008" t="inlineStr">
        <is>
          <t>yuri_gatlingtank</t>
        </is>
      </c>
      <c r="C1008" t="inlineStr">
        <is>
          <t>Yuri Gatling Tank</t>
        </is>
      </c>
      <c r="D1008" s="6" t="inlineStr">
        <is>
          <t>AntiAirVehicle</t>
        </is>
      </c>
      <c r="E1008" s="6" t="n">
        <v>45000</v>
      </c>
      <c r="F1008" s="6" t="n">
        <v>90</v>
      </c>
      <c r="G1008" t="inlineStr">
        <is>
          <t>Medium</t>
        </is>
      </c>
      <c r="H1008" s="6" t="n">
        <v>1</v>
      </c>
      <c r="I1008" s="6" t="n">
        <v>1</v>
      </c>
      <c r="J1008" s="6" t="n">
        <v>1.25</v>
      </c>
      <c r="K1008" t="n">
        <v>0.0075</v>
      </c>
      <c r="P1008">
        <f>MAX(P1009,P1010,P1011,P1012,P1013,P1014)</f>
        <v/>
      </c>
      <c r="S1008">
        <f>S1009+S1010+S1011+S1012+S1013+S1014</f>
        <v/>
      </c>
      <c r="T1008">
        <f>(E1008/100000+F1008/100+(P1008/1000)*J1008/5+S1008/200)*200*I1008*H1008</f>
        <v/>
      </c>
      <c r="U1008">
        <f>((E1008*F1008/25000)+((P1008/1000)*J1008*S1008/2.5))*I1008*H1008</f>
        <v/>
      </c>
      <c r="V1008">
        <f>(E1008*F1008*(P1008/1000)*J1008*S1008*I1008*H1008)/12500000</f>
        <v/>
      </c>
      <c r="W1008">
        <f>IFERROR((((E1008/170000)+(F1008/110)+(S1008/1250)+((P1008/6000)*J1008))*1000/4+(((E1008/170000)*(F1008/110))+(((P1008/6000)*J1008)*(S1008/1250)))*1000/2+((E1008/170000)*(F1008/110)*((P1008/6000)*J1008)*(S1008/1250))*1000)*(H1008/1.0)/3,"")</f>
        <v/>
      </c>
      <c r="X1008" s="6" t="n">
        <v>1100</v>
      </c>
      <c r="Y1008">
        <f>IFERROR(W1008-X1008,"")</f>
        <v/>
      </c>
      <c r="Z1008">
        <f>IFERROR(ABS(Y1008)/MAX(X1008,1),"")</f>
        <v/>
      </c>
      <c r="AA1008">
        <f>IFERROR(ROUND(((3*X1008-(((E1008/170000)+(F1008/110)+(S1008/1250))*1000/4+((E1008/170000)*(F1008/110))*1000/2)*(H1008/1.0))/(1000/4+((S1008/1250))*1000/2+((E1008/170000)*(F1008/110)*(S1008/1250))*1000)*(H1008/1.0)*6000)/J1008,-1),"")</f>
        <v/>
      </c>
    </row>
    <row r="1009">
      <c r="B1009" s="7" t="inlineStr">
        <is>
          <t xml:space="preserve">  ↳ RA2GattlingMG1</t>
        </is>
      </c>
      <c r="C1009" s="7" t="inlineStr">
        <is>
          <t>Armament@1</t>
        </is>
      </c>
      <c r="L1009" s="6" t="n">
        <v>4000</v>
      </c>
      <c r="M1009" s="6" t="n">
        <v>6</v>
      </c>
      <c r="N1009" s="6" t="n">
        <v>1</v>
      </c>
      <c r="O1009" s="6" t="n"/>
      <c r="P1009" s="6" t="n">
        <v>5000</v>
      </c>
      <c r="Q1009" s="6" t="n">
        <v>0.875</v>
      </c>
      <c r="R1009">
        <f>M1009+IF(MAX(N1009-1,0)&gt;0,IF(ISBLANK(O1009),5*MAX(N1009-1,0),IF(ISNUMBER(O1009),O1009*MAX(N1009-1,0),SUM(IFERROR(VALUE(TEXTSPLIT(O1009,",")),0)))),0)</f>
        <v/>
      </c>
      <c r="S1009">
        <f>IFERROR(L1009*MAX(N1009,1)/R1009*IF(ISBLANK(K1008),1,K1008),0)</f>
        <v/>
      </c>
      <c r="AB1009" s="7" t="inlineStr">
        <is>
          <t>^Warhead_Bullet_Light, ^Warhead_Bullet_Medium</t>
        </is>
      </c>
    </row>
    <row r="1010">
      <c r="B1010" s="7" t="inlineStr">
        <is>
          <t xml:space="preserve">  ↳ RA2GattlingMG2</t>
        </is>
      </c>
      <c r="C1010" s="7" t="inlineStr">
        <is>
          <t>Armament@2</t>
        </is>
      </c>
      <c r="L1010" s="6" t="n">
        <v>4000</v>
      </c>
      <c r="M1010" s="6" t="n">
        <v>4</v>
      </c>
      <c r="N1010" s="6" t="n">
        <v>1</v>
      </c>
      <c r="O1010" s="6" t="n"/>
      <c r="P1010" s="6" t="n">
        <v>5250</v>
      </c>
      <c r="Q1010" s="6" t="n">
        <v>0.875</v>
      </c>
      <c r="R1010">
        <f>M1010+IF(MAX(N1010-1,0)&gt;0,IF(ISBLANK(O1010),5*MAX(N1010-1,0),IF(ISNUMBER(O1010),O1010*MAX(N1010-1,0),SUM(IFERROR(VALUE(TEXTSPLIT(O1010,",")),0)))),0)</f>
        <v/>
      </c>
      <c r="S1010">
        <f>IFERROR(L1010*MAX(N1010,1)/R1010*IF(ISBLANK(K1008),1,K1008),0)</f>
        <v/>
      </c>
      <c r="AB1010" s="7" t="inlineStr">
        <is>
          <t>^Warhead_Bullet_Light, ^Warhead_Bullet_Medium</t>
        </is>
      </c>
    </row>
    <row r="1011">
      <c r="B1011" s="7" t="inlineStr">
        <is>
          <t xml:space="preserve">  ↳ RA2GattlingMG3</t>
        </is>
      </c>
      <c r="C1011" s="7" t="inlineStr">
        <is>
          <t>Armament@3</t>
        </is>
      </c>
      <c r="L1011" s="6" t="n">
        <v>4000</v>
      </c>
      <c r="M1011" s="6" t="n">
        <v>2</v>
      </c>
      <c r="N1011" s="6" t="n">
        <v>1</v>
      </c>
      <c r="O1011" s="6" t="n"/>
      <c r="P1011" s="6" t="n">
        <v>5500</v>
      </c>
      <c r="Q1011" s="6" t="n">
        <v>0.875</v>
      </c>
      <c r="R1011">
        <f>M1011+IF(MAX(N1011-1,0)&gt;0,IF(ISBLANK(O1011),5*MAX(N1011-1,0),IF(ISNUMBER(O1011),O1011*MAX(N1011-1,0),SUM(IFERROR(VALUE(TEXTSPLIT(O1011,",")),0)))),0)</f>
        <v/>
      </c>
      <c r="S1011">
        <f>IFERROR(L1011*MAX(N1011,1)/R1011*IF(ISBLANK(K1008),1,K1008),0)</f>
        <v/>
      </c>
      <c r="AB1011" s="7" t="inlineStr">
        <is>
          <t>^Warhead_Bullet_Light, ^Warhead_Bullet_Medium</t>
        </is>
      </c>
    </row>
    <row r="1012">
      <c r="B1012" s="7" t="inlineStr">
        <is>
          <t xml:space="preserve">  ↳ RA2GattlingMG1_AA</t>
        </is>
      </c>
      <c r="C1012" s="7" t="inlineStr">
        <is>
          <t>Armament@1AA</t>
        </is>
      </c>
      <c r="L1012" s="6" t="n">
        <v>8000</v>
      </c>
      <c r="M1012" s="6" t="n">
        <v>6</v>
      </c>
      <c r="N1012" s="6" t="n">
        <v>1</v>
      </c>
      <c r="O1012" s="6" t="n"/>
      <c r="P1012" s="6" t="n">
        <v>6750</v>
      </c>
      <c r="Q1012" s="6" t="n">
        <v>0.875</v>
      </c>
      <c r="R1012">
        <f>M1012+IF(MAX(N1012-1,0)&gt;0,IF(ISBLANK(O1012),5*MAX(N1012-1,0),IF(ISNUMBER(O1012),O1012*MAX(N1012-1,0),SUM(IFERROR(VALUE(TEXTSPLIT(O1012,",")),0)))),0)</f>
        <v/>
      </c>
      <c r="S1012">
        <f>IFERROR(L1012*MAX(N1012,1)/R1012*IF(ISBLANK(K1008),1,K1008),0)</f>
        <v/>
      </c>
      <c r="AB1012" s="7" t="inlineStr">
        <is>
          <t>^Warhead_Bullet_Light, ^Warhead_Bullet_Medium</t>
        </is>
      </c>
    </row>
    <row r="1013">
      <c r="B1013" s="7" t="inlineStr">
        <is>
          <t xml:space="preserve">  ↳ RA2GattlingMG2_AA</t>
        </is>
      </c>
      <c r="C1013" s="7" t="inlineStr">
        <is>
          <t>Armament@2AA</t>
        </is>
      </c>
      <c r="L1013" s="6" t="n">
        <v>8000</v>
      </c>
      <c r="M1013" s="6" t="n">
        <v>4</v>
      </c>
      <c r="N1013" s="6" t="n">
        <v>1</v>
      </c>
      <c r="O1013" s="6" t="n"/>
      <c r="P1013" s="6" t="n">
        <v>7500</v>
      </c>
      <c r="Q1013" s="6" t="n">
        <v>0.875</v>
      </c>
      <c r="R1013">
        <f>M1013+IF(MAX(N1013-1,0)&gt;0,IF(ISBLANK(O1013),5*MAX(N1013-1,0),IF(ISNUMBER(O1013),O1013*MAX(N1013-1,0),SUM(IFERROR(VALUE(TEXTSPLIT(O1013,",")),0)))),0)</f>
        <v/>
      </c>
      <c r="S1013">
        <f>IFERROR(L1013*MAX(N1013,1)/R1013*IF(ISBLANK(K1008),1,K1008),0)</f>
        <v/>
      </c>
      <c r="AB1013" s="7" t="inlineStr">
        <is>
          <t>^Warhead_Bullet_Light, ^Warhead_Bullet_Medium</t>
        </is>
      </c>
    </row>
    <row r="1014">
      <c r="B1014" s="7" t="inlineStr">
        <is>
          <t xml:space="preserve">  ↳ RA2GattlingMG3_AA</t>
        </is>
      </c>
      <c r="C1014" s="7" t="inlineStr">
        <is>
          <t>Armament@3AA</t>
        </is>
      </c>
      <c r="L1014" s="6" t="n">
        <v>8000</v>
      </c>
      <c r="M1014" s="6" t="n">
        <v>2</v>
      </c>
      <c r="N1014" s="6" t="n">
        <v>1</v>
      </c>
      <c r="O1014" s="6" t="n"/>
      <c r="P1014" s="6" t="n">
        <v>8250</v>
      </c>
      <c r="Q1014" s="6" t="n">
        <v>0.875</v>
      </c>
      <c r="R1014">
        <f>M1014+IF(MAX(N1014-1,0)&gt;0,IF(ISBLANK(O1014),5*MAX(N1014-1,0),IF(ISNUMBER(O1014),O1014*MAX(N1014-1,0),SUM(IFERROR(VALUE(TEXTSPLIT(O1014,",")),0)))),0)</f>
        <v/>
      </c>
      <c r="S1014">
        <f>IFERROR(L1014*MAX(N1014,1)/R1014*IF(ISBLANK(K1008),1,K1008),0)</f>
        <v/>
      </c>
      <c r="AB1014" s="7" t="inlineStr">
        <is>
          <t>^Warhead_Bullet_Light, ^Warhead_Bullet_Medium</t>
        </is>
      </c>
    </row>
    <row r="1015">
      <c r="A1015" t="inlineStr">
        <is>
          <t>redalert2mod</t>
        </is>
      </c>
      <c r="B1015" t="inlineStr">
        <is>
          <t>asianalliance_pulverizer</t>
        </is>
      </c>
      <c r="C1015" t="inlineStr">
        <is>
          <t>Pulverizer</t>
        </is>
      </c>
      <c r="D1015" s="6" t="inlineStr">
        <is>
          <t>AntiAirVehicle</t>
        </is>
      </c>
      <c r="E1015" s="6" t="n">
        <v>85000</v>
      </c>
      <c r="F1015" s="6" t="n">
        <v>65</v>
      </c>
      <c r="G1015" t="inlineStr">
        <is>
          <t>Medium</t>
        </is>
      </c>
      <c r="H1015" s="6" t="n">
        <v>1</v>
      </c>
      <c r="I1015" s="6" t="n">
        <v>1</v>
      </c>
      <c r="J1015" s="6" t="n">
        <v>1.25</v>
      </c>
      <c r="P1015">
        <f>MAX(P1016,P1017)</f>
        <v/>
      </c>
      <c r="S1015">
        <f>S1016+S1017</f>
        <v/>
      </c>
      <c r="T1015">
        <f>(E1015/100000+F1015/100+(P1015/1000)*J1015/5+S1015/200)*200*I1015*H1015</f>
        <v/>
      </c>
      <c r="U1015">
        <f>((E1015*F1015/25000)+((P1015/1000)*J1015*S1015/2.5))*I1015*H1015</f>
        <v/>
      </c>
      <c r="V1015">
        <f>(E1015*F1015*(P1015/1000)*J1015*S1015*I1015*H1015)/12500000</f>
        <v/>
      </c>
      <c r="W1015">
        <f>IFERROR((((E1015/170000)+(F1015/110)+(S1015/1250)+((P1015/6000)*J1015))*1000/4+(((E1015/170000)*(F1015/110))+(((P1015/6000)*J1015)*(S1015/1250)))*1000/2+((E1015/170000)*(F1015/110)*((P1015/6000)*J1015)*(S1015/1250))*1000)*(H1015/1.0)/3,"")</f>
        <v/>
      </c>
      <c r="X1015" s="6" t="n">
        <v>1400</v>
      </c>
      <c r="Y1015">
        <f>IFERROR(W1015-X1015,"")</f>
        <v/>
      </c>
      <c r="Z1015">
        <f>IFERROR(ABS(Y1015)/MAX(X1015,1),"")</f>
        <v/>
      </c>
      <c r="AA1015">
        <f>IFERROR(ROUND(((3*X1015-(((E1015/170000)+(F1015/110)+(S1015/1250))*1000/4+((E1015/170000)*(F1015/110))*1000/2)*(H1015/1.0))/(1000/4+((S1015/1250))*1000/2+((E1015/170000)*(F1015/110)*(S1015/1250))*1000)*(H1015/1.0)*6000)/J1015,-1),"")</f>
        <v/>
      </c>
    </row>
    <row r="1016">
      <c r="B1016" s="7" t="inlineStr">
        <is>
          <t xml:space="preserve">  ↳ AsianPulverizerGatling</t>
        </is>
      </c>
      <c r="C1016" s="7" t="inlineStr">
        <is>
          <t>Armament@1</t>
        </is>
      </c>
      <c r="L1016" s="6" t="n">
        <v>6000</v>
      </c>
      <c r="M1016" s="6" t="n">
        <v>12</v>
      </c>
      <c r="N1016" s="6" t="n">
        <v>1</v>
      </c>
      <c r="O1016" s="6" t="n"/>
      <c r="P1016" s="6" t="n">
        <v>5517</v>
      </c>
      <c r="Q1016" s="6" t="n">
        <v>1</v>
      </c>
      <c r="R1016">
        <f>M1016+IF(MAX(N1016-1,0)&gt;0,IF(ISBLANK(O1016),5*MAX(N1016-1,0),IF(ISNUMBER(O1016),O1016*MAX(N1016-1,0),SUM(IFERROR(VALUE(TEXTSPLIT(O1016,",")),0)))),0)</f>
        <v/>
      </c>
      <c r="S1016">
        <f>IFERROR(L1016*MAX(N1016,1)/R1016*IF(ISBLANK(K1015),1,K1015),0)</f>
        <v/>
      </c>
      <c r="AB1016" s="7" t="inlineStr">
        <is>
          <t>^Warhead_Bullet_Light, ^Warhead_CannonHE_Heavy, ^Warhead_Bullet_Medium</t>
        </is>
      </c>
    </row>
    <row r="1017">
      <c r="B1017" s="7" t="inlineStr">
        <is>
          <t xml:space="preserve">  ↳ AsianPulverizerGatling</t>
        </is>
      </c>
      <c r="C1017" s="7" t="inlineStr">
        <is>
          <t>Armament@2</t>
        </is>
      </c>
      <c r="L1017" s="6" t="n">
        <v>6000</v>
      </c>
      <c r="M1017" s="6" t="n">
        <v>12</v>
      </c>
      <c r="N1017" s="6" t="n">
        <v>1</v>
      </c>
      <c r="O1017" s="6" t="n"/>
      <c r="P1017" s="6" t="n">
        <v>5517</v>
      </c>
      <c r="Q1017" s="6" t="n">
        <v>1</v>
      </c>
      <c r="R1017">
        <f>M1017+IF(MAX(N1017-1,0)&gt;0,IF(ISBLANK(O1017),5*MAX(N1017-1,0),IF(ISNUMBER(O1017),O1017*MAX(N1017-1,0),SUM(IFERROR(VALUE(TEXTSPLIT(O1017,",")),0)))),0)</f>
        <v/>
      </c>
      <c r="S1017">
        <f>IFERROR(L1017*MAX(N1017,1)/R1017*IF(ISBLANK(K1015),1,K1015),0)</f>
        <v/>
      </c>
      <c r="AB1017" s="7" t="inlineStr">
        <is>
          <t>^Warhead_Bullet_Light, ^Warhead_CannonHE_Heavy, ^Warhead_Bullet_Medium</t>
        </is>
      </c>
    </row>
    <row r="1018">
      <c r="A1018" t="inlineStr">
        <is>
          <t>redalert2mod</t>
        </is>
      </c>
      <c r="B1018" t="inlineStr">
        <is>
          <t>steelconsortium_barracuda</t>
        </is>
      </c>
      <c r="C1018" t="inlineStr">
        <is>
          <t>Barracuda</t>
        </is>
      </c>
      <c r="D1018" s="6" t="inlineStr">
        <is>
          <t>AntiAirVehicle</t>
        </is>
      </c>
      <c r="E1018" s="6" t="n">
        <v>40000</v>
      </c>
      <c r="F1018" s="6" t="n">
        <v>80</v>
      </c>
      <c r="G1018" t="inlineStr">
        <is>
          <t>Medium</t>
        </is>
      </c>
      <c r="H1018" s="6" t="n">
        <v>1</v>
      </c>
      <c r="I1018" s="6" t="n">
        <v>1</v>
      </c>
      <c r="J1018" s="6" t="n">
        <v>1</v>
      </c>
      <c r="K1018" t="n">
        <v>0.005</v>
      </c>
      <c r="P1018">
        <f>MAX(P1019,P1020,P1021,P1022,P1023,P1024,P1025,P1026)</f>
        <v/>
      </c>
      <c r="S1018">
        <f>S1019+S1020+S1021+S1022+S1023+S1024+S1025+S1026</f>
        <v/>
      </c>
      <c r="T1018">
        <f>(E1018/100000+F1018/100+(P1018/1000)*J1018/5+S1018/200)*200*I1018*H1018</f>
        <v/>
      </c>
      <c r="U1018">
        <f>((E1018*F1018/25000)+((P1018/1000)*J1018*S1018/2.5))*I1018*H1018</f>
        <v/>
      </c>
      <c r="V1018">
        <f>(E1018*F1018*(P1018/1000)*J1018*S1018*I1018*H1018)/12500000</f>
        <v/>
      </c>
      <c r="W1018">
        <f>IFERROR((((E1018/170000)+(F1018/110)+(S1018/1250)+((P1018/6000)*J1018))*1000/4+(((E1018/170000)*(F1018/110))+(((P1018/6000)*J1018)*(S1018/1250)))*1000/2+((E1018/170000)*(F1018/110)*((P1018/6000)*J1018)*(S1018/1250))*1000)*(H1018/1.0)/3,"")</f>
        <v/>
      </c>
      <c r="X1018" s="6" t="n">
        <v>1100</v>
      </c>
      <c r="Y1018">
        <f>IFERROR(W1018-X1018,"")</f>
        <v/>
      </c>
      <c r="Z1018">
        <f>IFERROR(ABS(Y1018)/MAX(X1018,1),"")</f>
        <v/>
      </c>
      <c r="AA1018">
        <f>IFERROR(ROUND(((3*X1018-(((E1018/170000)+(F1018/110)+(S1018/1250))*1000/4+((E1018/170000)*(F1018/110))*1000/2)*(H1018/1.0))/(1000/4+((S1018/1250))*1000/2+((E1018/170000)*(F1018/110)*(S1018/1250))*1000)*(H1018/1.0)*6000)/J1018,-1),"")</f>
        <v/>
      </c>
    </row>
    <row r="1019">
      <c r="B1019" s="7" t="inlineStr">
        <is>
          <t xml:space="preserve">  ↳ SteelMantaHunterCannons</t>
        </is>
      </c>
      <c r="C1019" s="7" t="inlineStr">
        <is>
          <t>Armament@AG1</t>
        </is>
      </c>
      <c r="L1019" s="6" t="n">
        <v>4000</v>
      </c>
      <c r="M1019" s="6" t="n">
        <v>8</v>
      </c>
      <c r="N1019" s="6" t="n">
        <v>1</v>
      </c>
      <c r="O1019" s="6" t="n"/>
      <c r="P1019" s="6" t="n">
        <v>8000</v>
      </c>
      <c r="Q1019" s="6" t="n">
        <v>1</v>
      </c>
      <c r="R1019">
        <f>M1019+IF(MAX(N1019-1,0)&gt;0,IF(ISBLANK(O1019),5*MAX(N1019-1,0),IF(ISNUMBER(O1019),O1019*MAX(N1019-1,0),SUM(IFERROR(VALUE(TEXTSPLIT(O1019,",")),0)))),0)</f>
        <v/>
      </c>
      <c r="S1019">
        <f>IFERROR(L1019*MAX(N1019,1)/R1019*IF(ISBLANK(K1018),1,K1018),0)</f>
        <v/>
      </c>
      <c r="AB1019" s="7" t="inlineStr">
        <is>
          <t>^Warhead_Flak_Medium, ^Warhead_Bullet_Medium</t>
        </is>
      </c>
    </row>
    <row r="1020">
      <c r="B1020" s="7" t="inlineStr">
        <is>
          <t xml:space="preserve">  ↳ SteelMantaHunterCannons</t>
        </is>
      </c>
      <c r="C1020" s="7" t="inlineStr">
        <is>
          <t>Armament@AG2</t>
        </is>
      </c>
      <c r="L1020" s="6" t="n">
        <v>4000</v>
      </c>
      <c r="M1020" s="6" t="n">
        <v>8</v>
      </c>
      <c r="N1020" s="6" t="n">
        <v>1</v>
      </c>
      <c r="O1020" s="6" t="n"/>
      <c r="P1020" s="6" t="n">
        <v>8000</v>
      </c>
      <c r="Q1020" s="6" t="n">
        <v>1</v>
      </c>
      <c r="R1020">
        <f>M1020+IF(MAX(N1020-1,0)&gt;0,IF(ISBLANK(O1020),5*MAX(N1020-1,0),IF(ISNUMBER(O1020),O1020*MAX(N1020-1,0),SUM(IFERROR(VALUE(TEXTSPLIT(O1020,",")),0)))),0)</f>
        <v/>
      </c>
      <c r="S1020">
        <f>IFERROR(L1020*MAX(N1020,1)/R1020*IF(ISBLANK(K1018),1,K1018),0)</f>
        <v/>
      </c>
      <c r="AB1020" s="7" t="inlineStr">
        <is>
          <t>^Warhead_Flak_Medium, ^Warhead_Bullet_Medium</t>
        </is>
      </c>
    </row>
    <row r="1021">
      <c r="B1021" s="7" t="inlineStr">
        <is>
          <t xml:space="preserve">  ↳ SteelMantaHunterCannons_AA</t>
        </is>
      </c>
      <c r="C1021" s="7" t="inlineStr">
        <is>
          <t>Armament@AA1</t>
        </is>
      </c>
      <c r="L1021" s="6" t="n">
        <v>6000</v>
      </c>
      <c r="M1021" s="6" t="n">
        <v>12</v>
      </c>
      <c r="N1021" s="6" t="n">
        <v>1</v>
      </c>
      <c r="O1021" s="6" t="n"/>
      <c r="P1021" s="6" t="n">
        <v>12000</v>
      </c>
      <c r="Q1021" s="6" t="n">
        <v>1</v>
      </c>
      <c r="R1021">
        <f>M1021+IF(MAX(N1021-1,0)&gt;0,IF(ISBLANK(O1021),5*MAX(N1021-1,0),IF(ISNUMBER(O1021),O1021*MAX(N1021-1,0),SUM(IFERROR(VALUE(TEXTSPLIT(O1021,",")),0)))),0)</f>
        <v/>
      </c>
      <c r="S1021">
        <f>IFERROR(L1021*MAX(N1021,1)/R1021*IF(ISBLANK(K1018),1,K1018),0)</f>
        <v/>
      </c>
      <c r="AB1021" s="7" t="inlineStr">
        <is>
          <t>^Warhead_MissileAP_Medium, ^Warhead_Flak_Medium, ^Warhead_Bullet_Medium</t>
        </is>
      </c>
    </row>
    <row r="1022">
      <c r="B1022" s="7" t="inlineStr">
        <is>
          <t xml:space="preserve">  ↳ SteelMantaHunterCannons_AA</t>
        </is>
      </c>
      <c r="C1022" s="7" t="inlineStr">
        <is>
          <t>Armament@AA2</t>
        </is>
      </c>
      <c r="L1022" s="6" t="n">
        <v>6000</v>
      </c>
      <c r="M1022" s="6" t="n">
        <v>12</v>
      </c>
      <c r="N1022" s="6" t="n">
        <v>1</v>
      </c>
      <c r="O1022" s="6" t="n"/>
      <c r="P1022" s="6" t="n">
        <v>12000</v>
      </c>
      <c r="Q1022" s="6" t="n">
        <v>1</v>
      </c>
      <c r="R1022">
        <f>M1022+IF(MAX(N1022-1,0)&gt;0,IF(ISBLANK(O1022),5*MAX(N1022-1,0),IF(ISNUMBER(O1022),O1022*MAX(N1022-1,0),SUM(IFERROR(VALUE(TEXTSPLIT(O1022,",")),0)))),0)</f>
        <v/>
      </c>
      <c r="S1022">
        <f>IFERROR(L1022*MAX(N1022,1)/R1022*IF(ISBLANK(K1018),1,K1018),0)</f>
        <v/>
      </c>
      <c r="AB1022" s="7" t="inlineStr">
        <is>
          <t>^Warhead_MissileAP_Medium, ^Warhead_Flak_Medium, ^Warhead_Bullet_Medium</t>
        </is>
      </c>
    </row>
    <row r="1023">
      <c r="B1023" s="7" t="inlineStr">
        <is>
          <t xml:space="preserve">  ↳ SteelMantaHunterCannonsResonance</t>
        </is>
      </c>
      <c r="C1023" s="7" t="inlineStr">
        <is>
          <t>Armament@UpgradeAG1</t>
        </is>
      </c>
      <c r="L1023" s="6" t="n">
        <v>4000</v>
      </c>
      <c r="M1023" s="6" t="n">
        <v>8</v>
      </c>
      <c r="N1023" s="6" t="n">
        <v>1</v>
      </c>
      <c r="O1023" s="6" t="n"/>
      <c r="P1023" s="6" t="n">
        <v>8000</v>
      </c>
      <c r="Q1023" s="6" t="n">
        <v>1</v>
      </c>
      <c r="R1023">
        <f>M1023+IF(MAX(N1023-1,0)&gt;0,IF(ISBLANK(O1023),5*MAX(N1023-1,0),IF(ISNUMBER(O1023),O1023*MAX(N1023-1,0),SUM(IFERROR(VALUE(TEXTSPLIT(O1023,",")),0)))),0)</f>
        <v/>
      </c>
      <c r="S1023">
        <f>IFERROR(L1023*MAX(N1023,1)/R1023*IF(ISBLANK(K1018),1,K1018),0)</f>
        <v/>
      </c>
      <c r="AB1023" s="7" t="inlineStr">
        <is>
          <t>^Warhead_Flak_Medium, ^Warhead_Bullet_Medium</t>
        </is>
      </c>
    </row>
    <row r="1024">
      <c r="B1024" s="7" t="inlineStr">
        <is>
          <t xml:space="preserve">  ↳ SteelMantaHunterCannonsResonance</t>
        </is>
      </c>
      <c r="C1024" s="7" t="inlineStr">
        <is>
          <t>Armament@UpgradeAG2</t>
        </is>
      </c>
      <c r="L1024" s="6" t="n">
        <v>4000</v>
      </c>
      <c r="M1024" s="6" t="n">
        <v>8</v>
      </c>
      <c r="N1024" s="6" t="n">
        <v>1</v>
      </c>
      <c r="O1024" s="6" t="n"/>
      <c r="P1024" s="6" t="n">
        <v>8000</v>
      </c>
      <c r="Q1024" s="6" t="n">
        <v>1</v>
      </c>
      <c r="R1024">
        <f>M1024+IF(MAX(N1024-1,0)&gt;0,IF(ISBLANK(O1024),5*MAX(N1024-1,0),IF(ISNUMBER(O1024),O1024*MAX(N1024-1,0),SUM(IFERROR(VALUE(TEXTSPLIT(O1024,",")),0)))),0)</f>
        <v/>
      </c>
      <c r="S1024">
        <f>IFERROR(L1024*MAX(N1024,1)/R1024*IF(ISBLANK(K1018),1,K1018),0)</f>
        <v/>
      </c>
      <c r="AB1024" s="7" t="inlineStr">
        <is>
          <t>^Warhead_Flak_Medium, ^Warhead_Bullet_Medium</t>
        </is>
      </c>
    </row>
    <row r="1025">
      <c r="B1025" s="7" t="inlineStr">
        <is>
          <t xml:space="preserve">  ↳ SteelMantaHunterCannonsAAResonance_AA</t>
        </is>
      </c>
      <c r="C1025" s="7" t="inlineStr">
        <is>
          <t>Armament@UpgradeAA1</t>
        </is>
      </c>
      <c r="L1025" s="6" t="n">
        <v>6000</v>
      </c>
      <c r="M1025" s="6" t="n">
        <v>12</v>
      </c>
      <c r="N1025" s="6" t="n">
        <v>1</v>
      </c>
      <c r="O1025" s="6" t="n"/>
      <c r="P1025" s="6" t="n">
        <v>12000</v>
      </c>
      <c r="Q1025" s="6" t="n">
        <v>1</v>
      </c>
      <c r="R1025">
        <f>M1025+IF(MAX(N1025-1,0)&gt;0,IF(ISBLANK(O1025),5*MAX(N1025-1,0),IF(ISNUMBER(O1025),O1025*MAX(N1025-1,0),SUM(IFERROR(VALUE(TEXTSPLIT(O1025,",")),0)))),0)</f>
        <v/>
      </c>
      <c r="S1025">
        <f>IFERROR(L1025*MAX(N1025,1)/R1025*IF(ISBLANK(K1018),1,K1018),0)</f>
        <v/>
      </c>
      <c r="AB1025" s="7" t="inlineStr">
        <is>
          <t>^Warhead_MissileAP_Medium, ^Warhead_Flak_Medium, ^Warhead_Bullet_Medium</t>
        </is>
      </c>
    </row>
    <row r="1026">
      <c r="B1026" s="7" t="inlineStr">
        <is>
          <t xml:space="preserve">  ↳ SteelMantaHunterCannonsAAResonance_AA</t>
        </is>
      </c>
      <c r="C1026" s="7" t="inlineStr">
        <is>
          <t>Armament@UpgradeAA2</t>
        </is>
      </c>
      <c r="L1026" s="6" t="n">
        <v>6000</v>
      </c>
      <c r="M1026" s="6" t="n">
        <v>12</v>
      </c>
      <c r="N1026" s="6" t="n">
        <v>1</v>
      </c>
      <c r="O1026" s="6" t="n"/>
      <c r="P1026" s="6" t="n">
        <v>12000</v>
      </c>
      <c r="Q1026" s="6" t="n">
        <v>1</v>
      </c>
      <c r="R1026">
        <f>M1026+IF(MAX(N1026-1,0)&gt;0,IF(ISBLANK(O1026),5*MAX(N1026-1,0),IF(ISNUMBER(O1026),O1026*MAX(N1026-1,0),SUM(IFERROR(VALUE(TEXTSPLIT(O1026,",")),0)))),0)</f>
        <v/>
      </c>
      <c r="S1026">
        <f>IFERROR(L1026*MAX(N1026,1)/R1026*IF(ISBLANK(K1018),1,K1018),0)</f>
        <v/>
      </c>
      <c r="AB1026" s="7" t="inlineStr">
        <is>
          <t>^Warhead_MissileAP_Medium, ^Warhead_Flak_Medium, ^Warhead_Bullet_Medium</t>
        </is>
      </c>
    </row>
    <row r="1027">
      <c r="A1027" t="inlineStr">
        <is>
          <t>redalert2mod</t>
        </is>
      </c>
      <c r="B1027" t="inlineStr">
        <is>
          <t>latinsyndicate_diablo</t>
        </is>
      </c>
      <c r="C1027" t="inlineStr">
        <is>
          <t>Diablo</t>
        </is>
      </c>
      <c r="D1027" s="6" t="inlineStr">
        <is>
          <t>AntiAirVehicle</t>
        </is>
      </c>
      <c r="E1027" s="6" t="n">
        <v>45000</v>
      </c>
      <c r="F1027" s="6" t="n">
        <v>125</v>
      </c>
      <c r="G1027" t="inlineStr">
        <is>
          <t>Medium</t>
        </is>
      </c>
      <c r="H1027" s="6" t="n">
        <v>1</v>
      </c>
      <c r="I1027" s="6" t="n">
        <v>1</v>
      </c>
      <c r="J1027" s="6" t="n">
        <v>1</v>
      </c>
      <c r="P1027">
        <f>MAX(P1028,P1029,P1030,P1031)</f>
        <v/>
      </c>
      <c r="S1027">
        <f>S1028+S1029+S1030+S1031</f>
        <v/>
      </c>
      <c r="T1027">
        <f>(E1027/100000+F1027/100+(P1027/1000)*J1027/5+S1027/200)*200*I1027*H1027</f>
        <v/>
      </c>
      <c r="U1027">
        <f>((E1027*F1027/25000)+((P1027/1000)*J1027*S1027/2.5))*I1027*H1027</f>
        <v/>
      </c>
      <c r="V1027">
        <f>(E1027*F1027*(P1027/1000)*J1027*S1027*I1027*H1027)/12500000</f>
        <v/>
      </c>
      <c r="W1027">
        <f>IFERROR((((E1027/170000)+(F1027/110)+(S1027/1250)+((P1027/6000)*J1027))*1000/4+(((E1027/170000)*(F1027/110))+(((P1027/6000)*J1027)*(S1027/1250)))*1000/2+((E1027/170000)*(F1027/110)*((P1027/6000)*J1027)*(S1027/1250))*1000)*(H1027/1.0)/3,"")</f>
        <v/>
      </c>
      <c r="X1027" s="6" t="n">
        <v>1200</v>
      </c>
      <c r="Y1027">
        <f>IFERROR(W1027-X1027,"")</f>
        <v/>
      </c>
      <c r="Z1027">
        <f>IFERROR(ABS(Y1027)/MAX(X1027,1),"")</f>
        <v/>
      </c>
      <c r="AA1027">
        <f>IFERROR(ROUND(((3*X1027-(((E1027/170000)+(F1027/110)+(S1027/1250))*1000/4+((E1027/170000)*(F1027/110))*1000/2)*(H1027/1.0))/(1000/4+((S1027/1250))*1000/2+((E1027/170000)*(F1027/110)*(S1027/1250))*1000)*(H1027/1.0)*6000)/J1027,-1),"")</f>
        <v/>
      </c>
    </row>
    <row r="1028">
      <c r="B1028" s="7" t="inlineStr">
        <is>
          <t xml:space="preserve">  ↳ DiabloCannon</t>
        </is>
      </c>
      <c r="C1028" s="7" t="inlineStr">
        <is>
          <t>Armament</t>
        </is>
      </c>
      <c r="L1028" s="6" t="n">
        <v>8000</v>
      </c>
      <c r="M1028" s="6" t="n">
        <v>16</v>
      </c>
      <c r="N1028" s="6" t="n">
        <v>1</v>
      </c>
      <c r="O1028" s="6" t="n"/>
      <c r="P1028" s="6" t="n">
        <v>6300</v>
      </c>
      <c r="Q1028" s="6" t="n">
        <v>1</v>
      </c>
      <c r="R1028">
        <f>M1028+IF(MAX(N1028-1,0)&gt;0,IF(ISBLANK(O1028),5*MAX(N1028-1,0),IF(ISNUMBER(O1028),O1028*MAX(N1028-1,0),SUM(IFERROR(VALUE(TEXTSPLIT(O1028,",")),0)))),0)</f>
        <v/>
      </c>
      <c r="S1028">
        <f>IFERROR(L1028*MAX(N1028,1)/R1028*IF(ISBLANK(K1027),1,K1027),0)</f>
        <v/>
      </c>
      <c r="AB1028" s="7" t="inlineStr">
        <is>
          <t>^Warhead_Flak_Medium</t>
        </is>
      </c>
    </row>
    <row r="1029">
      <c r="B1029" s="7" t="inlineStr">
        <is>
          <t xml:space="preserve">  ↳ DiabloCannon_elite</t>
        </is>
      </c>
      <c r="C1029" s="7" t="inlineStr">
        <is>
          <t>Armament@Elite</t>
        </is>
      </c>
      <c r="L1029" s="6" t="n">
        <v>8000</v>
      </c>
      <c r="M1029" s="6" t="n">
        <v>16</v>
      </c>
      <c r="N1029" s="6" t="n">
        <v>2</v>
      </c>
      <c r="O1029" s="6" t="n">
        <v>3</v>
      </c>
      <c r="P1029" s="6" t="n">
        <v>7300</v>
      </c>
      <c r="Q1029" s="6" t="n">
        <v>1</v>
      </c>
      <c r="R1029">
        <f>M1029+IF(MAX(N1029-1,0)&gt;0,IF(ISBLANK(O1029),5*MAX(N1029-1,0),IF(ISNUMBER(O1029),O1029*MAX(N1029-1,0),SUM(IFERROR(VALUE(TEXTSPLIT(O1029,",")),0)))),0)</f>
        <v/>
      </c>
      <c r="S1029">
        <f>IFERROR(L1029*MAX(N1029,1)/R1029*IF(ISBLANK(K1027),1,K1027),0)</f>
        <v/>
      </c>
      <c r="AB1029" s="7" t="inlineStr">
        <is>
          <t>^Warhead_Flak_Medium</t>
        </is>
      </c>
    </row>
    <row r="1030">
      <c r="B1030" s="7" t="inlineStr">
        <is>
          <t xml:space="preserve">  ↳ DiabloCannon_AA</t>
        </is>
      </c>
      <c r="C1030" s="7" t="inlineStr">
        <is>
          <t>Armament@AA</t>
        </is>
      </c>
      <c r="L1030" s="6" t="n">
        <v>8000</v>
      </c>
      <c r="M1030" s="6" t="n">
        <v>16</v>
      </c>
      <c r="N1030" s="6" t="n">
        <v>1</v>
      </c>
      <c r="O1030" s="6" t="n"/>
      <c r="P1030" s="6" t="n">
        <v>9450</v>
      </c>
      <c r="Q1030" s="6" t="n">
        <v>1</v>
      </c>
      <c r="R1030">
        <f>M1030+IF(MAX(N1030-1,0)&gt;0,IF(ISBLANK(O1030),5*MAX(N1030-1,0),IF(ISNUMBER(O1030),O1030*MAX(N1030-1,0),SUM(IFERROR(VALUE(TEXTSPLIT(O1030,",")),0)))),0)</f>
        <v/>
      </c>
      <c r="S1030">
        <f>IFERROR(L1030*MAX(N1030,1)/R1030*IF(ISBLANK(K1027),1,K1027),0)</f>
        <v/>
      </c>
      <c r="AB1030" s="7" t="inlineStr">
        <is>
          <t>^Warhead_Flak_Medium</t>
        </is>
      </c>
    </row>
    <row r="1031">
      <c r="B1031" s="7" t="inlineStr">
        <is>
          <t xml:space="preserve">  ↳ DiabloCannonAAE_AA</t>
        </is>
      </c>
      <c r="C1031" s="7" t="inlineStr">
        <is>
          <t>Armament@AAE</t>
        </is>
      </c>
      <c r="L1031" s="6" t="n">
        <v>8000</v>
      </c>
      <c r="M1031" s="6" t="n">
        <v>16</v>
      </c>
      <c r="N1031" s="6" t="n">
        <v>2</v>
      </c>
      <c r="O1031" s="6" t="n">
        <v>3</v>
      </c>
      <c r="P1031" s="6" t="n">
        <v>10450</v>
      </c>
      <c r="Q1031" s="6" t="n">
        <v>1</v>
      </c>
      <c r="R1031">
        <f>M1031+IF(MAX(N1031-1,0)&gt;0,IF(ISBLANK(O1031),5*MAX(N1031-1,0),IF(ISNUMBER(O1031),O1031*MAX(N1031-1,0),SUM(IFERROR(VALUE(TEXTSPLIT(O1031,",")),0)))),0)</f>
        <v/>
      </c>
      <c r="S1031">
        <f>IFERROR(L1031*MAX(N1031,1)/R1031*IF(ISBLANK(K1027),1,K1027),0)</f>
        <v/>
      </c>
      <c r="AB1031" s="7" t="inlineStr">
        <is>
          <t>^Warhead_Flak_Medium</t>
        </is>
      </c>
    </row>
    <row r="1032">
      <c r="A1032" t="inlineStr">
        <is>
          <t>redalert2mod</t>
        </is>
      </c>
      <c r="B1032" t="inlineStr">
        <is>
          <t>naxis_kubelwagen</t>
        </is>
      </c>
      <c r="C1032" t="inlineStr">
        <is>
          <t>Kübelwagen</t>
        </is>
      </c>
      <c r="D1032" s="6" t="inlineStr">
        <is>
          <t>AntiAirVehicle</t>
        </is>
      </c>
      <c r="E1032" s="6" t="n">
        <v>50000</v>
      </c>
      <c r="F1032" s="6" t="n">
        <v>115</v>
      </c>
      <c r="G1032" t="inlineStr">
        <is>
          <t>Medium</t>
        </is>
      </c>
      <c r="H1032" s="6" t="n">
        <v>0.8639</v>
      </c>
      <c r="I1032" s="6" t="n">
        <v>1</v>
      </c>
      <c r="J1032" s="6" t="n">
        <v>1</v>
      </c>
      <c r="P1032">
        <f>MAX(P1033)</f>
        <v/>
      </c>
      <c r="S1032">
        <f>S1033</f>
        <v/>
      </c>
      <c r="T1032">
        <f>(E1032/100000+F1032/100+(P1032/1000)*J1032/5+S1032/200)*200*I1032*H1032</f>
        <v/>
      </c>
      <c r="U1032">
        <f>((E1032*F1032/25000)+((P1032/1000)*J1032*S1032/2.5))*I1032*H1032</f>
        <v/>
      </c>
      <c r="V1032">
        <f>(E1032*F1032*(P1032/1000)*J1032*S1032*I1032*H1032)/12500000</f>
        <v/>
      </c>
      <c r="W1032">
        <f>IFERROR((((E1032/170000)+(F1032/110)+(S1032/1250)+((P1032/6000)*J1032))*1000/4+(((E1032/170000)*(F1032/110))+(((P1032/6000)*J1032)*(S1032/1250)))*1000/2+((E1032/170000)*(F1032/110)*((P1032/6000)*J1032)*(S1032/1250))*1000)*(H1032/1.0)/3,"")</f>
        <v/>
      </c>
      <c r="X1032" s="6" t="n">
        <v>850</v>
      </c>
      <c r="Y1032">
        <f>IFERROR(W1032-X1032,"")</f>
        <v/>
      </c>
      <c r="Z1032">
        <f>IFERROR(ABS(Y1032)/MAX(X1032,1),"")</f>
        <v/>
      </c>
      <c r="AA1032">
        <f>IFERROR(ROUND(((3*X1032-(((E1032/170000)+(F1032/110)+(S1032/1250))*1000/4+((E1032/170000)*(F1032/110))*1000/2)*(H1032/1.0))/(1000/4+((S1032/1250))*1000/2+((E1032/170000)*(F1032/110)*(S1032/1250))*1000)*(H1032/1.0)*6000)/J1032,-1),"")</f>
        <v/>
      </c>
    </row>
    <row r="1033">
      <c r="B1033" s="7" t="inlineStr">
        <is>
          <t xml:space="preserve">  ↳ NaxiWW2KübelwagenMachinegun</t>
        </is>
      </c>
      <c r="C1033" s="7" t="inlineStr">
        <is>
          <t>Armament@AG</t>
        </is>
      </c>
      <c r="L1033" s="6" t="n">
        <v>4000</v>
      </c>
      <c r="M1033" s="6" t="n">
        <v>80</v>
      </c>
      <c r="N1033" s="6" t="n">
        <v>6</v>
      </c>
      <c r="O1033" s="6" t="n">
        <v>4</v>
      </c>
      <c r="P1033" s="6" t="n">
        <v>5757</v>
      </c>
      <c r="Q1033" s="6" t="n">
        <v>0.875</v>
      </c>
      <c r="R1033">
        <f>M1033+IF(MAX(N1033-1,0)&gt;0,IF(ISBLANK(O1033),5*MAX(N1033-1,0),IF(ISNUMBER(O1033),O1033*MAX(N1033-1,0),SUM(IFERROR(VALUE(TEXTSPLIT(O1033,",")),0)))),0)</f>
        <v/>
      </c>
      <c r="S1033">
        <f>IFERROR(L1033*MAX(N1033,1)/R1033*IF(ISBLANK(K1032),1,K1032),0)</f>
        <v/>
      </c>
      <c r="AB1033" s="7" t="inlineStr">
        <is>
          <t>^Warhead_Bullet_Light, ^Warhead_Bullet_Medium</t>
        </is>
      </c>
    </row>
    <row r="1034">
      <c r="A1034" t="inlineStr">
        <is>
          <t>redalert2mod</t>
        </is>
      </c>
      <c r="B1034" t="inlineStr">
        <is>
          <t>wirbelwind.nax</t>
        </is>
      </c>
      <c r="C1034" t="inlineStr">
        <is>
          <t>Wirbelwind</t>
        </is>
      </c>
      <c r="D1034" s="6" t="inlineStr">
        <is>
          <t>AntiAirVehicle</t>
        </is>
      </c>
      <c r="E1034" s="6" t="n">
        <v>87500</v>
      </c>
      <c r="F1034" s="6" t="n">
        <v>85</v>
      </c>
      <c r="G1034" t="inlineStr">
        <is>
          <t>Medium</t>
        </is>
      </c>
      <c r="H1034" s="6" t="n">
        <v>1</v>
      </c>
      <c r="I1034" s="6" t="n">
        <v>1</v>
      </c>
      <c r="J1034" s="6" t="n">
        <v>1</v>
      </c>
      <c r="P1034">
        <f>MAX(P1035,P1036,P1037,P1038)</f>
        <v/>
      </c>
      <c r="S1034">
        <f>S1035+S1036+S1037+S1038</f>
        <v/>
      </c>
      <c r="T1034">
        <f>(E1034/100000+F1034/100+(P1034/1000)*J1034/5+S1034/200)*200*I1034*H1034</f>
        <v/>
      </c>
      <c r="U1034">
        <f>((E1034*F1034/25000)+((P1034/1000)*J1034*S1034/2.5))*I1034*H1034</f>
        <v/>
      </c>
      <c r="V1034">
        <f>(E1034*F1034*(P1034/1000)*J1034*S1034*I1034*H1034)/12500000</f>
        <v/>
      </c>
      <c r="W1034">
        <f>IFERROR((((E1034/170000)+(F1034/110)+(S1034/1250)+((P1034/6000)*J1034))*1000/4+(((E1034/170000)*(F1034/110))+(((P1034/6000)*J1034)*(S1034/1250)))*1000/2+((E1034/170000)*(F1034/110)*((P1034/6000)*J1034)*(S1034/1250))*1000)*(H1034/1.0)/3,"")</f>
        <v/>
      </c>
      <c r="X1034" s="6" t="n">
        <v>1800</v>
      </c>
      <c r="Y1034">
        <f>IFERROR(W1034-X1034,"")</f>
        <v/>
      </c>
      <c r="Z1034">
        <f>IFERROR(ABS(Y1034)/MAX(X1034,1),"")</f>
        <v/>
      </c>
      <c r="AA1034">
        <f>IFERROR(ROUND(((3*X1034-(((E1034/170000)+(F1034/110)+(S1034/1250))*1000/4+((E1034/170000)*(F1034/110))*1000/2)*(H1034/1.0))/(1000/4+((S1034/1250))*1000/2+((E1034/170000)*(F1034/110)*(S1034/1250))*1000)*(H1034/1.0)*6000)/J1034,-1),"")</f>
        <v/>
      </c>
    </row>
    <row r="1035">
      <c r="B1035" s="7" t="inlineStr">
        <is>
          <t xml:space="preserve">  ↳ NaxQuadCannon</t>
        </is>
      </c>
      <c r="C1035" s="7" t="inlineStr">
        <is>
          <t>Armament</t>
        </is>
      </c>
      <c r="L1035" s="6" t="n">
        <v>7000</v>
      </c>
      <c r="M1035" s="6" t="n">
        <v>47</v>
      </c>
      <c r="N1035" s="6" t="n">
        <v>6</v>
      </c>
      <c r="O1035" s="6" t="n">
        <v>4</v>
      </c>
      <c r="P1035" s="6" t="n">
        <v>5368</v>
      </c>
      <c r="Q1035" s="6" t="n">
        <v>1</v>
      </c>
      <c r="R1035">
        <f>M1035+IF(MAX(N1035-1,0)&gt;0,IF(ISBLANK(O1035),5*MAX(N1035-1,0),IF(ISNUMBER(O1035),O1035*MAX(N1035-1,0),SUM(IFERROR(VALUE(TEXTSPLIT(O1035,",")),0)))),0)</f>
        <v/>
      </c>
      <c r="S1035">
        <f>IFERROR(L1035*MAX(N1035,1)/R1035*IF(ISBLANK(K1034),1,K1034),0)</f>
        <v/>
      </c>
      <c r="AB1035" s="7" t="inlineStr">
        <is>
          <t>^Warhead_Flak_Medium</t>
        </is>
      </c>
    </row>
    <row r="1036">
      <c r="B1036" s="7" t="inlineStr">
        <is>
          <t xml:space="preserve">  ↳ NaxQuadCannon_elite</t>
        </is>
      </c>
      <c r="C1036" s="7" t="inlineStr">
        <is>
          <t>Armament@elite</t>
        </is>
      </c>
      <c r="L1036" s="6" t="n">
        <v>7000</v>
      </c>
      <c r="M1036" s="6" t="n">
        <v>47</v>
      </c>
      <c r="N1036" s="6" t="n">
        <v>8</v>
      </c>
      <c r="O1036" s="6" t="n">
        <v>3</v>
      </c>
      <c r="P1036" s="6" t="n">
        <v>6368</v>
      </c>
      <c r="Q1036" s="6" t="n">
        <v>1</v>
      </c>
      <c r="R1036">
        <f>M1036+IF(MAX(N1036-1,0)&gt;0,IF(ISBLANK(O1036),5*MAX(N1036-1,0),IF(ISNUMBER(O1036),O1036*MAX(N1036-1,0),SUM(IFERROR(VALUE(TEXTSPLIT(O1036,",")),0)))),0)</f>
        <v/>
      </c>
      <c r="S1036">
        <f>IFERROR(L1036*MAX(N1036,1)/R1036*IF(ISBLANK(K1034),1,K1034),0)</f>
        <v/>
      </c>
      <c r="AB1036" s="7" t="inlineStr">
        <is>
          <t>^Warhead_Flak_Medium</t>
        </is>
      </c>
    </row>
    <row r="1037">
      <c r="B1037" s="7" t="inlineStr">
        <is>
          <t xml:space="preserve">  ↳ NaxQuadCannon_AA</t>
        </is>
      </c>
      <c r="C1037" s="7" t="inlineStr">
        <is>
          <t>Armament@AA</t>
        </is>
      </c>
      <c r="L1037" s="6" t="n">
        <v>7000</v>
      </c>
      <c r="M1037" s="6" t="n">
        <v>47</v>
      </c>
      <c r="N1037" s="6" t="n">
        <v>6</v>
      </c>
      <c r="O1037" s="6" t="n">
        <v>4</v>
      </c>
      <c r="P1037" s="6" t="n">
        <v>8052</v>
      </c>
      <c r="Q1037" s="6" t="n">
        <v>1</v>
      </c>
      <c r="R1037">
        <f>M1037+IF(MAX(N1037-1,0)&gt;0,IF(ISBLANK(O1037),5*MAX(N1037-1,0),IF(ISNUMBER(O1037),O1037*MAX(N1037-1,0),SUM(IFERROR(VALUE(TEXTSPLIT(O1037,",")),0)))),0)</f>
        <v/>
      </c>
      <c r="S1037">
        <f>IFERROR(L1037*MAX(N1037,1)/R1037*IF(ISBLANK(K1034),1,K1034),0)</f>
        <v/>
      </c>
      <c r="AB1037" s="7" t="inlineStr">
        <is>
          <t>^Warhead_Flak_Medium</t>
        </is>
      </c>
    </row>
    <row r="1038">
      <c r="B1038" s="7" t="inlineStr">
        <is>
          <t xml:space="preserve">  ↳ NaxQuadCannon_AA_elite</t>
        </is>
      </c>
      <c r="C1038" s="7" t="inlineStr">
        <is>
          <t>Armament@eliteAA</t>
        </is>
      </c>
      <c r="L1038" s="6" t="n">
        <v>7000</v>
      </c>
      <c r="M1038" s="6" t="n">
        <v>47</v>
      </c>
      <c r="N1038" s="6" t="n">
        <v>8</v>
      </c>
      <c r="O1038" s="6" t="n">
        <v>3</v>
      </c>
      <c r="P1038" s="6" t="n">
        <v>9052</v>
      </c>
      <c r="Q1038" s="6" t="n">
        <v>1</v>
      </c>
      <c r="R1038">
        <f>M1038+IF(MAX(N1038-1,0)&gt;0,IF(ISBLANK(O1038),5*MAX(N1038-1,0),IF(ISNUMBER(O1038),O1038*MAX(N1038-1,0),SUM(IFERROR(VALUE(TEXTSPLIT(O1038,",")),0)))),0)</f>
        <v/>
      </c>
      <c r="S1038">
        <f>IFERROR(L1038*MAX(N1038,1)/R1038*IF(ISBLANK(K1034),1,K1034),0)</f>
        <v/>
      </c>
      <c r="AB1038" s="7" t="inlineStr">
        <is>
          <t>^Warhead_Flak_Medium</t>
        </is>
      </c>
    </row>
    <row r="1039">
      <c r="A1039" t="inlineStr">
        <is>
          <t>redalert2mod</t>
        </is>
      </c>
      <c r="B1039" t="inlineStr">
        <is>
          <t>tkm_flakbus</t>
        </is>
      </c>
      <c r="C1039" t="inlineStr">
        <is>
          <t>Flak Bus</t>
        </is>
      </c>
      <c r="D1039" s="6" t="inlineStr">
        <is>
          <t>AntiAirVehicle</t>
        </is>
      </c>
      <c r="E1039" s="6" t="n">
        <v>120000</v>
      </c>
      <c r="F1039" s="6" t="n">
        <v>60</v>
      </c>
      <c r="G1039" t="inlineStr">
        <is>
          <t>Medium</t>
        </is>
      </c>
      <c r="H1039" s="6" t="n">
        <v>0.4955</v>
      </c>
      <c r="I1039" s="6" t="n">
        <v>1</v>
      </c>
      <c r="J1039" s="6" t="n">
        <v>1</v>
      </c>
      <c r="X1039" s="6" t="n">
        <v>1800</v>
      </c>
    </row>
    <row r="1040">
      <c r="A1040" s="4" t="inlineStr">
        <is>
          <t>MissileVehicle</t>
        </is>
      </c>
      <c r="B1040" s="5" t="n"/>
      <c r="C1040" s="5" t="n"/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  <c r="O1040" s="5" t="n"/>
      <c r="P1040" s="5" t="n"/>
      <c r="Q1040" s="5" t="n"/>
      <c r="R1040" s="5" t="n"/>
      <c r="S1040" s="5" t="n"/>
      <c r="T1040" s="5" t="n"/>
      <c r="U1040" s="5" t="n"/>
      <c r="V1040" s="5" t="n"/>
      <c r="W1040" s="5" t="n"/>
      <c r="X1040" s="5" t="n"/>
      <c r="Y1040" s="5" t="n"/>
      <c r="Z1040" s="5" t="n"/>
      <c r="AA1040" s="5" t="n"/>
      <c r="AB1040" s="5" t="n"/>
    </row>
    <row r="1041">
      <c r="A1041" t="inlineStr">
        <is>
          <t>tiberiandawn</t>
        </is>
      </c>
      <c r="B1041" t="inlineStr">
        <is>
          <t>td_gdi_mlrs</t>
        </is>
      </c>
      <c r="C1041" t="inlineStr">
        <is>
          <t>GDI MLRS</t>
        </is>
      </c>
      <c r="D1041" s="6" t="inlineStr">
        <is>
          <t>MissileVehicle</t>
        </is>
      </c>
      <c r="E1041" s="6" t="n">
        <v>25000</v>
      </c>
      <c r="F1041" s="6" t="n">
        <v>80</v>
      </c>
      <c r="G1041" t="inlineStr">
        <is>
          <t>Light</t>
        </is>
      </c>
      <c r="H1041" s="6" t="n">
        <v>1</v>
      </c>
      <c r="I1041" s="6" t="n">
        <v>1</v>
      </c>
      <c r="J1041" s="6" t="n">
        <v>1</v>
      </c>
      <c r="P1041">
        <f>MAX(P1042,P1043)</f>
        <v/>
      </c>
      <c r="S1041">
        <f>S1042+S1043</f>
        <v/>
      </c>
      <c r="T1041">
        <f>(E1041/100000+F1041/100+(P1041/1000)*J1041/5+S1041/200)*200*I1041*H1041</f>
        <v/>
      </c>
      <c r="U1041">
        <f>((E1041*F1041/25000)+((P1041/1000)*J1041*S1041/2.5))*I1041*H1041</f>
        <v/>
      </c>
      <c r="V1041">
        <f>(E1041*F1041*(P1041/1000)*J1041*S1041*I1041*H1041)/12500000</f>
        <v/>
      </c>
      <c r="W1041">
        <f>IFERROR((((E1041/160000)+(F1041/100)+(S1041/1200)+((P1041/8000)*J1041))*1200/4+(((E1041/160000)*(F1041/100))+(((P1041/8000)*J1041)*(S1041/1200)))*1200/2+((E1041/160000)*(F1041/100)*((P1041/8000)*J1041)*(S1041/1200))*1200)*(H1041/1.0)/3,"")</f>
        <v/>
      </c>
      <c r="X1041" s="6" t="n">
        <v>1000</v>
      </c>
      <c r="Y1041">
        <f>IFERROR(W1041-X1041,"")</f>
        <v/>
      </c>
      <c r="Z1041">
        <f>IFERROR(ABS(Y1041)/MAX(X1041,1),"")</f>
        <v/>
      </c>
      <c r="AA1041">
        <f>IFERROR(ROUND(((3*X1041-(((E1041/160000)+(F1041/100)+(S1041/1200))*1200/4+((E1041/160000)*(F1041/100))*1200/2)*(H1041/1.0))/(1200/4+((S1041/1200))*1200/2+((E1041/160000)*(F1041/100)*(S1041/1200))*1200)*(H1041/1.0)*8000)/J1041,-1),"")</f>
        <v/>
      </c>
    </row>
    <row r="1042">
      <c r="B1042" s="7" t="inlineStr">
        <is>
          <t xml:space="preserve">  ↳ 227mm</t>
        </is>
      </c>
      <c r="C1042" s="7" t="inlineStr">
        <is>
          <t>Armament@PRIMARY</t>
        </is>
      </c>
      <c r="L1042" s="6" t="n">
        <v>8000</v>
      </c>
      <c r="M1042" s="6" t="n">
        <v>111</v>
      </c>
      <c r="N1042" s="6" t="n">
        <v>6</v>
      </c>
      <c r="O1042" s="6" t="n">
        <v>5</v>
      </c>
      <c r="P1042" s="6" t="n">
        <v>9920</v>
      </c>
      <c r="Q1042" s="6" t="n">
        <v>1</v>
      </c>
      <c r="R1042">
        <f>M1042+IF(MAX(N1042-1,0)&gt;0,IF(ISBLANK(O1042),5*MAX(N1042-1,0),IF(ISNUMBER(O1042),O1042*MAX(N1042-1,0),SUM(IFERROR(VALUE(TEXTSPLIT(O1042,",")),0)))),0)</f>
        <v/>
      </c>
      <c r="S1042">
        <f>IFERROR(L1042*MAX(N1042,1)/R1042*IF(ISBLANK(K1041),1,K1041),0)</f>
        <v/>
      </c>
      <c r="AB1042" s="7" t="inlineStr">
        <is>
          <t>^Warhead_MissileHE_Medium</t>
        </is>
      </c>
    </row>
    <row r="1043">
      <c r="B1043" s="7" t="inlineStr">
        <is>
          <t xml:space="preserve">  ↳ 227mmAMT</t>
        </is>
      </c>
      <c r="C1043" s="7" t="inlineStr">
        <is>
          <t>Armament@AdvancedMissileTargeting</t>
        </is>
      </c>
      <c r="L1043" s="6" t="n">
        <v>8000</v>
      </c>
      <c r="M1043" s="6" t="n">
        <v>111</v>
      </c>
      <c r="N1043" s="6" t="n">
        <v>6</v>
      </c>
      <c r="O1043" s="6" t="n">
        <v>5</v>
      </c>
      <c r="P1043" s="6" t="n">
        <v>9920</v>
      </c>
      <c r="Q1043" s="6" t="n">
        <v>1</v>
      </c>
      <c r="R1043">
        <f>M1043+IF(MAX(N1043-1,0)&gt;0,IF(ISBLANK(O1043),5*MAX(N1043-1,0),IF(ISNUMBER(O1043),O1043*MAX(N1043-1,0),SUM(IFERROR(VALUE(TEXTSPLIT(O1043,",")),0)))),0)</f>
        <v/>
      </c>
      <c r="S1043">
        <f>IFERROR(L1043*MAX(N1043,1)/R1043*IF(ISBLANK(K1041),1,K1041),0)</f>
        <v/>
      </c>
      <c r="AB1043" s="7" t="inlineStr">
        <is>
          <t>^Warhead_MissileHE_Medium</t>
        </is>
      </c>
    </row>
    <row r="1044">
      <c r="A1044" t="inlineStr">
        <is>
          <t>tiberiandawn</t>
        </is>
      </c>
      <c r="B1044" t="inlineStr">
        <is>
          <t>td_nod_chemicalattackbike</t>
        </is>
      </c>
      <c r="C1044" t="inlineStr">
        <is>
          <t>Chemical Attack Bike</t>
        </is>
      </c>
      <c r="D1044" s="6" t="inlineStr">
        <is>
          <t>MissileVehicle</t>
        </is>
      </c>
      <c r="E1044" s="6" t="n">
        <v>22500</v>
      </c>
      <c r="F1044" s="6" t="n">
        <v>175</v>
      </c>
      <c r="G1044" t="inlineStr">
        <is>
          <t>Light</t>
        </is>
      </c>
      <c r="H1044" s="6" t="n">
        <v>1</v>
      </c>
      <c r="I1044" s="6" t="n">
        <v>0.5</v>
      </c>
      <c r="J1044" s="6" t="n">
        <v>1</v>
      </c>
      <c r="P1044">
        <f>MAX(P1045,P1046)</f>
        <v/>
      </c>
      <c r="S1044">
        <f>S1045+S1046</f>
        <v/>
      </c>
      <c r="T1044">
        <f>(E1044/100000+F1044/100+(P1044/1000)*J1044/5+S1044/200)*200*I1044*H1044</f>
        <v/>
      </c>
      <c r="U1044">
        <f>((E1044*F1044/25000)+((P1044/1000)*J1044*S1044/2.5))*I1044*H1044</f>
        <v/>
      </c>
      <c r="V1044">
        <f>(E1044*F1044*(P1044/1000)*J1044*S1044*I1044*H1044)/12500000</f>
        <v/>
      </c>
      <c r="W1044">
        <f>IFERROR((((E1044/160000)+(F1044/100)+(S1044/1200)+((P1044/8000)*J1044))*1200/4+(((E1044/160000)*(F1044/100))+(((P1044/8000)*J1044)*(S1044/1200)))*1200/2+((E1044/160000)*(F1044/100)*((P1044/8000)*J1044)*(S1044/1200))*1200)*(H1044/1.0)/3,"")</f>
        <v/>
      </c>
      <c r="X1044" s="6" t="n">
        <v>750</v>
      </c>
      <c r="Y1044">
        <f>IFERROR(W1044-X1044,"")</f>
        <v/>
      </c>
      <c r="Z1044">
        <f>IFERROR(ABS(Y1044)/MAX(X1044,1),"")</f>
        <v/>
      </c>
      <c r="AA1044">
        <f>IFERROR(ROUND(((3*X1044-(((E1044/160000)+(F1044/100)+(S1044/1200))*1200/4+((E1044/160000)*(F1044/100))*1200/2)*(H1044/1.0))/(1200/4+((S1044/1200))*1200/2+((E1044/160000)*(F1044/100)*(S1044/1200))*1200)*(H1044/1.0)*8000)/J1044,-1),"")</f>
        <v/>
      </c>
    </row>
    <row r="1045">
      <c r="B1045" s="7" t="inlineStr">
        <is>
          <t xml:space="preserve">  ↳ PDLaserBike</t>
        </is>
      </c>
      <c r="C1045" s="7" t="inlineStr">
        <is>
          <t>Armament@pointdefense</t>
        </is>
      </c>
      <c r="L1045" s="6" t="n">
        <v>1</v>
      </c>
      <c r="M1045" s="6" t="n">
        <v>25</v>
      </c>
      <c r="N1045" s="6" t="n">
        <v>1</v>
      </c>
      <c r="O1045" s="6" t="n"/>
      <c r="P1045" s="6" t="n">
        <v>6000</v>
      </c>
      <c r="Q1045" s="6" t="n">
        <v>1</v>
      </c>
      <c r="R1045">
        <f>M1045+IF(MAX(N1045-1,0)&gt;0,IF(ISBLANK(O1045),5*MAX(N1045-1,0),IF(ISNUMBER(O1045),O1045*MAX(N1045-1,0),SUM(IFERROR(VALUE(TEXTSPLIT(O1045,",")),0)))),0)</f>
        <v/>
      </c>
      <c r="S1045">
        <f>IFERROR(L1045*MAX(N1045,1)/R1045*IF(ISBLANK(K1044),1,K1044),0)</f>
        <v/>
      </c>
      <c r="AB1045" s="7" t="inlineStr">
        <is>
          <t>PDLaser</t>
        </is>
      </c>
    </row>
    <row r="1046">
      <c r="B1046" s="7" t="inlineStr">
        <is>
          <t xml:space="preserve">  ↳ ChemicalBikeRockets</t>
        </is>
      </c>
      <c r="C1046" s="7" t="inlineStr">
        <is>
          <t>Armament</t>
        </is>
      </c>
      <c r="L1046" s="6" t="n">
        <v>32000</v>
      </c>
      <c r="M1046" s="6" t="n">
        <v>70</v>
      </c>
      <c r="N1046" s="6" t="n">
        <v>2</v>
      </c>
      <c r="O1046" s="6" t="n">
        <v>10</v>
      </c>
      <c r="P1046" s="6" t="n">
        <v>6000</v>
      </c>
      <c r="Q1046" s="6" t="n">
        <v>1</v>
      </c>
      <c r="R1046">
        <f>M1046+IF(MAX(N1046-1,0)&gt;0,IF(ISBLANK(O1046),5*MAX(N1046-1,0),IF(ISNUMBER(O1046),O1046*MAX(N1046-1,0),SUM(IFERROR(VALUE(TEXTSPLIT(O1046,",")),0)))),0)</f>
        <v/>
      </c>
      <c r="S1046">
        <f>IFERROR(L1046*MAX(N1046,1)/R1046*IF(ISBLANK(K1044),1,K1044),0)</f>
        <v/>
      </c>
      <c r="AB1046" s="7" t="inlineStr">
        <is>
          <t>^TankDestroyerCannon, ^LightChemicalWeapon, ^FlakWeapon, ^MediumMissile</t>
        </is>
      </c>
    </row>
    <row r="1047">
      <c r="A1047" t="inlineStr">
        <is>
          <t>tiberiandawn</t>
        </is>
      </c>
      <c r="B1047" t="inlineStr">
        <is>
          <t>td_nod_reconbike</t>
        </is>
      </c>
      <c r="C1047" t="inlineStr">
        <is>
          <t>Recon Bike</t>
        </is>
      </c>
      <c r="D1047" s="6" t="inlineStr">
        <is>
          <t>MissileVehicle</t>
        </is>
      </c>
      <c r="E1047" s="6" t="n">
        <v>17500</v>
      </c>
      <c r="F1047" s="6" t="n">
        <v>200</v>
      </c>
      <c r="G1047" t="inlineStr">
        <is>
          <t>Light</t>
        </is>
      </c>
      <c r="H1047" s="6" t="n">
        <v>1</v>
      </c>
      <c r="I1047" s="6" t="n">
        <v>0.5</v>
      </c>
      <c r="J1047" s="6" t="n">
        <v>1</v>
      </c>
      <c r="P1047">
        <f>MAX(P1048,P1049)</f>
        <v/>
      </c>
      <c r="S1047">
        <f>S1048+S1049</f>
        <v/>
      </c>
      <c r="T1047">
        <f>(E1047/100000+F1047/100+(P1047/1000)*J1047/5+S1047/200)*200*I1047*H1047</f>
        <v/>
      </c>
      <c r="U1047">
        <f>((E1047*F1047/25000)+((P1047/1000)*J1047*S1047/2.5))*I1047*H1047</f>
        <v/>
      </c>
      <c r="V1047">
        <f>(E1047*F1047*(P1047/1000)*J1047*S1047*I1047*H1047)/12500000</f>
        <v/>
      </c>
      <c r="W1047">
        <f>IFERROR((((E1047/160000)+(F1047/100)+(S1047/1200)+((P1047/8000)*J1047))*1200/4+(((E1047/160000)*(F1047/100))+(((P1047/8000)*J1047)*(S1047/1200)))*1200/2+((E1047/160000)*(F1047/100)*((P1047/8000)*J1047)*(S1047/1200))*1200)*(H1047/1.0)/3,"")</f>
        <v/>
      </c>
      <c r="X1047" s="6" t="n">
        <v>500</v>
      </c>
      <c r="Y1047">
        <f>IFERROR(W1047-X1047,"")</f>
        <v/>
      </c>
      <c r="Z1047">
        <f>IFERROR(ABS(Y1047)/MAX(X1047,1),"")</f>
        <v/>
      </c>
      <c r="AA1047">
        <f>IFERROR(ROUND(((3*X1047-(((E1047/160000)+(F1047/100)+(S1047/1200))*1200/4+((E1047/160000)*(F1047/100))*1200/2)*(H1047/1.0))/(1200/4+((S1047/1200))*1200/2+((E1047/160000)*(F1047/100)*(S1047/1200))*1200)*(H1047/1.0)*8000)/J1047,-1),"")</f>
        <v/>
      </c>
    </row>
    <row r="1048">
      <c r="B1048" s="7" t="inlineStr">
        <is>
          <t xml:space="preserve">  ↳ PDLaserBike</t>
        </is>
      </c>
      <c r="C1048" s="7" t="inlineStr">
        <is>
          <t>Armament@pointdefense</t>
        </is>
      </c>
      <c r="L1048" s="6" t="n">
        <v>1</v>
      </c>
      <c r="M1048" s="6" t="n">
        <v>25</v>
      </c>
      <c r="N1048" s="6" t="n">
        <v>1</v>
      </c>
      <c r="O1048" s="6" t="n"/>
      <c r="P1048" s="6" t="n">
        <v>6000</v>
      </c>
      <c r="Q1048" s="6" t="n">
        <v>1</v>
      </c>
      <c r="R1048">
        <f>M1048+IF(MAX(N1048-1,0)&gt;0,IF(ISBLANK(O1048),5*MAX(N1048-1,0),IF(ISNUMBER(O1048),O1048*MAX(N1048-1,0),SUM(IFERROR(VALUE(TEXTSPLIT(O1048,",")),0)))),0)</f>
        <v/>
      </c>
      <c r="S1048">
        <f>IFERROR(L1048*MAX(N1048,1)/R1048*IF(ISBLANK(K1047),1,K1047),0)</f>
        <v/>
      </c>
      <c r="AB1048" s="7" t="inlineStr">
        <is>
          <t>PDLaser</t>
        </is>
      </c>
    </row>
    <row r="1049">
      <c r="B1049" s="7" t="inlineStr">
        <is>
          <t xml:space="preserve">  ↳ BikeRockets</t>
        </is>
      </c>
      <c r="C1049" s="7" t="inlineStr">
        <is>
          <t>Armament</t>
        </is>
      </c>
      <c r="L1049" s="6" t="n">
        <v>16000</v>
      </c>
      <c r="M1049" s="6" t="n">
        <v>55</v>
      </c>
      <c r="N1049" s="6" t="n">
        <v>2</v>
      </c>
      <c r="O1049" s="6" t="n">
        <v>10</v>
      </c>
      <c r="P1049" s="6" t="n">
        <v>6000</v>
      </c>
      <c r="Q1049" s="6" t="n">
        <v>1</v>
      </c>
      <c r="R1049">
        <f>M1049+IF(MAX(N1049-1,0)&gt;0,IF(ISBLANK(O1049),5*MAX(N1049-1,0),IF(ISNUMBER(O1049),O1049*MAX(N1049-1,0),SUM(IFERROR(VALUE(TEXTSPLIT(O1049,",")),0)))),0)</f>
        <v/>
      </c>
      <c r="S1049">
        <f>IFERROR(L1049*MAX(N1049,1)/R1049*IF(ISBLANK(K1047),1,K1047),0)</f>
        <v/>
      </c>
      <c r="AB1049" s="7" t="inlineStr">
        <is>
          <t>^TankDestroyerCannon, ^ShrapnelWeapon, ^FlakWeapon, ^LightMissile</t>
        </is>
      </c>
    </row>
    <row r="1050">
      <c r="A1050" t="inlineStr">
        <is>
          <t>tiberiandawn</t>
        </is>
      </c>
      <c r="B1050" t="inlineStr">
        <is>
          <t>td_nod_stealthtank</t>
        </is>
      </c>
      <c r="C1050" t="inlineStr">
        <is>
          <t>Stealth Tank</t>
        </is>
      </c>
      <c r="D1050" s="6" t="inlineStr">
        <is>
          <t>MissileVehicle</t>
        </is>
      </c>
      <c r="E1050" s="6" t="n">
        <v>25000</v>
      </c>
      <c r="F1050" s="6" t="n">
        <v>150</v>
      </c>
      <c r="G1050" t="inlineStr">
        <is>
          <t>Light</t>
        </is>
      </c>
      <c r="H1050" s="6" t="n">
        <v>0.3882</v>
      </c>
      <c r="I1050" s="6" t="n">
        <v>1</v>
      </c>
      <c r="J1050" s="6" t="n">
        <v>1</v>
      </c>
      <c r="K1050" t="n">
        <v>0.013</v>
      </c>
      <c r="P1050">
        <f>MAX(P1051,P1052)</f>
        <v/>
      </c>
      <c r="S1050">
        <f>S1051+S1052</f>
        <v/>
      </c>
      <c r="T1050">
        <f>(E1050/100000+F1050/100+(P1050/1000)*J1050/5+S1050/200)*200*I1050*H1050</f>
        <v/>
      </c>
      <c r="U1050">
        <f>((E1050*F1050/25000)+((P1050/1000)*J1050*S1050/2.5))*I1050*H1050</f>
        <v/>
      </c>
      <c r="V1050">
        <f>(E1050*F1050*(P1050/1000)*J1050*S1050*I1050*H1050)/12500000</f>
        <v/>
      </c>
      <c r="W1050">
        <f>IFERROR((((E1050/160000)+(F1050/100)+(S1050/1200)+((P1050/8000)*J1050))*1200/4+(((E1050/160000)*(F1050/100))+(((P1050/8000)*J1050)*(S1050/1200)))*1200/2+((E1050/160000)*(F1050/100)*((P1050/8000)*J1050)*(S1050/1200))*1200)*(H1050/1.0)/3,"")</f>
        <v/>
      </c>
      <c r="X1050" s="6" t="n">
        <v>900</v>
      </c>
      <c r="Y1050">
        <f>IFERROR(W1050-X1050,"")</f>
        <v/>
      </c>
      <c r="Z1050">
        <f>IFERROR(ABS(Y1050)/MAX(X1050,1),"")</f>
        <v/>
      </c>
      <c r="AA1050">
        <f>IFERROR(ROUND(((3*X1050-(((E1050/160000)+(F1050/100)+(S1050/1200))*1200/4+((E1050/160000)*(F1050/100))*1200/2)*(H1050/1.0))/(1200/4+((S1050/1200))*1200/2+((E1050/160000)*(F1050/100)*(S1050/1200))*1200)*(H1050/1.0)*8000)/J1050,-1),"")</f>
        <v/>
      </c>
    </row>
    <row r="1051">
      <c r="B1051" s="7" t="inlineStr">
        <is>
          <t xml:space="preserve">  ↳ StealthTankMissiles</t>
        </is>
      </c>
      <c r="C1051" s="7" t="inlineStr">
        <is>
          <t>Armament</t>
        </is>
      </c>
      <c r="L1051" s="6" t="n">
        <v>12000</v>
      </c>
      <c r="M1051" s="6" t="n">
        <v>58</v>
      </c>
      <c r="N1051" s="6" t="n">
        <v>2</v>
      </c>
      <c r="O1051" s="6" t="n">
        <v>8</v>
      </c>
      <c r="P1051" s="6" t="n">
        <v>7432</v>
      </c>
      <c r="Q1051" s="6" t="n">
        <v>1</v>
      </c>
      <c r="R1051">
        <f>M1051+IF(MAX(N1051-1,0)&gt;0,IF(ISBLANK(O1051),5*MAX(N1051-1,0),IF(ISNUMBER(O1051),O1051*MAX(N1051-1,0),SUM(IFERROR(VALUE(TEXTSPLIT(O1051,",")),0)))),0)</f>
        <v/>
      </c>
      <c r="S1051">
        <f>IFERROR(L1051*MAX(N1051,1)/R1051*IF(ISBLANK(K1050),1,K1050),0)</f>
        <v/>
      </c>
      <c r="AB1051" s="7" t="inlineStr">
        <is>
          <t>^Warhead_MissileAP_Medium</t>
        </is>
      </c>
    </row>
    <row r="1052">
      <c r="B1052" s="7" t="inlineStr">
        <is>
          <t xml:space="preserve">  ↳ StealthTankMissilesBlackMarket</t>
        </is>
      </c>
      <c r="C1052" s="7" t="inlineStr">
        <is>
          <t>Armament@Upgrade</t>
        </is>
      </c>
      <c r="L1052" s="6" t="n">
        <v>12000</v>
      </c>
      <c r="M1052" s="6" t="n">
        <v>58</v>
      </c>
      <c r="N1052" s="6" t="n">
        <v>2</v>
      </c>
      <c r="O1052" s="6" t="n">
        <v>8</v>
      </c>
      <c r="P1052" s="6" t="n">
        <v>7432</v>
      </c>
      <c r="Q1052" s="6" t="n">
        <v>1</v>
      </c>
      <c r="R1052">
        <f>M1052+IF(MAX(N1052-1,0)&gt;0,IF(ISBLANK(O1052),5*MAX(N1052-1,0),IF(ISNUMBER(O1052),O1052*MAX(N1052-1,0),SUM(IFERROR(VALUE(TEXTSPLIT(O1052,",")),0)))),0)</f>
        <v/>
      </c>
      <c r="S1052">
        <f>IFERROR(L1052*MAX(N1052,1)/R1052*IF(ISBLANK(K1050),1,K1050),0)</f>
        <v/>
      </c>
      <c r="AB1052" s="7" t="inlineStr">
        <is>
          <t>^Warhead_MissileAP_Medium</t>
        </is>
      </c>
    </row>
    <row r="1053">
      <c r="A1053" t="inlineStr">
        <is>
          <t>tiberiansun</t>
        </is>
      </c>
      <c r="B1053" t="inlineStr">
        <is>
          <t>ts_nod_attackcycle</t>
        </is>
      </c>
      <c r="C1053" t="inlineStr">
        <is>
          <t>Attack Cycle</t>
        </is>
      </c>
      <c r="D1053" s="6" t="inlineStr">
        <is>
          <t>MissileVehicle</t>
        </is>
      </c>
      <c r="E1053" s="6" t="n">
        <v>20000</v>
      </c>
      <c r="F1053" s="6" t="n">
        <v>170</v>
      </c>
      <c r="G1053" t="inlineStr">
        <is>
          <t>Light</t>
        </is>
      </c>
      <c r="H1053" s="6" t="n">
        <v>1</v>
      </c>
      <c r="I1053" s="6" t="n">
        <v>0.5</v>
      </c>
      <c r="J1053" s="6" t="n">
        <v>1</v>
      </c>
      <c r="P1053">
        <f>MAX(P1054,P1055)</f>
        <v/>
      </c>
      <c r="S1053">
        <f>S1054+S1055</f>
        <v/>
      </c>
      <c r="T1053">
        <f>(E1053/100000+F1053/100+(P1053/1000)*J1053/5+S1053/200)*200*I1053*H1053</f>
        <v/>
      </c>
      <c r="U1053">
        <f>((E1053*F1053/25000)+((P1053/1000)*J1053*S1053/2.5))*I1053*H1053</f>
        <v/>
      </c>
      <c r="V1053">
        <f>(E1053*F1053*(P1053/1000)*J1053*S1053*I1053*H1053)/12500000</f>
        <v/>
      </c>
      <c r="W1053">
        <f>IFERROR((((E1053/160000)+(F1053/100)+(S1053/1200)+((P1053/8000)*J1053))*1200/4+(((E1053/160000)*(F1053/100))+(((P1053/8000)*J1053)*(S1053/1200)))*1200/2+((E1053/160000)*(F1053/100)*((P1053/8000)*J1053)*(S1053/1200))*1200)*(H1053/1.0)/3,"")</f>
        <v/>
      </c>
      <c r="X1053" s="6" t="n">
        <v>550</v>
      </c>
      <c r="Y1053">
        <f>IFERROR(W1053-X1053,"")</f>
        <v/>
      </c>
      <c r="Z1053">
        <f>IFERROR(ABS(Y1053)/MAX(X1053,1),"")</f>
        <v/>
      </c>
      <c r="AA1053">
        <f>IFERROR(ROUND(((3*X1053-(((E1053/160000)+(F1053/100)+(S1053/1200))*1200/4+((E1053/160000)*(F1053/100))*1200/2)*(H1053/1.0))/(1200/4+((S1053/1200))*1200/2+((E1053/160000)*(F1053/100)*(S1053/1200))*1200)*(H1053/1.0)*8000)/J1053,-1),"")</f>
        <v/>
      </c>
    </row>
    <row r="1054">
      <c r="B1054" s="7" t="inlineStr">
        <is>
          <t xml:space="preserve">  ↳ TSBikeMissile</t>
        </is>
      </c>
      <c r="C1054" s="7" t="inlineStr">
        <is>
          <t>Armament@PRIMARY</t>
        </is>
      </c>
      <c r="L1054" s="6" t="n">
        <v>12000</v>
      </c>
      <c r="M1054" s="6" t="n">
        <v>40</v>
      </c>
      <c r="N1054" s="6" t="n">
        <v>2</v>
      </c>
      <c r="O1054" s="6" t="n">
        <v>5</v>
      </c>
      <c r="P1054" s="6" t="n">
        <v>6554</v>
      </c>
      <c r="Q1054" s="6" t="n">
        <v>0.875</v>
      </c>
      <c r="R1054">
        <f>M1054+IF(MAX(N1054-1,0)&gt;0,IF(ISBLANK(O1054),5*MAX(N1054-1,0),IF(ISNUMBER(O1054),O1054*MAX(N1054-1,0),SUM(IFERROR(VALUE(TEXTSPLIT(O1054,",")),0)))),0)</f>
        <v/>
      </c>
      <c r="S1054">
        <f>IFERROR(L1054*MAX(N1054,1)/R1054*IF(ISBLANK(K1053),1,K1053),0)</f>
        <v/>
      </c>
      <c r="AB1054" s="7" t="inlineStr">
        <is>
          <t>^Warhead_MissileHE_Light, ^Warhead_MissileHE_Medium</t>
        </is>
      </c>
    </row>
    <row r="1055">
      <c r="B1055" s="7" t="inlineStr">
        <is>
          <t xml:space="preserve">  ↳ TSBikeTibMissile</t>
        </is>
      </c>
      <c r="C1055" s="7" t="inlineStr">
        <is>
          <t>Armament@UPGRADE</t>
        </is>
      </c>
      <c r="L1055" s="6" t="n">
        <v>16000</v>
      </c>
      <c r="M1055" s="6" t="n">
        <v>40</v>
      </c>
      <c r="N1055" s="6" t="n">
        <v>2</v>
      </c>
      <c r="O1055" s="6" t="n">
        <v>5</v>
      </c>
      <c r="P1055" s="6" t="n">
        <v>6554</v>
      </c>
      <c r="Q1055" s="6" t="n">
        <v>1</v>
      </c>
      <c r="R1055">
        <f>M1055+IF(MAX(N1055-1,0)&gt;0,IF(ISBLANK(O1055),5*MAX(N1055-1,0),IF(ISNUMBER(O1055),O1055*MAX(N1055-1,0),SUM(IFERROR(VALUE(TEXTSPLIT(O1055,",")),0)))),0)</f>
        <v/>
      </c>
      <c r="S1055">
        <f>IFERROR(L1055*MAX(N1055,1)/R1055*IF(ISBLANK(K1053),1,K1053),0)</f>
        <v/>
      </c>
      <c r="AB1055" s="7" t="inlineStr">
        <is>
          <t>^LightChemicalWeapon, ^MediumChemicalWeapon, ^LightMissile, ^MediumMissile</t>
        </is>
      </c>
    </row>
    <row r="1056">
      <c r="A1056" t="inlineStr">
        <is>
          <t>tiberiansun</t>
        </is>
      </c>
      <c r="B1056" t="inlineStr">
        <is>
          <t>ts_gdi_hovermlrs</t>
        </is>
      </c>
      <c r="C1056" t="inlineStr">
        <is>
          <t>Hover MLRS</t>
        </is>
      </c>
      <c r="D1056" s="6" t="inlineStr">
        <is>
          <t>MissileVehicle</t>
        </is>
      </c>
      <c r="E1056" s="6" t="n">
        <v>30000</v>
      </c>
      <c r="F1056" s="6" t="n">
        <v>80</v>
      </c>
      <c r="G1056" t="inlineStr">
        <is>
          <t>Light</t>
        </is>
      </c>
      <c r="H1056" s="6" t="n">
        <v>1</v>
      </c>
      <c r="I1056" s="6" t="n">
        <v>1</v>
      </c>
      <c r="J1056" s="6" t="n">
        <v>1</v>
      </c>
      <c r="P1056">
        <f>MAX(P1057)</f>
        <v/>
      </c>
      <c r="S1056">
        <f>S1057</f>
        <v/>
      </c>
      <c r="T1056">
        <f>(E1056/100000+F1056/100+(P1056/1000)*J1056/5+S1056/200)*200*I1056*H1056</f>
        <v/>
      </c>
      <c r="U1056">
        <f>((E1056*F1056/25000)+((P1056/1000)*J1056*S1056/2.5))*I1056*H1056</f>
        <v/>
      </c>
      <c r="V1056">
        <f>(E1056*F1056*(P1056/1000)*J1056*S1056*I1056*H1056)/12500000</f>
        <v/>
      </c>
      <c r="W1056">
        <f>IFERROR((((E1056/160000)+(F1056/100)+(S1056/1200)+((P1056/8000)*J1056))*1200/4+(((E1056/160000)*(F1056/100))+(((P1056/8000)*J1056)*(S1056/1200)))*1200/2+((E1056/160000)*(F1056/100)*((P1056/8000)*J1056)*(S1056/1200))*1200)*(H1056/1.0)/3,"")</f>
        <v/>
      </c>
      <c r="X1056" s="6" t="n">
        <v>900</v>
      </c>
      <c r="Y1056">
        <f>IFERROR(W1056-X1056,"")</f>
        <v/>
      </c>
      <c r="Z1056">
        <f>IFERROR(ABS(Y1056)/MAX(X1056,1),"")</f>
        <v/>
      </c>
      <c r="AA1056">
        <f>IFERROR(ROUND(((3*X1056-(((E1056/160000)+(F1056/100)+(S1056/1200))*1200/4+((E1056/160000)*(F1056/100))*1200/2)*(H1056/1.0))/(1200/4+((S1056/1200))*1200/2+((E1056/160000)*(F1056/100)*(S1056/1200))*1200)*(H1056/1.0)*8000)/J1056,-1),"")</f>
        <v/>
      </c>
    </row>
    <row r="1057">
      <c r="B1057" s="7" t="inlineStr">
        <is>
          <t xml:space="preserve">  ↳ TSHoverMissile</t>
        </is>
      </c>
      <c r="C1057" s="7" t="inlineStr">
        <is>
          <t>Armament</t>
        </is>
      </c>
      <c r="L1057" s="6" t="n">
        <v>12000</v>
      </c>
      <c r="M1057" s="6" t="n">
        <v>60</v>
      </c>
      <c r="N1057" s="6" t="n">
        <v>2</v>
      </c>
      <c r="O1057" s="6" t="n">
        <v>8</v>
      </c>
      <c r="P1057" s="6" t="n">
        <v>8159</v>
      </c>
      <c r="Q1057" s="6" t="n">
        <v>1</v>
      </c>
      <c r="R1057">
        <f>M1057+IF(MAX(N1057-1,0)&gt;0,IF(ISBLANK(O1057),5*MAX(N1057-1,0),IF(ISNUMBER(O1057),O1057*MAX(N1057-1,0),SUM(IFERROR(VALUE(TEXTSPLIT(O1057,",")),0)))),0)</f>
        <v/>
      </c>
      <c r="S1057">
        <f>IFERROR(L1057*MAX(N1057,1)/R1057*IF(ISBLANK(K1056),1,K1056),0)</f>
        <v/>
      </c>
      <c r="AB1057" s="7" t="inlineStr">
        <is>
          <t>^FlakWeapon, ^MediumMissile, ^ShrapnelWeapon</t>
        </is>
      </c>
    </row>
    <row r="1058">
      <c r="A1058" t="inlineStr">
        <is>
          <t>redalert2mod</t>
        </is>
      </c>
      <c r="B1058" t="inlineStr">
        <is>
          <t>asianalliance_type89mlrs</t>
        </is>
      </c>
      <c r="C1058" t="inlineStr">
        <is>
          <t>Type 89 MLRS</t>
        </is>
      </c>
      <c r="D1058" s="6" t="inlineStr">
        <is>
          <t>MissileVehicle</t>
        </is>
      </c>
      <c r="E1058" s="6" t="n">
        <v>40000</v>
      </c>
      <c r="F1058" s="6" t="n">
        <v>80</v>
      </c>
      <c r="G1058" t="inlineStr">
        <is>
          <t>Light</t>
        </is>
      </c>
      <c r="H1058" s="6" t="n">
        <v>0.75</v>
      </c>
      <c r="I1058" s="6" t="n">
        <v>1</v>
      </c>
      <c r="J1058" s="6" t="n">
        <v>1.25</v>
      </c>
      <c r="P1058">
        <f>MAX(P1059)</f>
        <v/>
      </c>
      <c r="S1058">
        <f>S1059</f>
        <v/>
      </c>
      <c r="T1058">
        <f>(E1058/100000+F1058/100+(P1058/1000)*J1058/5+S1058/200)*200*I1058*H1058</f>
        <v/>
      </c>
      <c r="U1058">
        <f>((E1058*F1058/25000)+((P1058/1000)*J1058*S1058/2.5))*I1058*H1058</f>
        <v/>
      </c>
      <c r="V1058">
        <f>(E1058*F1058*(P1058/1000)*J1058*S1058*I1058*H1058)/12500000</f>
        <v/>
      </c>
      <c r="W1058">
        <f>IFERROR((((E1058/160000)+(F1058/100)+(S1058/1200)+((P1058/8000)*J1058))*1200/4+(((E1058/160000)*(F1058/100))+(((P1058/8000)*J1058)*(S1058/1200)))*1200/2+((E1058/160000)*(F1058/100)*((P1058/8000)*J1058)*(S1058/1200))*1200)*(H1058/1.0)/3,"")</f>
        <v/>
      </c>
      <c r="X1058" s="6" t="n">
        <v>1200</v>
      </c>
      <c r="Y1058">
        <f>IFERROR(W1058-X1058,"")</f>
        <v/>
      </c>
      <c r="Z1058">
        <f>IFERROR(ABS(Y1058)/MAX(X1058,1),"")</f>
        <v/>
      </c>
      <c r="AA1058">
        <f>IFERROR(ROUND(((3*X1058-(((E1058/160000)+(F1058/100)+(S1058/1200))*1200/4+((E1058/160000)*(F1058/100))*1200/2)*(H1058/1.0))/(1200/4+((S1058/1200))*1200/2+((E1058/160000)*(F1058/100)*(S1058/1200))*1200)*(H1058/1.0)*8000)/J1058,-1),"")</f>
        <v/>
      </c>
    </row>
    <row r="1059">
      <c r="B1059" s="7" t="inlineStr">
        <is>
          <t xml:space="preserve">  ↳ AsianMLRS</t>
        </is>
      </c>
      <c r="C1059" s="7" t="inlineStr">
        <is>
          <t>Armament@PRIMARY</t>
        </is>
      </c>
      <c r="L1059" s="6" t="n">
        <v>8000</v>
      </c>
      <c r="M1059" s="6" t="n">
        <v>16</v>
      </c>
      <c r="N1059" s="6" t="n">
        <v>1</v>
      </c>
      <c r="O1059" s="6" t="n"/>
      <c r="P1059" s="6" t="n">
        <v>8500</v>
      </c>
      <c r="Q1059" s="6" t="n">
        <v>0.875</v>
      </c>
      <c r="R1059">
        <f>M1059+IF(MAX(N1059-1,0)&gt;0,IF(ISBLANK(O1059),5*MAX(N1059-1,0),IF(ISNUMBER(O1059),O1059*MAX(N1059-1,0),SUM(IFERROR(VALUE(TEXTSPLIT(O1059,",")),0)))),0)</f>
        <v/>
      </c>
      <c r="S1059">
        <f>IFERROR(L1059*MAX(N1059,1)/R1059*IF(ISBLANK(K1058),1,K1058),0)</f>
        <v/>
      </c>
      <c r="AB1059" s="7" t="inlineStr">
        <is>
          <t>^Warhead_Demolition_Light, ^Warhead_MissileAP_Medium</t>
        </is>
      </c>
    </row>
    <row r="1060">
      <c r="A1060" t="inlineStr">
        <is>
          <t>redalert2mod</t>
        </is>
      </c>
      <c r="B1060" t="inlineStr">
        <is>
          <t>latinsyndicate_lars</t>
        </is>
      </c>
      <c r="C1060" t="inlineStr">
        <is>
          <t>LARS</t>
        </is>
      </c>
      <c r="D1060" s="6" t="inlineStr">
        <is>
          <t>MissileVehicle</t>
        </is>
      </c>
      <c r="E1060" s="6" t="n">
        <v>47500</v>
      </c>
      <c r="F1060" s="6" t="n">
        <v>70</v>
      </c>
      <c r="G1060" t="inlineStr">
        <is>
          <t>Light</t>
        </is>
      </c>
      <c r="H1060" s="6" t="n">
        <v>0.75</v>
      </c>
      <c r="I1060" s="6" t="n">
        <v>1</v>
      </c>
      <c r="J1060" s="6" t="n">
        <v>1</v>
      </c>
      <c r="K1060" t="n">
        <v>0.0125</v>
      </c>
      <c r="P1060">
        <f>MAX(P1061,P1062)</f>
        <v/>
      </c>
      <c r="S1060">
        <f>S1061+S1062</f>
        <v/>
      </c>
      <c r="T1060">
        <f>(E1060/100000+F1060/100+(P1060/1000)*J1060/5+S1060/200)*200*I1060*H1060</f>
        <v/>
      </c>
      <c r="U1060">
        <f>((E1060*F1060/25000)+((P1060/1000)*J1060*S1060/2.5))*I1060*H1060</f>
        <v/>
      </c>
      <c r="V1060">
        <f>(E1060*F1060*(P1060/1000)*J1060*S1060*I1060*H1060)/12500000</f>
        <v/>
      </c>
      <c r="W1060">
        <f>IFERROR((((E1060/160000)+(F1060/100)+(S1060/1200)+((P1060/8000)*J1060))*1200/4+(((E1060/160000)*(F1060/100))+(((P1060/8000)*J1060)*(S1060/1200)))*1200/2+((E1060/160000)*(F1060/100)*((P1060/8000)*J1060)*(S1060/1200))*1200)*(H1060/1.0)/3,"")</f>
        <v/>
      </c>
      <c r="X1060" s="6" t="n">
        <v>1300</v>
      </c>
      <c r="Y1060">
        <f>IFERROR(W1060-X1060,"")</f>
        <v/>
      </c>
      <c r="Z1060">
        <f>IFERROR(ABS(Y1060)/MAX(X1060,1),"")</f>
        <v/>
      </c>
      <c r="AA1060">
        <f>IFERROR(ROUND(((3*X1060-(((E1060/160000)+(F1060/100)+(S1060/1200))*1200/4+((E1060/160000)*(F1060/100))*1200/2)*(H1060/1.0))/(1200/4+((S1060/1200))*1200/2+((E1060/160000)*(F1060/100)*(S1060/1200))*1200)*(H1060/1.0)*8000)/J1060,-1),"")</f>
        <v/>
      </c>
    </row>
    <row r="1061">
      <c r="B1061" s="7" t="inlineStr">
        <is>
          <t xml:space="preserve">  ↳ RA2LarsRocket</t>
        </is>
      </c>
      <c r="C1061" s="7" t="inlineStr">
        <is>
          <t>Armament</t>
        </is>
      </c>
      <c r="L1061" s="6" t="n">
        <v>10000</v>
      </c>
      <c r="M1061" s="6" t="n">
        <v>139</v>
      </c>
      <c r="N1061" s="6" t="n">
        <v>10</v>
      </c>
      <c r="O1061" s="6" t="n">
        <v>4</v>
      </c>
      <c r="P1061" s="6" t="n">
        <v>10130</v>
      </c>
      <c r="Q1061" s="6" t="n">
        <v>1.125</v>
      </c>
      <c r="R1061">
        <f>M1061+IF(MAX(N1061-1,0)&gt;0,IF(ISBLANK(O1061),5*MAX(N1061-1,0),IF(ISNUMBER(O1061),O1061*MAX(N1061-1,0),SUM(IFERROR(VALUE(TEXTSPLIT(O1061,",")),0)))),0)</f>
        <v/>
      </c>
      <c r="S1061">
        <f>IFERROR(L1061*MAX(N1061,1)/R1061*IF(ISBLANK(K1060),1,K1060),0)</f>
        <v/>
      </c>
      <c r="AB1061" s="7" t="inlineStr">
        <is>
          <t>^Warhead_MissileAP_Heavy, ^Warhead_MissileAP_Medium</t>
        </is>
      </c>
    </row>
    <row r="1062">
      <c r="B1062" s="7" t="inlineStr">
        <is>
          <t xml:space="preserve">  ↳ RA2LarsRocket</t>
        </is>
      </c>
      <c r="C1062" s="7" t="inlineStr">
        <is>
          <t>Armament@PRIMARYELITE</t>
        </is>
      </c>
      <c r="L1062" s="6" t="n">
        <v>10000</v>
      </c>
      <c r="M1062" s="6" t="n">
        <v>139</v>
      </c>
      <c r="N1062" s="6" t="n">
        <v>10</v>
      </c>
      <c r="O1062" s="6" t="n">
        <v>4</v>
      </c>
      <c r="P1062" s="6" t="n">
        <v>10130</v>
      </c>
      <c r="Q1062" s="6" t="n">
        <v>1.125</v>
      </c>
      <c r="R1062">
        <f>M1062+IF(MAX(N1062-1,0)&gt;0,IF(ISBLANK(O1062),5*MAX(N1062-1,0),IF(ISNUMBER(O1062),O1062*MAX(N1062-1,0),SUM(IFERROR(VALUE(TEXTSPLIT(O1062,",")),0)))),0)</f>
        <v/>
      </c>
      <c r="S1062">
        <f>IFERROR(L1062*MAX(N1062,1)/R1062*IF(ISBLANK(K1060),1,K1060),0)</f>
        <v/>
      </c>
      <c r="AB1062" s="7" t="inlineStr">
        <is>
          <t>^Warhead_MissileAP_Heavy, ^Warhead_MissileAP_Medium</t>
        </is>
      </c>
    </row>
    <row r="1063">
      <c r="A1063" t="inlineStr">
        <is>
          <t>redalert2mod</t>
        </is>
      </c>
      <c r="B1063" t="inlineStr">
        <is>
          <t>tkm_stryker</t>
        </is>
      </c>
      <c r="C1063" t="inlineStr">
        <is>
          <t>TKM Stryker</t>
        </is>
      </c>
      <c r="D1063" s="6" t="inlineStr">
        <is>
          <t>MissileVehicle</t>
        </is>
      </c>
      <c r="E1063" s="6" t="n">
        <v>80000</v>
      </c>
      <c r="F1063" s="6" t="n">
        <v>105</v>
      </c>
      <c r="G1063" t="inlineStr">
        <is>
          <t>Light</t>
        </is>
      </c>
      <c r="H1063" s="6" t="n">
        <v>0.7082000000000001</v>
      </c>
      <c r="I1063" s="6" t="n">
        <v>1</v>
      </c>
      <c r="J1063" s="6" t="n">
        <v>1</v>
      </c>
      <c r="P1063">
        <f>MAX(P1064,P1065,P1066)</f>
        <v/>
      </c>
      <c r="S1063">
        <f>S1064+S1065+S1066</f>
        <v/>
      </c>
      <c r="T1063">
        <f>(E1063/100000+F1063/100+(P1063/1000)*J1063/5+S1063/200)*200*I1063*H1063</f>
        <v/>
      </c>
      <c r="U1063">
        <f>((E1063*F1063/25000)+((P1063/1000)*J1063*S1063/2.5))*I1063*H1063</f>
        <v/>
      </c>
      <c r="V1063">
        <f>(E1063*F1063*(P1063/1000)*J1063*S1063*I1063*H1063)/12500000</f>
        <v/>
      </c>
      <c r="W1063">
        <f>IFERROR((((E1063/160000)+(F1063/100)+(S1063/1200)+((P1063/8000)*J1063))*1200/4+(((E1063/160000)*(F1063/100))+(((P1063/8000)*J1063)*(S1063/1200)))*1200/2+((E1063/160000)*(F1063/100)*((P1063/8000)*J1063)*(S1063/1200))*1200)*(H1063/1.0)/3,"")</f>
        <v/>
      </c>
      <c r="X1063" s="6" t="n">
        <v>1600</v>
      </c>
      <c r="Y1063">
        <f>IFERROR(W1063-X1063,"")</f>
        <v/>
      </c>
      <c r="Z1063">
        <f>IFERROR(ABS(Y1063)/MAX(X1063,1),"")</f>
        <v/>
      </c>
      <c r="AA1063">
        <f>IFERROR(ROUND(((3*X1063-(((E1063/160000)+(F1063/100)+(S1063/1200))*1200/4+((E1063/160000)*(F1063/100))*1200/2)*(H1063/1.0))/(1200/4+((S1063/1200))*1200/2+((E1063/160000)*(F1063/100)*(S1063/1200))*1200)*(H1063/1.0)*8000)/J1063,-1),"")</f>
        <v/>
      </c>
    </row>
    <row r="1064">
      <c r="B1064" s="7" t="inlineStr">
        <is>
          <t xml:space="preserve">  ↳ tkmstrykermg</t>
        </is>
      </c>
      <c r="C1064" s="7" t="inlineStr">
        <is>
          <t>Armament</t>
        </is>
      </c>
      <c r="L1064" s="6" t="n">
        <v>2000</v>
      </c>
      <c r="M1064" s="6" t="n">
        <v>5</v>
      </c>
      <c r="N1064" s="6" t="n">
        <v>1</v>
      </c>
      <c r="O1064" s="6" t="n"/>
      <c r="P1064" s="6" t="n">
        <v>7880</v>
      </c>
      <c r="Q1064" s="6" t="n">
        <v>1</v>
      </c>
      <c r="R1064">
        <f>M1064+IF(MAX(N1064-1,0)&gt;0,IF(ISBLANK(O1064),5*MAX(N1064-1,0),IF(ISNUMBER(O1064),O1064*MAX(N1064-1,0),SUM(IFERROR(VALUE(TEXTSPLIT(O1064,",")),0)))),0)</f>
        <v/>
      </c>
      <c r="S1064">
        <f>IFERROR(L1064*MAX(N1064,1)/R1064*IF(ISBLANK(K1063),1,K1063),0)</f>
        <v/>
      </c>
      <c r="AB1064" s="7" t="inlineStr">
        <is>
          <t>^Warhead_Bullet_Medium</t>
        </is>
      </c>
    </row>
    <row r="1065">
      <c r="B1065" s="7" t="inlineStr">
        <is>
          <t xml:space="preserve">  ↳ tkmstrykerrockets</t>
        </is>
      </c>
      <c r="C1065" s="7" t="inlineStr">
        <is>
          <t>Armament@missile</t>
        </is>
      </c>
      <c r="L1065" s="6" t="n">
        <v>24000</v>
      </c>
      <c r="M1065" s="6" t="n">
        <v>60</v>
      </c>
      <c r="N1065" s="6" t="n">
        <v>1</v>
      </c>
      <c r="O1065" s="6" t="n"/>
      <c r="P1065" s="6" t="n">
        <v>7880</v>
      </c>
      <c r="Q1065" s="6" t="n">
        <v>1</v>
      </c>
      <c r="R1065">
        <f>M1065+IF(MAX(N1065-1,0)&gt;0,IF(ISBLANK(O1065),5*MAX(N1065-1,0),IF(ISNUMBER(O1065),O1065*MAX(N1065-1,0),SUM(IFERROR(VALUE(TEXTSPLIT(O1065,",")),0)))),0)</f>
        <v/>
      </c>
      <c r="S1065">
        <f>IFERROR(L1065*MAX(N1065,1)/R1065*IF(ISBLANK(K1063),1,K1063),0)</f>
        <v/>
      </c>
      <c r="AB1065" s="7" t="inlineStr">
        <is>
          <t>^Warhead_MissileAP_Medium</t>
        </is>
      </c>
    </row>
    <row r="1066">
      <c r="B1066" s="7" t="inlineStr">
        <is>
          <t xml:space="preserve">  ↳ tkmstrykerfirerockets</t>
        </is>
      </c>
      <c r="C1066" s="7" t="inlineStr">
        <is>
          <t>Armament@missilefire</t>
        </is>
      </c>
      <c r="L1066" s="6" t="n">
        <v>30000</v>
      </c>
      <c r="M1066" s="6" t="n">
        <v>60</v>
      </c>
      <c r="N1066" s="6" t="n">
        <v>1</v>
      </c>
      <c r="O1066" s="6" t="n"/>
      <c r="P1066" s="6" t="n">
        <v>7880</v>
      </c>
      <c r="Q1066" s="6" t="n">
        <v>1</v>
      </c>
      <c r="R1066">
        <f>M1066+IF(MAX(N1066-1,0)&gt;0,IF(ISBLANK(O1066),5*MAX(N1066-1,0),IF(ISNUMBER(O1066),O1066*MAX(N1066-1,0),SUM(IFERROR(VALUE(TEXTSPLIT(O1066,",")),0)))),0)</f>
        <v/>
      </c>
      <c r="S1066">
        <f>IFERROR(L1066*MAX(N1066,1)/R1066*IF(ISBLANK(K1063),1,K1063),0)</f>
        <v/>
      </c>
      <c r="AB1066" s="7" t="inlineStr">
        <is>
          <t>^Warhead_MissileAP_Medium, ^Warhead_Flame_Medium</t>
        </is>
      </c>
    </row>
    <row r="1067">
      <c r="A1067" t="inlineStr">
        <is>
          <t>d2k</t>
        </is>
      </c>
      <c r="B1067" t="inlineStr">
        <is>
          <t>ordos_dustdrone</t>
        </is>
      </c>
      <c r="C1067" t="inlineStr">
        <is>
          <t>Dust Drone</t>
        </is>
      </c>
      <c r="D1067" s="6" t="inlineStr">
        <is>
          <t>MissileVehicle</t>
        </is>
      </c>
      <c r="E1067" s="6" t="n">
        <v>32500</v>
      </c>
      <c r="F1067" s="6" t="n">
        <v>145</v>
      </c>
      <c r="G1067" t="inlineStr">
        <is>
          <t>Light</t>
        </is>
      </c>
      <c r="H1067" s="6" t="n">
        <v>1</v>
      </c>
      <c r="I1067" s="6" t="n">
        <v>1</v>
      </c>
      <c r="J1067" s="6" t="n">
        <v>1</v>
      </c>
      <c r="P1067">
        <f>MAX(P1068)</f>
        <v/>
      </c>
      <c r="S1067">
        <f>S1068</f>
        <v/>
      </c>
      <c r="T1067">
        <f>(E1067/100000+F1067/100+(P1067/1000)*J1067/5+S1067/200)*200*I1067*H1067</f>
        <v/>
      </c>
      <c r="U1067">
        <f>((E1067*F1067/25000)+((P1067/1000)*J1067*S1067/2.5))*I1067*H1067</f>
        <v/>
      </c>
      <c r="V1067">
        <f>(E1067*F1067*(P1067/1000)*J1067*S1067*I1067*H1067)/12500000</f>
        <v/>
      </c>
      <c r="W1067">
        <f>IFERROR((((E1067/160000)+(F1067/100)+(S1067/1200)+((P1067/8000)*J1067))*1200/4+(((E1067/160000)*(F1067/100))+(((P1067/8000)*J1067)*(S1067/1200)))*1200/2+((E1067/160000)*(F1067/100)*((P1067/8000)*J1067)*(S1067/1200))*1200)*(H1067/1.0)/3,"")</f>
        <v/>
      </c>
      <c r="X1067" s="6" t="n">
        <v>1400</v>
      </c>
      <c r="Y1067">
        <f>IFERROR(W1067-X1067,"")</f>
        <v/>
      </c>
      <c r="Z1067">
        <f>IFERROR(ABS(Y1067)/MAX(X1067,1),"")</f>
        <v/>
      </c>
      <c r="AA1067">
        <f>IFERROR(ROUND(((3*X1067-(((E1067/160000)+(F1067/100)+(S1067/1200))*1200/4+((E1067/160000)*(F1067/100))*1200/2)*(H1067/1.0))/(1200/4+((S1067/1200))*1200/2+((E1067/160000)*(F1067/100)*(S1067/1200))*1200)*(H1067/1.0)*8000)/J1067,-1),"")</f>
        <v/>
      </c>
    </row>
    <row r="1068">
      <c r="B1068" s="7" t="inlineStr">
        <is>
          <t xml:space="preserve">  ↳ D2K_APC_Rocket</t>
        </is>
      </c>
      <c r="C1068" s="7" t="inlineStr">
        <is>
          <t>Armament</t>
        </is>
      </c>
      <c r="L1068" s="6" t="n">
        <v>24000</v>
      </c>
      <c r="M1068" s="6" t="n">
        <v>42</v>
      </c>
      <c r="N1068" s="6" t="n">
        <v>1</v>
      </c>
      <c r="O1068" s="6" t="n"/>
      <c r="P1068" s="6" t="n">
        <v>6500</v>
      </c>
      <c r="Q1068" s="6" t="n">
        <v>1</v>
      </c>
      <c r="R1068">
        <f>M1068+IF(MAX(N1068-1,0)&gt;0,IF(ISBLANK(O1068),5*MAX(N1068-1,0),IF(ISNUMBER(O1068),O1068*MAX(N1068-1,0),SUM(IFERROR(VALUE(TEXTSPLIT(O1068,",")),0)))),0)</f>
        <v/>
      </c>
      <c r="S1068">
        <f>IFERROR(L1068*MAX(N1068,1)/R1068*IF(ISBLANK(K1067),1,K1067),0)</f>
        <v/>
      </c>
      <c r="AB1068" s="7" t="inlineStr">
        <is>
          <t>^Warhead_MissileAP_Light, ^Warhead_MissileAP_Medium, ^Warhead_MissileAP_Heavy</t>
        </is>
      </c>
    </row>
    <row r="1069">
      <c r="A1069" t="inlineStr">
        <is>
          <t>d2k</t>
        </is>
      </c>
      <c r="B1069" t="inlineStr">
        <is>
          <t>ixian_ixmissiletank</t>
        </is>
      </c>
      <c r="C1069" t="inlineStr">
        <is>
          <t>Ix Missile Tank</t>
        </is>
      </c>
      <c r="D1069" s="6" t="inlineStr">
        <is>
          <t>MissileVehicle</t>
        </is>
      </c>
      <c r="E1069" s="6" t="n">
        <v>50000</v>
      </c>
      <c r="F1069" s="6" t="n">
        <v>50</v>
      </c>
      <c r="G1069" t="inlineStr">
        <is>
          <t>Light</t>
        </is>
      </c>
      <c r="H1069" s="6" t="n">
        <v>0.75</v>
      </c>
      <c r="I1069" s="6" t="n">
        <v>1</v>
      </c>
      <c r="J1069" s="6" t="n">
        <v>1.25</v>
      </c>
      <c r="P1069">
        <f>MAX(P1070)</f>
        <v/>
      </c>
      <c r="S1069">
        <f>S1070</f>
        <v/>
      </c>
      <c r="T1069">
        <f>(E1069/100000+F1069/100+(P1069/1000)*J1069/5+S1069/200)*200*I1069*H1069</f>
        <v/>
      </c>
      <c r="U1069">
        <f>((E1069*F1069/25000)+((P1069/1000)*J1069*S1069/2.5))*I1069*H1069</f>
        <v/>
      </c>
      <c r="V1069">
        <f>(E1069*F1069*(P1069/1000)*J1069*S1069*I1069*H1069)/12500000</f>
        <v/>
      </c>
      <c r="W1069">
        <f>IFERROR((((E1069/160000)+(F1069/100)+(S1069/1200)+((P1069/8000)*J1069))*1200/4+(((E1069/160000)*(F1069/100))+(((P1069/8000)*J1069)*(S1069/1200)))*1200/2+((E1069/160000)*(F1069/100)*((P1069/8000)*J1069)*(S1069/1200))*1200)*(H1069/1.0)/3,"")</f>
        <v/>
      </c>
      <c r="X1069" s="6" t="n">
        <v>2250</v>
      </c>
      <c r="Y1069">
        <f>IFERROR(W1069-X1069,"")</f>
        <v/>
      </c>
      <c r="Z1069">
        <f>IFERROR(ABS(Y1069)/MAX(X1069,1),"")</f>
        <v/>
      </c>
      <c r="AA1069">
        <f>IFERROR(ROUND(((3*X1069-(((E1069/160000)+(F1069/100)+(S1069/1200))*1200/4+((E1069/160000)*(F1069/100))*1200/2)*(H1069/1.0))/(1200/4+((S1069/1200))*1200/2+((E1069/160000)*(F1069/100)*(S1069/1200))*1200)*(H1069/1.0)*8000)/J1069,-1),"")</f>
        <v/>
      </c>
    </row>
    <row r="1070">
      <c r="B1070" s="7" t="inlineStr">
        <is>
          <t xml:space="preserve">  ↳ mtank_pri2</t>
        </is>
      </c>
      <c r="C1070" s="7" t="inlineStr">
        <is>
          <t>Armament</t>
        </is>
      </c>
      <c r="L1070" s="6" t="n">
        <v>24000</v>
      </c>
      <c r="M1070" s="6" t="n">
        <v>5</v>
      </c>
      <c r="N1070" s="6" t="n">
        <v>1</v>
      </c>
      <c r="O1070" s="6" t="n"/>
      <c r="P1070" s="6" t="n">
        <v>10052</v>
      </c>
      <c r="Q1070" s="6" t="n">
        <v>1.25</v>
      </c>
      <c r="R1070">
        <f>M1070+IF(MAX(N1070-1,0)&gt;0,IF(ISBLANK(O1070),5*MAX(N1070-1,0),IF(ISNUMBER(O1070),O1070*MAX(N1070-1,0),SUM(IFERROR(VALUE(TEXTSPLIT(O1070,",")),0)))),0)</f>
        <v/>
      </c>
      <c r="S1070">
        <f>IFERROR(L1070*MAX(N1070,1)/R1070*IF(ISBLANK(K1069),1,K1069),0)</f>
        <v/>
      </c>
      <c r="AB1070" s="7" t="inlineStr">
        <is>
          <t>^Warhead_MissileAP_Heavy</t>
        </is>
      </c>
    </row>
    <row r="1071">
      <c r="A1071" t="inlineStr">
        <is>
          <t>d2k</t>
        </is>
      </c>
      <c r="B1071" t="inlineStr">
        <is>
          <t>missile_tank</t>
        </is>
      </c>
      <c r="C1071" t="inlineStr">
        <is>
          <t>Missile Tank</t>
        </is>
      </c>
      <c r="D1071" s="6" t="inlineStr">
        <is>
          <t>MissileVehicle</t>
        </is>
      </c>
      <c r="E1071" s="6" t="n">
        <v>50000</v>
      </c>
      <c r="F1071" s="6" t="n">
        <v>64</v>
      </c>
      <c r="G1071" t="inlineStr">
        <is>
          <t>Light</t>
        </is>
      </c>
      <c r="H1071" s="6" t="n">
        <v>0.4925</v>
      </c>
      <c r="I1071" s="6" t="n">
        <v>1</v>
      </c>
      <c r="J1071" s="6" t="n">
        <v>1</v>
      </c>
      <c r="P1071">
        <f>MAX(P1072)</f>
        <v/>
      </c>
      <c r="S1071">
        <f>S1072</f>
        <v/>
      </c>
      <c r="T1071">
        <f>(E1071/100000+F1071/100+(P1071/1000)*J1071/5+S1071/200)*200*I1071*H1071</f>
        <v/>
      </c>
      <c r="U1071">
        <f>((E1071*F1071/25000)+((P1071/1000)*J1071*S1071/2.5))*I1071*H1071</f>
        <v/>
      </c>
      <c r="V1071">
        <f>(E1071*F1071*(P1071/1000)*J1071*S1071*I1071*H1071)/12500000</f>
        <v/>
      </c>
      <c r="W1071">
        <f>IFERROR((((E1071/160000)+(F1071/100)+(S1071/1200)+((P1071/8000)*J1071))*1200/4+(((E1071/160000)*(F1071/100))+(((P1071/8000)*J1071)*(S1071/1200)))*1200/2+((E1071/160000)*(F1071/100)*((P1071/8000)*J1071)*(S1071/1200))*1200)*(H1071/1.0)/3,"")</f>
        <v/>
      </c>
      <c r="X1071" s="6" t="n">
        <v>750</v>
      </c>
      <c r="Y1071">
        <f>IFERROR(W1071-X1071,"")</f>
        <v/>
      </c>
      <c r="Z1071">
        <f>IFERROR(ABS(Y1071)/MAX(X1071,1),"")</f>
        <v/>
      </c>
      <c r="AA1071">
        <f>IFERROR(ROUND(((3*X1071-(((E1071/160000)+(F1071/100)+(S1071/1200))*1200/4+((E1071/160000)*(F1071/100))*1200/2)*(H1071/1.0))/(1200/4+((S1071/1200))*1200/2+((E1071/160000)*(F1071/100)*(S1071/1200))*1200)*(H1071/1.0)*8000)/J1071,-1),"")</f>
        <v/>
      </c>
    </row>
    <row r="1072">
      <c r="B1072" s="7" t="inlineStr">
        <is>
          <t xml:space="preserve">  ↳ mtank_pri</t>
        </is>
      </c>
      <c r="C1072" s="7" t="inlineStr">
        <is>
          <t>Armament</t>
        </is>
      </c>
      <c r="L1072" s="6" t="n">
        <v>17000</v>
      </c>
      <c r="M1072" s="6" t="n">
        <v>150</v>
      </c>
      <c r="N1072" s="6" t="n">
        <v>4</v>
      </c>
      <c r="O1072" s="6" t="n">
        <v>25</v>
      </c>
      <c r="P1072" s="6" t="n">
        <v>10240</v>
      </c>
      <c r="Q1072" s="6" t="n">
        <v>1.25</v>
      </c>
      <c r="R1072">
        <f>M1072+IF(MAX(N1072-1,0)&gt;0,IF(ISBLANK(O1072),5*MAX(N1072-1,0),IF(ISNUMBER(O1072),O1072*MAX(N1072-1,0),SUM(IFERROR(VALUE(TEXTSPLIT(O1072,",")),0)))),0)</f>
        <v/>
      </c>
      <c r="S1072">
        <f>IFERROR(L1072*MAX(N1072,1)/R1072*IF(ISBLANK(K1071),1,K1071),0)</f>
        <v/>
      </c>
      <c r="AB1072" s="7" t="inlineStr">
        <is>
          <t>^Warhead_MissileAP_Heavy</t>
        </is>
      </c>
    </row>
    <row r="1073">
      <c r="A1073" t="inlineStr">
        <is>
          <t>starcraft</t>
        </is>
      </c>
      <c r="B1073" t="inlineStr">
        <is>
          <t>terran_cyclone</t>
        </is>
      </c>
      <c r="C1073" t="inlineStr">
        <is>
          <t>Cyclone</t>
        </is>
      </c>
      <c r="D1073" s="6" t="inlineStr">
        <is>
          <t>MissileVehicle</t>
        </is>
      </c>
      <c r="E1073" s="6" t="n">
        <v>90000</v>
      </c>
      <c r="F1073" s="6" t="n">
        <v>115</v>
      </c>
      <c r="G1073" t="inlineStr">
        <is>
          <t>Light</t>
        </is>
      </c>
      <c r="H1073" s="6" t="n">
        <v>1</v>
      </c>
      <c r="I1073" s="6" t="n">
        <v>1</v>
      </c>
      <c r="J1073" s="6" t="n">
        <v>1.25</v>
      </c>
      <c r="P1073">
        <f>MAX(P1074,P1075)</f>
        <v/>
      </c>
      <c r="S1073">
        <f>S1074+S1075</f>
        <v/>
      </c>
      <c r="T1073">
        <f>(E1073/100000+F1073/100+(P1073/1000)*J1073/5+S1073/200)*200*I1073*H1073</f>
        <v/>
      </c>
      <c r="U1073">
        <f>((E1073*F1073/25000)+((P1073/1000)*J1073*S1073/2.5))*I1073*H1073</f>
        <v/>
      </c>
      <c r="V1073">
        <f>(E1073*F1073*(P1073/1000)*J1073*S1073*I1073*H1073)/12500000</f>
        <v/>
      </c>
      <c r="W1073">
        <f>IFERROR((((E1073/160000)+(F1073/100)+(S1073/1200)+((P1073/8000)*J1073))*1200/4+(((E1073/160000)*(F1073/100))+(((P1073/8000)*J1073)*(S1073/1200)))*1200/2+((E1073/160000)*(F1073/100)*((P1073/8000)*J1073)*(S1073/1200))*1200)*(H1073/1.0)/3,"")</f>
        <v/>
      </c>
      <c r="X1073" s="6" t="n">
        <v>2300</v>
      </c>
      <c r="Y1073">
        <f>IFERROR(W1073-X1073,"")</f>
        <v/>
      </c>
      <c r="Z1073">
        <f>IFERROR(ABS(Y1073)/MAX(X1073,1),"")</f>
        <v/>
      </c>
      <c r="AA1073">
        <f>IFERROR(ROUND(((3*X1073-(((E1073/160000)+(F1073/100)+(S1073/1200))*1200/4+((E1073/160000)*(F1073/100))*1200/2)*(H1073/1.0))/(1200/4+((S1073/1200))*1200/2+((E1073/160000)*(F1073/100)*(S1073/1200))*1200)*(H1073/1.0)*8000)/J1073,-1),"")</f>
        <v/>
      </c>
    </row>
    <row r="1074">
      <c r="B1074" s="7" t="inlineStr">
        <is>
          <t xml:space="preserve">  ↳ CycloneRockets</t>
        </is>
      </c>
      <c r="C1074" s="7" t="inlineStr">
        <is>
          <t>Armament</t>
        </is>
      </c>
      <c r="L1074" s="6" t="n">
        <v>4000</v>
      </c>
      <c r="M1074" s="6" t="n">
        <v>35</v>
      </c>
      <c r="N1074" s="6" t="n">
        <v>6</v>
      </c>
      <c r="O1074" s="6" t="n">
        <v>2</v>
      </c>
      <c r="P1074" s="6" t="n">
        <v>7320</v>
      </c>
      <c r="Q1074" s="6" t="n">
        <v>0.875</v>
      </c>
      <c r="R1074">
        <f>M1074+IF(MAX(N1074-1,0)&gt;0,IF(ISBLANK(O1074),5*MAX(N1074-1,0),IF(ISNUMBER(O1074),O1074*MAX(N1074-1,0),SUM(IFERROR(VALUE(TEXTSPLIT(O1074,",")),0)))),0)</f>
        <v/>
      </c>
      <c r="S1074">
        <f>IFERROR(L1074*MAX(N1074,1)/R1074*IF(ISBLANK(K1073),1,K1073),0)</f>
        <v/>
      </c>
      <c r="AB1074" s="7" t="inlineStr">
        <is>
          <t>^Warhead_MissileHE_Medium, ^Warhead_MissileHE_Light</t>
        </is>
      </c>
    </row>
    <row r="1075">
      <c r="B1075" s="7" t="inlineStr">
        <is>
          <t xml:space="preserve">  ↳ CycloneRocketsLockOn</t>
        </is>
      </c>
      <c r="C1075" s="7" t="inlineStr">
        <is>
          <t>Armament@lockedon</t>
        </is>
      </c>
      <c r="L1075" s="6" t="n">
        <v>4000</v>
      </c>
      <c r="M1075" s="6" t="n">
        <v>35</v>
      </c>
      <c r="N1075" s="6" t="n">
        <v>6</v>
      </c>
      <c r="O1075" s="6" t="n">
        <v>2</v>
      </c>
      <c r="P1075" s="6" t="n">
        <v>10000</v>
      </c>
      <c r="Q1075" s="6" t="n">
        <v>0.875</v>
      </c>
      <c r="R1075">
        <f>M1075+IF(MAX(N1075-1,0)&gt;0,IF(ISBLANK(O1075),5*MAX(N1075-1,0),IF(ISNUMBER(O1075),O1075*MAX(N1075-1,0),SUM(IFERROR(VALUE(TEXTSPLIT(O1075,",")),0)))),0)</f>
        <v/>
      </c>
      <c r="S1075">
        <f>IFERROR(L1075*MAX(N1075,1)/R1075*IF(ISBLANK(K1073),1,K1073),0)</f>
        <v/>
      </c>
      <c r="AB1075" s="7" t="inlineStr">
        <is>
          <t>^Warhead_MissileHE_Medium, ^Warhead_MissileHE_Light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1076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9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Fighter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tiberiandawn</t>
        </is>
      </c>
      <c r="B3" t="inlineStr">
        <is>
          <t>gdirigdrone</t>
        </is>
      </c>
      <c r="C3" t="inlineStr">
        <is>
          <t>Scalpel</t>
        </is>
      </c>
      <c r="D3" s="6" t="inlineStr">
        <is>
          <t>Fighter</t>
        </is>
      </c>
      <c r="E3" s="6" t="n">
        <v>25000</v>
      </c>
      <c r="F3" s="6" t="n">
        <v>120</v>
      </c>
      <c r="G3" t="inlineStr">
        <is>
          <t>Fighter</t>
        </is>
      </c>
      <c r="H3" s="6" t="n">
        <v>1</v>
      </c>
      <c r="I3" s="6" t="n">
        <v>1</v>
      </c>
      <c r="J3" s="6" t="n">
        <v>1</v>
      </c>
      <c r="P3">
        <f>MAX(P4,P5)</f>
        <v/>
      </c>
      <c r="S3">
        <f>S4+S5</f>
        <v/>
      </c>
      <c r="T3">
        <f>(E3/100000+F3/100+(P3/1000)*J3/5+S3/200)*200*I3*H3</f>
        <v/>
      </c>
      <c r="U3">
        <f>((E3*F3/25000)+((P3/1000)*J3*S3/2.5))*I3*H3</f>
        <v/>
      </c>
      <c r="V3">
        <f>(E3*F3*(P3/1000)*J3*S3*I3*H3)/12500000</f>
        <v/>
      </c>
      <c r="W3">
        <f>(T3+U3+V3)/3</f>
        <v/>
      </c>
      <c r="X3" s="6" t="n">
        <v>500</v>
      </c>
      <c r="Y3">
        <f>IFERROR(W3-X3,"")</f>
        <v/>
      </c>
      <c r="Z3">
        <f>IFERROR(ABS(Y3)/MAX(X3,1),"")</f>
        <v/>
      </c>
      <c r="AA3">
        <f>IFERROR((X3-(((E3/100000+F3/100+S3/200)*200*I3*H3)+((E3*F3/25000)*I3*H3))/3)/(((J3/5)*200*I3*H3)+((J3*S3/2.5)*I3*H3)+((E3*F3*J3*S3*I3*H3)/12500000))/3*1000,"")</f>
        <v/>
      </c>
    </row>
    <row r="4">
      <c r="B4" s="7" t="inlineStr">
        <is>
          <t xml:space="preserve">  ↳ GDIRigPDLaser</t>
        </is>
      </c>
      <c r="C4" s="7" t="inlineStr">
        <is>
          <t>Armament@pointdefense</t>
        </is>
      </c>
      <c r="L4" s="6" t="n">
        <v>2000</v>
      </c>
      <c r="M4" s="6" t="n">
        <v>25</v>
      </c>
      <c r="N4" s="6" t="n">
        <v>1</v>
      </c>
      <c r="O4" s="6" t="n"/>
      <c r="P4" s="6" t="n">
        <v>6000</v>
      </c>
      <c r="Q4" s="6" t="n">
        <v>1.25</v>
      </c>
      <c r="R4">
        <f>M4+IF(MAX(N4-1,0)&gt;0,IF(ISBLANK(O4),5*MAX(N4-1,0),IF(ISNUMBER(O4),O4*MAX(N4-1,0),SUM(IFERROR(VALUE(TEXTSPLIT(O4,",")),0)))),0)</f>
        <v/>
      </c>
      <c r="S4">
        <f>IFERROR(L4*MAX(N4,1)/R4*IF(ISBLANK(K3),1,K3),0)</f>
        <v/>
      </c>
      <c r="AB4" s="7" t="inlineStr">
        <is>
          <t>^Warhead_Laser_Heavy</t>
        </is>
      </c>
    </row>
    <row r="5">
      <c r="B5" s="7" t="inlineStr">
        <is>
          <t xml:space="preserve">  ↳ GDIRigDroneRepair</t>
        </is>
      </c>
      <c r="C5" s="7" t="inlineStr">
        <is>
          <t>Armament@PRIMARY</t>
        </is>
      </c>
      <c r="L5" s="6" t="n">
        <v>-3000</v>
      </c>
      <c r="M5" s="6" t="n">
        <v>5</v>
      </c>
      <c r="N5" s="6" t="n">
        <v>1</v>
      </c>
      <c r="O5" s="6" t="n">
        <v>1</v>
      </c>
      <c r="P5" s="6" t="n">
        <v>6000</v>
      </c>
      <c r="Q5" s="6" t="n">
        <v>1</v>
      </c>
      <c r="R5">
        <f>M5+IF(MAX(N5-1,0)&gt;0,IF(ISBLANK(O5),5*MAX(N5-1,0),IF(ISNUMBER(O5),O5*MAX(N5-1,0),SUM(IFERROR(VALUE(TEXTSPLIT(O5,",")),0)))),0)</f>
        <v/>
      </c>
      <c r="S5">
        <f>IFERROR(L5*MAX(N5,1)/R5*IF(ISBLANK(K3),1,K3),0)</f>
        <v/>
      </c>
      <c r="AB5" s="7" t="inlineStr">
        <is>
          <t>^RepairWeapon</t>
        </is>
      </c>
    </row>
    <row r="6">
      <c r="A6" t="inlineStr">
        <is>
          <t>redalert</t>
        </is>
      </c>
      <c r="B6" t="inlineStr">
        <is>
          <t>japan_zerofighter</t>
        </is>
      </c>
      <c r="C6" t="inlineStr">
        <is>
          <t>Zero Fighter</t>
        </is>
      </c>
      <c r="D6" s="6" t="inlineStr">
        <is>
          <t>Fighter</t>
        </is>
      </c>
      <c r="E6" s="6" t="n">
        <v>30000</v>
      </c>
      <c r="F6" s="6" t="n">
        <v>175</v>
      </c>
      <c r="G6" t="inlineStr">
        <is>
          <t>Fighter</t>
        </is>
      </c>
      <c r="H6" s="6" t="n">
        <v>0.7174</v>
      </c>
      <c r="I6" s="6" t="n">
        <v>1</v>
      </c>
      <c r="J6" s="6" t="n">
        <v>1</v>
      </c>
      <c r="K6" t="n">
        <v>0.005</v>
      </c>
      <c r="P6">
        <f>MAX(P7,P8,P9,P10)</f>
        <v/>
      </c>
      <c r="S6">
        <f>S7+S8+S9+S10</f>
        <v/>
      </c>
      <c r="T6">
        <f>(E6/100000+F6/100+(P6/1000)*J6/5+S6/200)*200*I6*H6</f>
        <v/>
      </c>
      <c r="U6">
        <f>((E6*F6/25000)+((P6/1000)*J6*S6/2.5))*I6*H6</f>
        <v/>
      </c>
      <c r="V6">
        <f>(E6*F6*(P6/1000)*J6*S6*I6*H6)/12500000</f>
        <v/>
      </c>
      <c r="W6">
        <f>(T6+U6+V6)/3</f>
        <v/>
      </c>
      <c r="X6" s="6" t="n">
        <v>1200</v>
      </c>
      <c r="Y6">
        <f>IFERROR(W6-X6,"")</f>
        <v/>
      </c>
      <c r="Z6">
        <f>IFERROR(ABS(Y6)/MAX(X6,1),"")</f>
        <v/>
      </c>
      <c r="AA6">
        <f>IFERROR((X6-(((E6/100000+F6/100+S6/200)*200*I6*H6)+((E6*F6/25000)*I6*H6))/3)/(((J6/5)*200*I6*H6)+((J6*S6/2.5)*I6*H6)+((E6*F6*J6*S6*I6*H6)/12500000))/3*1000,"")</f>
        <v/>
      </c>
    </row>
    <row r="7">
      <c r="B7" s="7" t="inlineStr">
        <is>
          <t xml:space="preserve">  ↳ ZeroFighterArrows</t>
        </is>
      </c>
      <c r="C7" s="7" t="inlineStr">
        <is>
          <t>Armament@Missiles</t>
        </is>
      </c>
      <c r="L7" s="6" t="n">
        <v>36000</v>
      </c>
      <c r="M7" s="6" t="n">
        <v>110</v>
      </c>
      <c r="N7" s="6" t="n">
        <v>2</v>
      </c>
      <c r="O7" s="6" t="n">
        <v>9</v>
      </c>
      <c r="P7" s="6" t="n">
        <v>6615</v>
      </c>
      <c r="Q7" s="6" t="n">
        <v>0.875</v>
      </c>
      <c r="R7">
        <f>M7+IF(MAX(N7-1,0)&gt;0,IF(ISBLANK(O7),5*MAX(N7-1,0),IF(ISNUMBER(O7),O7*MAX(N7-1,0),SUM(IFERROR(VALUE(TEXTSPLIT(O7,",")),0)))),0)</f>
        <v/>
      </c>
      <c r="S7">
        <f>IFERROR(L7*MAX(N7,1)/R7*IF(ISBLANK(K6),1,K6),0)</f>
        <v/>
      </c>
      <c r="AB7" s="7" t="inlineStr">
        <is>
          <t>^Warhead_MissileHE_Medium, ^Warhead_Arrow_Light</t>
        </is>
      </c>
    </row>
    <row r="8">
      <c r="B8" s="7" t="inlineStr">
        <is>
          <t xml:space="preserve">  ↳ ZeroFighterArrowsEnergized</t>
        </is>
      </c>
      <c r="C8" s="7" t="inlineStr">
        <is>
          <t>Armament@MissilesUpgrade</t>
        </is>
      </c>
      <c r="L8" s="6" t="n">
        <v>32000</v>
      </c>
      <c r="M8" s="6" t="n">
        <v>110</v>
      </c>
      <c r="N8" s="6" t="n">
        <v>2</v>
      </c>
      <c r="O8" s="6" t="n">
        <v>9</v>
      </c>
      <c r="P8" s="6" t="n">
        <v>6615</v>
      </c>
      <c r="Q8" s="6" t="n">
        <v>0.875</v>
      </c>
      <c r="R8">
        <f>M8+IF(MAX(N8-1,0)&gt;0,IF(ISBLANK(O8),5*MAX(N8-1,0),IF(ISNUMBER(O8),O8*MAX(N8-1,0),SUM(IFERROR(VALUE(TEXTSPLIT(O8,",")),0)))),0)</f>
        <v/>
      </c>
      <c r="S8">
        <f>IFERROR(L8*MAX(N8,1)/R8*IF(ISBLANK(K6),1,K6),0)</f>
        <v/>
      </c>
      <c r="AB8" s="7" t="inlineStr">
        <is>
          <t>^Warhead_MissileHE_Medium, ^Warhead_Arrow_Light</t>
        </is>
      </c>
    </row>
    <row r="9">
      <c r="B9" s="7" t="inlineStr">
        <is>
          <t xml:space="preserve">  ↳ ZeroFighterChainGun</t>
        </is>
      </c>
      <c r="C9" s="7" t="inlineStr">
        <is>
          <t>Armament@PRIMARY</t>
        </is>
      </c>
      <c r="L9" s="6" t="n">
        <v>6000</v>
      </c>
      <c r="M9" s="6" t="n">
        <v>92</v>
      </c>
      <c r="N9" s="6" t="n">
        <v>12</v>
      </c>
      <c r="O9" s="6" t="n">
        <v>4</v>
      </c>
      <c r="P9" s="6" t="n">
        <v>6615</v>
      </c>
      <c r="Q9" s="6" t="n">
        <v>1</v>
      </c>
      <c r="R9">
        <f>M9+IF(MAX(N9-1,0)&gt;0,IF(ISBLANK(O9),5*MAX(N9-1,0),IF(ISNUMBER(O9),O9*MAX(N9-1,0),SUM(IFERROR(VALUE(TEXTSPLIT(O9,",")),0)))),0)</f>
        <v/>
      </c>
      <c r="S9">
        <f>IFERROR(L9*MAX(N9,1)/R9*IF(ISBLANK(K6),1,K6),0)</f>
        <v/>
      </c>
      <c r="AB9" s="7" t="inlineStr">
        <is>
          <t>^Warhead_Bullet_Medium</t>
        </is>
      </c>
    </row>
    <row r="10">
      <c r="B10" s="7" t="inlineStr">
        <is>
          <t xml:space="preserve">  ↳ ZeroFighterChainGunWaveforce</t>
        </is>
      </c>
      <c r="C10" s="7" t="inlineStr">
        <is>
          <t>Armament@Upgrade</t>
        </is>
      </c>
      <c r="L10" s="6" t="n">
        <v>11000</v>
      </c>
      <c r="M10" s="6" t="n">
        <v>92</v>
      </c>
      <c r="N10" s="6" t="n">
        <v>12</v>
      </c>
      <c r="O10" s="6" t="n">
        <v>4</v>
      </c>
      <c r="P10" s="6" t="n">
        <v>6615</v>
      </c>
      <c r="Q10" s="6" t="n">
        <v>1.125</v>
      </c>
      <c r="R10">
        <f>M10+IF(MAX(N10-1,0)&gt;0,IF(ISBLANK(O10),5*MAX(N10-1,0),IF(ISNUMBER(O10),O10*MAX(N10-1,0),SUM(IFERROR(VALUE(TEXTSPLIT(O10,",")),0)))),0)</f>
        <v/>
      </c>
      <c r="S10">
        <f>IFERROR(L10*MAX(N10,1)/R10*IF(ISBLANK(K6),1,K6),0)</f>
        <v/>
      </c>
      <c r="AB10" s="7" t="inlineStr">
        <is>
          <t>^Warhead_Railgun_Heavy, ^Warhead_Bullet_Medium</t>
        </is>
      </c>
    </row>
    <row r="11">
      <c r="A11" t="inlineStr">
        <is>
          <t>redalert</t>
        </is>
      </c>
      <c r="B11" t="inlineStr">
        <is>
          <t>ra1_soviets_armoredyak</t>
        </is>
      </c>
      <c r="C11" t="inlineStr">
        <is>
          <t>Armored Yak</t>
        </is>
      </c>
      <c r="D11" s="6" t="inlineStr">
        <is>
          <t>Fighter</t>
        </is>
      </c>
      <c r="E11" s="6" t="n">
        <v>80000</v>
      </c>
      <c r="F11" s="6" t="n">
        <v>135</v>
      </c>
      <c r="G11" t="inlineStr">
        <is>
          <t>Fighter</t>
        </is>
      </c>
      <c r="H11" s="6" t="n">
        <v>1</v>
      </c>
      <c r="I11" s="6" t="n">
        <v>1</v>
      </c>
      <c r="J11" s="6" t="n">
        <v>1</v>
      </c>
      <c r="P11">
        <f>MAX(P12,P13,P14,P15)</f>
        <v/>
      </c>
      <c r="S11">
        <f>S12+S13+S14+S15</f>
        <v/>
      </c>
      <c r="T11">
        <f>(E11/100000+F11/100+(P11/1000)*J11/5+S11/200)*200*I11*H11</f>
        <v/>
      </c>
      <c r="U11">
        <f>((E11*F11/25000)+((P11/1000)*J11*S11/2.5))*I11*H11</f>
        <v/>
      </c>
      <c r="V11">
        <f>(E11*F11*(P11/1000)*J11*S11*I11*H11)/12500000</f>
        <v/>
      </c>
      <c r="W11">
        <f>(T11+U11+V11)/3</f>
        <v/>
      </c>
      <c r="X11" s="6" t="n">
        <v>1600</v>
      </c>
      <c r="Y11">
        <f>IFERROR(W11-X11,"")</f>
        <v/>
      </c>
      <c r="Z11">
        <f>IFERROR(ABS(Y11)/MAX(X11,1),"")</f>
        <v/>
      </c>
      <c r="AA11">
        <f>IFERROR((X11-(((E11/100000+F11/100+S11/200)*200*I11*H11)+((E11*F11/25000)*I11*H11))/3)/(((J11/5)*200*I11*H11)+((J11*S11/2.5)*I11*H11)+((E11*F11*J11*S11*I11*H11)/12500000))/3*1000,"")</f>
        <v/>
      </c>
    </row>
    <row r="12">
      <c r="B12" s="7" t="inlineStr">
        <is>
          <t xml:space="preserve">  ↳ ArmoredYakChainGun</t>
        </is>
      </c>
      <c r="C12" s="7" t="inlineStr">
        <is>
          <t>Armament@PRIMARY</t>
        </is>
      </c>
      <c r="L12" s="6" t="n">
        <v>4000</v>
      </c>
      <c r="M12" s="6" t="n">
        <v>148</v>
      </c>
      <c r="N12" s="6" t="n">
        <v>10</v>
      </c>
      <c r="O12" s="6" t="n">
        <v>3</v>
      </c>
      <c r="P12" s="6" t="n">
        <v>6460</v>
      </c>
      <c r="Q12" s="6" t="n">
        <v>1</v>
      </c>
      <c r="R12">
        <f>M12+IF(MAX(N12-1,0)&gt;0,IF(ISBLANK(O12),5*MAX(N12-1,0),IF(ISNUMBER(O12),O12*MAX(N12-1,0),SUM(IFERROR(VALUE(TEXTSPLIT(O12,",")),0)))),0)</f>
        <v/>
      </c>
      <c r="S12">
        <f>IFERROR(L12*MAX(N12,1)/R12*IF(ISBLANK(K11),1,K11),0)</f>
        <v/>
      </c>
      <c r="AB12" s="7" t="inlineStr">
        <is>
          <t>^Warhead_Bullet_Medium</t>
        </is>
      </c>
    </row>
    <row r="13">
      <c r="B13" s="7" t="inlineStr">
        <is>
          <t xml:space="preserve">  ↳ ArmoredYakChainGun</t>
        </is>
      </c>
      <c r="C13" s="7" t="inlineStr">
        <is>
          <t>Armament@SECONDARY</t>
        </is>
      </c>
      <c r="L13" s="6" t="n">
        <v>4000</v>
      </c>
      <c r="M13" s="6" t="n">
        <v>148</v>
      </c>
      <c r="N13" s="6" t="n">
        <v>10</v>
      </c>
      <c r="O13" s="6" t="n">
        <v>3</v>
      </c>
      <c r="P13" s="6" t="n">
        <v>6460</v>
      </c>
      <c r="Q13" s="6" t="n">
        <v>1</v>
      </c>
      <c r="R13">
        <f>M13+IF(MAX(N13-1,0)&gt;0,IF(ISBLANK(O13),5*MAX(N13-1,0),IF(ISNUMBER(O13),O13*MAX(N13-1,0),SUM(IFERROR(VALUE(TEXTSPLIT(O13,",")),0)))),0)</f>
        <v/>
      </c>
      <c r="S13">
        <f>IFERROR(L13*MAX(N13,1)/R13*IF(ISBLANK(K11),1,K11),0)</f>
        <v/>
      </c>
      <c r="AB13" s="7" t="inlineStr">
        <is>
          <t>^Warhead_Bullet_Medium</t>
        </is>
      </c>
    </row>
    <row r="14">
      <c r="B14" s="7" t="inlineStr">
        <is>
          <t xml:space="preserve">  ↳ IncendiaryArmoredYakChainGun</t>
        </is>
      </c>
      <c r="C14" s="7" t="inlineStr">
        <is>
          <t>Armament@Upgrade1</t>
        </is>
      </c>
      <c r="L14" s="6" t="n">
        <v>8000</v>
      </c>
      <c r="M14" s="6" t="n">
        <v>148</v>
      </c>
      <c r="N14" s="6" t="n">
        <v>10</v>
      </c>
      <c r="O14" s="6" t="n">
        <v>3</v>
      </c>
      <c r="P14" s="6" t="n">
        <v>6460</v>
      </c>
      <c r="Q14" s="6" t="n">
        <v>0.875</v>
      </c>
      <c r="R14">
        <f>M14+IF(MAX(N14-1,0)&gt;0,IF(ISBLANK(O14),5*MAX(N14-1,0),IF(ISNUMBER(O14),O14*MAX(N14-1,0),SUM(IFERROR(VALUE(TEXTSPLIT(O14,",")),0)))),0)</f>
        <v/>
      </c>
      <c r="S14">
        <f>IFERROR(L14*MAX(N14,1)/R14*IF(ISBLANK(K11),1,K11),0)</f>
        <v/>
      </c>
      <c r="AB14" s="7" t="inlineStr">
        <is>
          <t>^Warhead_Flame_Light, ^Warhead_Bullet_Medium</t>
        </is>
      </c>
    </row>
    <row r="15">
      <c r="B15" s="7" t="inlineStr">
        <is>
          <t xml:space="preserve">  ↳ IncendiaryArmoredYakChainGun</t>
        </is>
      </c>
      <c r="C15" s="7" t="inlineStr">
        <is>
          <t>Armament@Upgrade2</t>
        </is>
      </c>
      <c r="L15" s="6" t="n">
        <v>8000</v>
      </c>
      <c r="M15" s="6" t="n">
        <v>148</v>
      </c>
      <c r="N15" s="6" t="n">
        <v>10</v>
      </c>
      <c r="O15" s="6" t="n">
        <v>3</v>
      </c>
      <c r="P15" s="6" t="n">
        <v>6460</v>
      </c>
      <c r="Q15" s="6" t="n">
        <v>0.875</v>
      </c>
      <c r="R15">
        <f>M15+IF(MAX(N15-1,0)&gt;0,IF(ISBLANK(O15),5*MAX(N15-1,0),IF(ISNUMBER(O15),O15*MAX(N15-1,0),SUM(IFERROR(VALUE(TEXTSPLIT(O15,",")),0)))),0)</f>
        <v/>
      </c>
      <c r="S15">
        <f>IFERROR(L15*MAX(N15,1)/R15*IF(ISBLANK(K11),1,K11),0)</f>
        <v/>
      </c>
      <c r="AB15" s="7" t="inlineStr">
        <is>
          <t>^Warhead_Flame_Light, ^Warhead_Bullet_Medium</t>
        </is>
      </c>
    </row>
    <row r="16">
      <c r="A16" t="inlineStr">
        <is>
          <t>redalert</t>
        </is>
      </c>
      <c r="B16" t="inlineStr">
        <is>
          <t>ra1_soviets_nuclearyak</t>
        </is>
      </c>
      <c r="C16" t="inlineStr">
        <is>
          <t>Nuclear Yak</t>
        </is>
      </c>
      <c r="D16" s="6" t="inlineStr">
        <is>
          <t>Fighter</t>
        </is>
      </c>
      <c r="E16" s="6" t="n">
        <v>64000</v>
      </c>
      <c r="F16" s="6" t="n">
        <v>190</v>
      </c>
      <c r="G16" t="inlineStr">
        <is>
          <t>Fighter</t>
        </is>
      </c>
      <c r="H16" s="6" t="n">
        <v>1</v>
      </c>
      <c r="I16" s="6" t="n">
        <v>1</v>
      </c>
      <c r="J16" s="6" t="n">
        <v>1</v>
      </c>
      <c r="K16" t="n">
        <v>0.005</v>
      </c>
      <c r="P16">
        <f>MAX(P17,P18,P19,P20,P21)</f>
        <v/>
      </c>
      <c r="S16">
        <f>S17+S18+S19+S20+S21</f>
        <v/>
      </c>
      <c r="T16">
        <f>(E16/100000+F16/100+(P16/1000)*J16/5+S16/200)*200*I16*H16</f>
        <v/>
      </c>
      <c r="U16">
        <f>((E16*F16/25000)+((P16/1000)*J16*S16/2.5))*I16*H16</f>
        <v/>
      </c>
      <c r="V16">
        <f>(E16*F16*(P16/1000)*J16*S16*I16*H16)/12500000</f>
        <v/>
      </c>
      <c r="W16">
        <f>(T16+U16+V16)/3</f>
        <v/>
      </c>
      <c r="X16" s="6" t="n">
        <v>2000</v>
      </c>
      <c r="Y16">
        <f>IFERROR(W16-X16,"")</f>
        <v/>
      </c>
      <c r="Z16">
        <f>IFERROR(ABS(Y16)/MAX(X16,1),"")</f>
        <v/>
      </c>
      <c r="AA16">
        <f>IFERROR((X16-(((E16/100000+F16/100+S16/200)*200*I16*H16)+((E16*F16/25000)*I16*H16))/3)/(((J16/5)*200*I16*H16)+((J16*S16/2.5)*I16*H16)+((E16*F16*J16*S16*I16*H16)/12500000))/3*1000,"")</f>
        <v/>
      </c>
    </row>
    <row r="17">
      <c r="B17" s="7" t="inlineStr">
        <is>
          <t xml:space="preserve">  ↳ YakNuclearBomb</t>
        </is>
      </c>
      <c r="C17" s="7" t="inlineStr">
        <is>
          <t>Armament@BOMBS</t>
        </is>
      </c>
      <c r="L17" s="6" t="n">
        <v>200000</v>
      </c>
      <c r="M17" s="6" t="n">
        <v>125</v>
      </c>
      <c r="N17" s="6" t="n">
        <v>1</v>
      </c>
      <c r="O17" s="6" t="n"/>
      <c r="P17" s="6" t="n">
        <v>1250</v>
      </c>
      <c r="Q17" s="6" t="n">
        <v>1</v>
      </c>
      <c r="R17">
        <f>M17+IF(MAX(N17-1,0)&gt;0,IF(ISBLANK(O17),5*MAX(N17-1,0),IF(ISNUMBER(O17),O17*MAX(N17-1,0),SUM(IFERROR(VALUE(TEXTSPLIT(O17,",")),0)))),0)</f>
        <v/>
      </c>
      <c r="S17">
        <f>IFERROR(L17*MAX(N17,1)/R17*IF(ISBLANK(K16),1,K16),0)</f>
        <v/>
      </c>
      <c r="AB17" s="7" t="inlineStr">
        <is>
          <t>^HeavyBomb, ^HeavyChemicalWeapon, ^HeavyFlameWeapon, ^NuclearWarhead</t>
        </is>
      </c>
    </row>
    <row r="18">
      <c r="B18" s="7" t="inlineStr">
        <is>
          <t xml:space="preserve">  ↳ YakChainGun</t>
        </is>
      </c>
      <c r="C18" s="7" t="inlineStr">
        <is>
          <t>Armament@PRIMARY</t>
        </is>
      </c>
      <c r="L18" s="6" t="n">
        <v>4000</v>
      </c>
      <c r="M18" s="6" t="n">
        <v>100</v>
      </c>
      <c r="N18" s="6" t="n">
        <v>8</v>
      </c>
      <c r="O18" s="6" t="n">
        <v>3</v>
      </c>
      <c r="P18" s="6" t="n">
        <v>7000</v>
      </c>
      <c r="Q18" s="6" t="n">
        <v>1</v>
      </c>
      <c r="R18">
        <f>M18+IF(MAX(N18-1,0)&gt;0,IF(ISBLANK(O18),5*MAX(N18-1,0),IF(ISNUMBER(O18),O18*MAX(N18-1,0),SUM(IFERROR(VALUE(TEXTSPLIT(O18,",")),0)))),0)</f>
        <v/>
      </c>
      <c r="S18">
        <f>IFERROR(L18*MAX(N18,1)/R18*IF(ISBLANK(K16),1,K16),0)</f>
        <v/>
      </c>
      <c r="AB18" s="7" t="inlineStr">
        <is>
          <t>^Warhead_Bullet_Medium</t>
        </is>
      </c>
    </row>
    <row r="19">
      <c r="B19" s="7" t="inlineStr">
        <is>
          <t xml:space="preserve">  ↳ YakChainGun</t>
        </is>
      </c>
      <c r="C19" s="7" t="inlineStr">
        <is>
          <t>Armament@SECONDARY</t>
        </is>
      </c>
      <c r="L19" s="6" t="n">
        <v>4000</v>
      </c>
      <c r="M19" s="6" t="n">
        <v>100</v>
      </c>
      <c r="N19" s="6" t="n">
        <v>8</v>
      </c>
      <c r="O19" s="6" t="n">
        <v>3</v>
      </c>
      <c r="P19" s="6" t="n">
        <v>7000</v>
      </c>
      <c r="Q19" s="6" t="n">
        <v>1</v>
      </c>
      <c r="R19">
        <f>M19+IF(MAX(N19-1,0)&gt;0,IF(ISBLANK(O19),5*MAX(N19-1,0),IF(ISNUMBER(O19),O19*MAX(N19-1,0),SUM(IFERROR(VALUE(TEXTSPLIT(O19,",")),0)))),0)</f>
        <v/>
      </c>
      <c r="S19">
        <f>IFERROR(L19*MAX(N19,1)/R19*IF(ISBLANK(K16),1,K16),0)</f>
        <v/>
      </c>
      <c r="AB19" s="7" t="inlineStr">
        <is>
          <t>^Warhead_Bullet_Medium</t>
        </is>
      </c>
    </row>
    <row r="20">
      <c r="B20" s="7" t="inlineStr">
        <is>
          <t xml:space="preserve">  ↳ IncendiaryYakChainGun</t>
        </is>
      </c>
      <c r="C20" s="7" t="inlineStr">
        <is>
          <t>Armament@Upgrade1</t>
        </is>
      </c>
      <c r="L20" s="6" t="n">
        <v>8000</v>
      </c>
      <c r="M20" s="6" t="n">
        <v>100</v>
      </c>
      <c r="N20" s="6" t="n">
        <v>8</v>
      </c>
      <c r="O20" s="6" t="n">
        <v>3</v>
      </c>
      <c r="P20" s="6" t="n">
        <v>7000</v>
      </c>
      <c r="Q20" s="6" t="n">
        <v>0.875</v>
      </c>
      <c r="R20">
        <f>M20+IF(MAX(N20-1,0)&gt;0,IF(ISBLANK(O20),5*MAX(N20-1,0),IF(ISNUMBER(O20),O20*MAX(N20-1,0),SUM(IFERROR(VALUE(TEXTSPLIT(O20,",")),0)))),0)</f>
        <v/>
      </c>
      <c r="S20">
        <f>IFERROR(L20*MAX(N20,1)/R20*IF(ISBLANK(K16),1,K16),0)</f>
        <v/>
      </c>
      <c r="AB20" s="7" t="inlineStr">
        <is>
          <t>^Warhead_Flame_Light, ^Warhead_Bullet_Medium</t>
        </is>
      </c>
    </row>
    <row r="21">
      <c r="B21" s="7" t="inlineStr">
        <is>
          <t xml:space="preserve">  ↳ IncendiaryYakChainGun</t>
        </is>
      </c>
      <c r="C21" s="7" t="inlineStr">
        <is>
          <t>Armament@Upgrade2</t>
        </is>
      </c>
      <c r="L21" s="6" t="n">
        <v>8000</v>
      </c>
      <c r="M21" s="6" t="n">
        <v>100</v>
      </c>
      <c r="N21" s="6" t="n">
        <v>8</v>
      </c>
      <c r="O21" s="6" t="n">
        <v>3</v>
      </c>
      <c r="P21" s="6" t="n">
        <v>7000</v>
      </c>
      <c r="Q21" s="6" t="n">
        <v>0.875</v>
      </c>
      <c r="R21">
        <f>M21+IF(MAX(N21-1,0)&gt;0,IF(ISBLANK(O21),5*MAX(N21-1,0),IF(ISNUMBER(O21),O21*MAX(N21-1,0),SUM(IFERROR(VALUE(TEXTSPLIT(O21,",")),0)))),0)</f>
        <v/>
      </c>
      <c r="S21">
        <f>IFERROR(L21*MAX(N21,1)/R21*IF(ISBLANK(K16),1,K16),0)</f>
        <v/>
      </c>
      <c r="AB21" s="7" t="inlineStr">
        <is>
          <t>^Warhead_Flame_Light, ^Warhead_Bullet_Medium</t>
        </is>
      </c>
    </row>
    <row r="22">
      <c r="A22" t="inlineStr">
        <is>
          <t>redalert</t>
        </is>
      </c>
      <c r="B22" t="inlineStr">
        <is>
          <t>ra1_soviets_teslayak</t>
        </is>
      </c>
      <c r="C22" t="inlineStr">
        <is>
          <t>Tesla Yak</t>
        </is>
      </c>
      <c r="D22" s="6" t="inlineStr">
        <is>
          <t>Fighter</t>
        </is>
      </c>
      <c r="E22" s="6" t="n">
        <v>64000</v>
      </c>
      <c r="F22" s="6" t="n">
        <v>190</v>
      </c>
      <c r="G22" t="inlineStr">
        <is>
          <t>Fighter</t>
        </is>
      </c>
      <c r="H22" s="6" t="n">
        <v>1</v>
      </c>
      <c r="I22" s="6" t="n">
        <v>1</v>
      </c>
      <c r="J22" s="6" t="n">
        <v>1</v>
      </c>
      <c r="K22" t="n">
        <v>0.0025</v>
      </c>
      <c r="P22">
        <f>MAX(P23,P24,P25,P26,P27,P28,P29)</f>
        <v/>
      </c>
      <c r="S22">
        <f>S23+S24+S25+S26+S27+S28+S29</f>
        <v/>
      </c>
      <c r="T22">
        <f>(E22/100000+F22/100+(P22/1000)*J22/5+S22/200)*200*I22*H22</f>
        <v/>
      </c>
      <c r="U22">
        <f>((E22*F22/25000)+((P22/1000)*J22*S22/2.5))*I22*H22</f>
        <v/>
      </c>
      <c r="V22">
        <f>(E22*F22*(P22/1000)*J22*S22*I22*H22)/12500000</f>
        <v/>
      </c>
      <c r="W22">
        <f>(T22+U22+V22)/3</f>
        <v/>
      </c>
      <c r="X22" s="6" t="n">
        <v>2000</v>
      </c>
      <c r="Y22">
        <f>IFERROR(W22-X22,"")</f>
        <v/>
      </c>
      <c r="Z22">
        <f>IFERROR(ABS(Y22)/MAX(X22,1),"")</f>
        <v/>
      </c>
      <c r="AA22">
        <f>IFERROR((X22-(((E22/100000+F22/100+S22/200)*200*I22*H22)+((E22*F22/25000)*I22*H22))/3)/(((J22/5)*200*I22*H22)+((J22*S22/2.5)*I22*H22)+((E22*F22*J22*S22*I22*H22)/12500000))/3*1000,"")</f>
        <v/>
      </c>
    </row>
    <row r="23">
      <c r="B23" s="7" t="inlineStr">
        <is>
          <t xml:space="preserve">  ↳ YakTeslaBomb</t>
        </is>
      </c>
      <c r="C23" s="7" t="inlineStr">
        <is>
          <t>Armament@BOMBS</t>
        </is>
      </c>
      <c r="L23" s="6" t="n">
        <v>160000</v>
      </c>
      <c r="M23" s="6" t="n">
        <v>125</v>
      </c>
      <c r="N23" s="6" t="n">
        <v>1</v>
      </c>
      <c r="O23" s="6" t="n"/>
      <c r="P23" s="6" t="n">
        <v>1250</v>
      </c>
      <c r="Q23" s="6" t="n">
        <v>1</v>
      </c>
      <c r="R23">
        <f>M23+IF(MAX(N23-1,0)&gt;0,IF(ISBLANK(O23),5*MAX(N23-1,0),IF(ISNUMBER(O23),O23*MAX(N23-1,0),SUM(IFERROR(VALUE(TEXTSPLIT(O23,",")),0)))),0)</f>
        <v/>
      </c>
      <c r="S23">
        <f>IFERROR(L23*MAX(N23,1)/R23*IF(ISBLANK(K22),1,K22),0)</f>
        <v/>
      </c>
      <c r="AB23" s="7" t="inlineStr">
        <is>
          <t>^TeslaWeapon, ^HeavyBomb, ^HeavyChemicalWeapon, ^HeavyFlameWeapon, ^Effect_Kirov_Tesla_RA2</t>
        </is>
      </c>
    </row>
    <row r="24">
      <c r="B24" s="7" t="inlineStr">
        <is>
          <t xml:space="preserve">  ↳ YakTeslaGun</t>
        </is>
      </c>
      <c r="C24" s="7" t="inlineStr">
        <is>
          <t>Armament@Tesla</t>
        </is>
      </c>
      <c r="L24" s="6" t="n">
        <v>16000</v>
      </c>
      <c r="M24" s="6" t="n">
        <v>100</v>
      </c>
      <c r="N24" s="6" t="n">
        <v>8</v>
      </c>
      <c r="O24" s="6" t="n">
        <v>3</v>
      </c>
      <c r="P24" s="6" t="n">
        <v>7000</v>
      </c>
      <c r="Q24" s="6" t="n">
        <v>1</v>
      </c>
      <c r="R24">
        <f>M24+IF(MAX(N24-1,0)&gt;0,IF(ISBLANK(O24),5*MAX(N24-1,0),IF(ISNUMBER(O24),O24*MAX(N24-1,0),SUM(IFERROR(VALUE(TEXTSPLIT(O24,",")),0)))),0)</f>
        <v/>
      </c>
      <c r="S24">
        <f>IFERROR(L24*MAX(N24,1)/R24*IF(ISBLANK(K22),1,K22),0)</f>
        <v/>
      </c>
      <c r="AB24" s="7" t="inlineStr">
        <is>
          <t>^Warhead_MissileAP_Light, ^Warhead_Tesla_Heavy</t>
        </is>
      </c>
    </row>
    <row r="25">
      <c r="B25" s="7" t="inlineStr">
        <is>
          <t xml:space="preserve">  ↳ YakTeslaGunArc</t>
        </is>
      </c>
      <c r="C25" s="7" t="inlineStr">
        <is>
          <t>Armament@Arcing</t>
        </is>
      </c>
      <c r="L25" s="6" t="n">
        <v>16000</v>
      </c>
      <c r="M25" s="6" t="n">
        <v>100</v>
      </c>
      <c r="N25" s="6" t="n">
        <v>8</v>
      </c>
      <c r="O25" s="6" t="n">
        <v>3</v>
      </c>
      <c r="P25" s="6" t="n">
        <v>7000</v>
      </c>
      <c r="Q25" s="6" t="n">
        <v>1</v>
      </c>
      <c r="R25">
        <f>M25+IF(MAX(N25-1,0)&gt;0,IF(ISBLANK(O25),5*MAX(N25-1,0),IF(ISNUMBER(O25),O25*MAX(N25-1,0),SUM(IFERROR(VALUE(TEXTSPLIT(O25,",")),0)))),0)</f>
        <v/>
      </c>
      <c r="S25">
        <f>IFERROR(L25*MAX(N25,1)/R25*IF(ISBLANK(K22),1,K22),0)</f>
        <v/>
      </c>
      <c r="AB25" s="7" t="inlineStr">
        <is>
          <t>^Warhead_MissileAP_Light, ^Warhead_Tesla_Heavy</t>
        </is>
      </c>
    </row>
    <row r="26">
      <c r="B26" s="7" t="inlineStr">
        <is>
          <t xml:space="preserve">  ↳ YakChainGun</t>
        </is>
      </c>
      <c r="C26" s="7" t="inlineStr">
        <is>
          <t>Armament@PRIMARY</t>
        </is>
      </c>
      <c r="L26" s="6" t="n">
        <v>4000</v>
      </c>
      <c r="M26" s="6" t="n">
        <v>100</v>
      </c>
      <c r="N26" s="6" t="n">
        <v>8</v>
      </c>
      <c r="O26" s="6" t="n">
        <v>3</v>
      </c>
      <c r="P26" s="6" t="n">
        <v>7000</v>
      </c>
      <c r="Q26" s="6" t="n">
        <v>1</v>
      </c>
      <c r="R26">
        <f>M26+IF(MAX(N26-1,0)&gt;0,IF(ISBLANK(O26),5*MAX(N26-1,0),IF(ISNUMBER(O26),O26*MAX(N26-1,0),SUM(IFERROR(VALUE(TEXTSPLIT(O26,",")),0)))),0)</f>
        <v/>
      </c>
      <c r="S26">
        <f>IFERROR(L26*MAX(N26,1)/R26*IF(ISBLANK(K22),1,K22),0)</f>
        <v/>
      </c>
      <c r="AB26" s="7" t="inlineStr">
        <is>
          <t>^Warhead_Bullet_Medium</t>
        </is>
      </c>
    </row>
    <row r="27">
      <c r="B27" s="7" t="inlineStr">
        <is>
          <t xml:space="preserve">  ↳ YakChainGun</t>
        </is>
      </c>
      <c r="C27" s="7" t="inlineStr">
        <is>
          <t>Armament@SECONDARY</t>
        </is>
      </c>
      <c r="L27" s="6" t="n">
        <v>4000</v>
      </c>
      <c r="M27" s="6" t="n">
        <v>100</v>
      </c>
      <c r="N27" s="6" t="n">
        <v>8</v>
      </c>
      <c r="O27" s="6" t="n">
        <v>3</v>
      </c>
      <c r="P27" s="6" t="n">
        <v>7000</v>
      </c>
      <c r="Q27" s="6" t="n">
        <v>1</v>
      </c>
      <c r="R27">
        <f>M27+IF(MAX(N27-1,0)&gt;0,IF(ISBLANK(O27),5*MAX(N27-1,0),IF(ISNUMBER(O27),O27*MAX(N27-1,0),SUM(IFERROR(VALUE(TEXTSPLIT(O27,",")),0)))),0)</f>
        <v/>
      </c>
      <c r="S27">
        <f>IFERROR(L27*MAX(N27,1)/R27*IF(ISBLANK(K22),1,K22),0)</f>
        <v/>
      </c>
      <c r="AB27" s="7" t="inlineStr">
        <is>
          <t>^Warhead_Bullet_Medium</t>
        </is>
      </c>
    </row>
    <row r="28">
      <c r="B28" s="7" t="inlineStr">
        <is>
          <t xml:space="preserve">  ↳ IncendiaryYakChainGun</t>
        </is>
      </c>
      <c r="C28" s="7" t="inlineStr">
        <is>
          <t>Armament@Upgrade1</t>
        </is>
      </c>
      <c r="L28" s="6" t="n">
        <v>8000</v>
      </c>
      <c r="M28" s="6" t="n">
        <v>100</v>
      </c>
      <c r="N28" s="6" t="n">
        <v>8</v>
      </c>
      <c r="O28" s="6" t="n">
        <v>3</v>
      </c>
      <c r="P28" s="6" t="n">
        <v>7000</v>
      </c>
      <c r="Q28" s="6" t="n">
        <v>0.875</v>
      </c>
      <c r="R28">
        <f>M28+IF(MAX(N28-1,0)&gt;0,IF(ISBLANK(O28),5*MAX(N28-1,0),IF(ISNUMBER(O28),O28*MAX(N28-1,0),SUM(IFERROR(VALUE(TEXTSPLIT(O28,",")),0)))),0)</f>
        <v/>
      </c>
      <c r="S28">
        <f>IFERROR(L28*MAX(N28,1)/R28*IF(ISBLANK(K22),1,K22),0)</f>
        <v/>
      </c>
      <c r="AB28" s="7" t="inlineStr">
        <is>
          <t>^Warhead_Flame_Light, ^Warhead_Bullet_Medium</t>
        </is>
      </c>
    </row>
    <row r="29">
      <c r="B29" s="7" t="inlineStr">
        <is>
          <t xml:space="preserve">  ↳ IncendiaryYakChainGun</t>
        </is>
      </c>
      <c r="C29" s="7" t="inlineStr">
        <is>
          <t>Armament@Upgrade2</t>
        </is>
      </c>
      <c r="L29" s="6" t="n">
        <v>8000</v>
      </c>
      <c r="M29" s="6" t="n">
        <v>100</v>
      </c>
      <c r="N29" s="6" t="n">
        <v>8</v>
      </c>
      <c r="O29" s="6" t="n">
        <v>3</v>
      </c>
      <c r="P29" s="6" t="n">
        <v>7000</v>
      </c>
      <c r="Q29" s="6" t="n">
        <v>0.875</v>
      </c>
      <c r="R29">
        <f>M29+IF(MAX(N29-1,0)&gt;0,IF(ISBLANK(O29),5*MAX(N29-1,0),IF(ISNUMBER(O29),O29*MAX(N29-1,0),SUM(IFERROR(VALUE(TEXTSPLIT(O29,",")),0)))),0)</f>
        <v/>
      </c>
      <c r="S29">
        <f>IFERROR(L29*MAX(N29,1)/R29*IF(ISBLANK(K22),1,K22),0)</f>
        <v/>
      </c>
      <c r="AB29" s="7" t="inlineStr">
        <is>
          <t>^Warhead_Flame_Light, ^Warhead_Bullet_Medium</t>
        </is>
      </c>
    </row>
    <row r="30">
      <c r="A30" t="inlineStr">
        <is>
          <t>redalert</t>
        </is>
      </c>
      <c r="B30" t="inlineStr">
        <is>
          <t>ra1_soviets_yakscoutplane</t>
        </is>
      </c>
      <c r="C30" t="inlineStr">
        <is>
          <t>Yak Scout Plane</t>
        </is>
      </c>
      <c r="D30" s="6" t="inlineStr">
        <is>
          <t>Fighter</t>
        </is>
      </c>
      <c r="E30" s="6" t="n">
        <v>32000</v>
      </c>
      <c r="F30" s="6" t="n">
        <v>170</v>
      </c>
      <c r="G30" t="inlineStr">
        <is>
          <t>Fighter</t>
        </is>
      </c>
      <c r="H30" s="6" t="n">
        <v>0.7333</v>
      </c>
      <c r="I30" s="6" t="n">
        <v>1</v>
      </c>
      <c r="J30" s="6" t="n">
        <v>1</v>
      </c>
      <c r="K30" t="n">
        <v>0.0025</v>
      </c>
      <c r="P30">
        <f>MAX(P31,P32,P33,P34,P35)</f>
        <v/>
      </c>
      <c r="S30">
        <f>S31+S32+S33+S34+S35</f>
        <v/>
      </c>
      <c r="T30">
        <f>(E30/100000+F30/100+(P30/1000)*J30/5+S30/200)*200*I30*H30</f>
        <v/>
      </c>
      <c r="U30">
        <f>((E30*F30/25000)+((P30/1000)*J30*S30/2.5))*I30*H30</f>
        <v/>
      </c>
      <c r="V30">
        <f>(E30*F30*(P30/1000)*J30*S30*I30*H30)/12500000</f>
        <v/>
      </c>
      <c r="W30">
        <f>(T30+U30+V30)/3</f>
        <v/>
      </c>
      <c r="X30" s="6" t="n">
        <v>800</v>
      </c>
      <c r="Y30">
        <f>IFERROR(W30-X30,"")</f>
        <v/>
      </c>
      <c r="Z30">
        <f>IFERROR(ABS(Y30)/MAX(X30,1),"")</f>
        <v/>
      </c>
      <c r="AA30">
        <f>IFERROR((X30-(((E30/100000+F30/100+S30/200)*200*I30*H30)+((E30*F30/25000)*I30*H30))/3)/(((J30/5)*200*I30*H30)+((J30*S30/2.5)*I30*H30)+((E30*F30*J30*S30*I30*H30)/12500000))/3*1000,"")</f>
        <v/>
      </c>
    </row>
    <row r="31">
      <c r="B31" s="7" t="inlineStr">
        <is>
          <t xml:space="preserve">  ↳ YakNapalm</t>
        </is>
      </c>
      <c r="C31" s="7" t="inlineStr">
        <is>
          <t>Armament@BOMBS</t>
        </is>
      </c>
      <c r="L31" s="6" t="n">
        <v>40000</v>
      </c>
      <c r="M31" s="6" t="n">
        <v>110</v>
      </c>
      <c r="N31" s="6" t="n">
        <v>4</v>
      </c>
      <c r="O31" s="6" t="n">
        <v>3</v>
      </c>
      <c r="P31" s="6" t="n">
        <v>1840</v>
      </c>
      <c r="Q31" s="6" t="n">
        <v>1</v>
      </c>
      <c r="R31">
        <f>M31+IF(MAX(N31-1,0)&gt;0,IF(ISBLANK(O31),5*MAX(N31-1,0),IF(ISNUMBER(O31),O31*MAX(N31-1,0),SUM(IFERROR(VALUE(TEXTSPLIT(O31,",")),0)))),0)</f>
        <v/>
      </c>
      <c r="S31">
        <f>IFERROR(L31*MAX(N31,1)/R31*IF(ISBLANK(K30),1,K30),0)</f>
        <v/>
      </c>
      <c r="AB31" s="7" t="inlineStr">
        <is>
          <t>^ShrapnelWeapon, ^HeavyBomb, ^MediumFlameWeapon, ^HeavyFlameWeapon</t>
        </is>
      </c>
    </row>
    <row r="32">
      <c r="B32" s="7" t="inlineStr">
        <is>
          <t xml:space="preserve">  ↳ YakChainGun</t>
        </is>
      </c>
      <c r="C32" s="7" t="inlineStr">
        <is>
          <t>Armament@PRIMARY</t>
        </is>
      </c>
      <c r="L32" s="6" t="n">
        <v>4000</v>
      </c>
      <c r="M32" s="6" t="n">
        <v>100</v>
      </c>
      <c r="N32" s="6" t="n">
        <v>8</v>
      </c>
      <c r="O32" s="6" t="n">
        <v>3</v>
      </c>
      <c r="P32" s="6" t="n">
        <v>7000</v>
      </c>
      <c r="Q32" s="6" t="n">
        <v>1</v>
      </c>
      <c r="R32">
        <f>M32+IF(MAX(N32-1,0)&gt;0,IF(ISBLANK(O32),5*MAX(N32-1,0),IF(ISNUMBER(O32),O32*MAX(N32-1,0),SUM(IFERROR(VALUE(TEXTSPLIT(O32,",")),0)))),0)</f>
        <v/>
      </c>
      <c r="S32">
        <f>IFERROR(L32*MAX(N32,1)/R32*IF(ISBLANK(K30),1,K30),0)</f>
        <v/>
      </c>
      <c r="AB32" s="7" t="inlineStr">
        <is>
          <t>^Warhead_Bullet_Medium</t>
        </is>
      </c>
    </row>
    <row r="33">
      <c r="B33" s="7" t="inlineStr">
        <is>
          <t xml:space="preserve">  ↳ YakChainGun</t>
        </is>
      </c>
      <c r="C33" s="7" t="inlineStr">
        <is>
          <t>Armament@SECONDARY</t>
        </is>
      </c>
      <c r="L33" s="6" t="n">
        <v>4000</v>
      </c>
      <c r="M33" s="6" t="n">
        <v>100</v>
      </c>
      <c r="N33" s="6" t="n">
        <v>8</v>
      </c>
      <c r="O33" s="6" t="n">
        <v>3</v>
      </c>
      <c r="P33" s="6" t="n">
        <v>7000</v>
      </c>
      <c r="Q33" s="6" t="n">
        <v>1</v>
      </c>
      <c r="R33">
        <f>M33+IF(MAX(N33-1,0)&gt;0,IF(ISBLANK(O33),5*MAX(N33-1,0),IF(ISNUMBER(O33),O33*MAX(N33-1,0),SUM(IFERROR(VALUE(TEXTSPLIT(O33,",")),0)))),0)</f>
        <v/>
      </c>
      <c r="S33">
        <f>IFERROR(L33*MAX(N33,1)/R33*IF(ISBLANK(K30),1,K30),0)</f>
        <v/>
      </c>
      <c r="AB33" s="7" t="inlineStr">
        <is>
          <t>^Warhead_Bullet_Medium</t>
        </is>
      </c>
    </row>
    <row r="34">
      <c r="B34" s="7" t="inlineStr">
        <is>
          <t xml:space="preserve">  ↳ IncendiaryYakChainGun</t>
        </is>
      </c>
      <c r="C34" s="7" t="inlineStr">
        <is>
          <t>Armament@Upgrade1</t>
        </is>
      </c>
      <c r="L34" s="6" t="n">
        <v>8000</v>
      </c>
      <c r="M34" s="6" t="n">
        <v>100</v>
      </c>
      <c r="N34" s="6" t="n">
        <v>8</v>
      </c>
      <c r="O34" s="6" t="n">
        <v>3</v>
      </c>
      <c r="P34" s="6" t="n">
        <v>7000</v>
      </c>
      <c r="Q34" s="6" t="n">
        <v>0.875</v>
      </c>
      <c r="R34">
        <f>M34+IF(MAX(N34-1,0)&gt;0,IF(ISBLANK(O34),5*MAX(N34-1,0),IF(ISNUMBER(O34),O34*MAX(N34-1,0),SUM(IFERROR(VALUE(TEXTSPLIT(O34,",")),0)))),0)</f>
        <v/>
      </c>
      <c r="S34">
        <f>IFERROR(L34*MAX(N34,1)/R34*IF(ISBLANK(K30),1,K30),0)</f>
        <v/>
      </c>
      <c r="AB34" s="7" t="inlineStr">
        <is>
          <t>^Warhead_Flame_Light, ^Warhead_Bullet_Medium</t>
        </is>
      </c>
    </row>
    <row r="35">
      <c r="B35" s="7" t="inlineStr">
        <is>
          <t xml:space="preserve">  ↳ IncendiaryYakChainGun</t>
        </is>
      </c>
      <c r="C35" s="7" t="inlineStr">
        <is>
          <t>Armament@Upgrade2</t>
        </is>
      </c>
      <c r="L35" s="6" t="n">
        <v>8000</v>
      </c>
      <c r="M35" s="6" t="n">
        <v>100</v>
      </c>
      <c r="N35" s="6" t="n">
        <v>8</v>
      </c>
      <c r="O35" s="6" t="n">
        <v>3</v>
      </c>
      <c r="P35" s="6" t="n">
        <v>7000</v>
      </c>
      <c r="Q35" s="6" t="n">
        <v>0.875</v>
      </c>
      <c r="R35">
        <f>M35+IF(MAX(N35-1,0)&gt;0,IF(ISBLANK(O35),5*MAX(N35-1,0),IF(ISNUMBER(O35),O35*MAX(N35-1,0),SUM(IFERROR(VALUE(TEXTSPLIT(O35,",")),0)))),0)</f>
        <v/>
      </c>
      <c r="S35">
        <f>IFERROR(L35*MAX(N35,1)/R35*IF(ISBLANK(K30),1,K30),0)</f>
        <v/>
      </c>
      <c r="AB35" s="7" t="inlineStr">
        <is>
          <t>^Warhead_Flame_Light, ^Warhead_Bullet_Medium</t>
        </is>
      </c>
    </row>
    <row r="36">
      <c r="A36" t="inlineStr">
        <is>
          <t>redalert2</t>
        </is>
      </c>
      <c r="B36" t="inlineStr">
        <is>
          <t>ra2_allies_harrier</t>
        </is>
      </c>
      <c r="C36" t="inlineStr">
        <is>
          <t>Harrier</t>
        </is>
      </c>
      <c r="D36" s="6" t="inlineStr">
        <is>
          <t>Fighter</t>
        </is>
      </c>
      <c r="E36" s="6" t="n">
        <v>72000</v>
      </c>
      <c r="F36" s="6" t="n">
        <v>180</v>
      </c>
      <c r="G36" t="inlineStr">
        <is>
          <t>Fighter</t>
        </is>
      </c>
      <c r="H36" s="6" t="n">
        <v>1</v>
      </c>
      <c r="I36" s="6" t="n">
        <v>1</v>
      </c>
      <c r="J36" s="6" t="n">
        <v>1</v>
      </c>
      <c r="K36" t="n">
        <v>0.0075</v>
      </c>
      <c r="P36">
        <f>MAX(P37,P38)</f>
        <v/>
      </c>
      <c r="S36">
        <f>S37+S38</f>
        <v/>
      </c>
      <c r="T36">
        <f>(E36/100000+F36/100+(P36/1000)*J36/5+S36/200)*200*I36*H36</f>
        <v/>
      </c>
      <c r="U36">
        <f>((E36*F36/25000)+((P36/1000)*J36*S36/2.5))*I36*H36</f>
        <v/>
      </c>
      <c r="V36">
        <f>(E36*F36*(P36/1000)*J36*S36*I36*H36)/12500000</f>
        <v/>
      </c>
      <c r="W36">
        <f>(T36+U36+V36)/3</f>
        <v/>
      </c>
      <c r="X36" s="6" t="n">
        <v>2100</v>
      </c>
      <c r="Y36">
        <f>IFERROR(W36-X36,"")</f>
        <v/>
      </c>
      <c r="Z36">
        <f>IFERROR(ABS(Y36)/MAX(X36,1),"")</f>
        <v/>
      </c>
      <c r="AA36">
        <f>IFERROR((X36-(((E36/100000+F36/100+S36/200)*200*I36*H36)+((E36*F36/25000)*I36*H36))/3)/(((J36/5)*200*I36*H36)+((J36*S36/2.5)*I36*H36)+((E36*F36*J36*S36*I36*H36)/12500000))/3*1000,"")</f>
        <v/>
      </c>
    </row>
    <row r="37">
      <c r="B37" s="7" t="inlineStr">
        <is>
          <t xml:space="preserve">  ↳ HarrierMissiles</t>
        </is>
      </c>
      <c r="C37" s="7" t="inlineStr">
        <is>
          <t>Armament@PRIMARY</t>
        </is>
      </c>
      <c r="L37" s="6" t="n">
        <v>24000</v>
      </c>
      <c r="M37" s="6" t="n">
        <v>104</v>
      </c>
      <c r="N37" s="6" t="n">
        <v>4</v>
      </c>
      <c r="O37" s="6" t="n">
        <v>2</v>
      </c>
      <c r="P37" s="6" t="n">
        <v>5555</v>
      </c>
      <c r="Q37" s="6" t="n">
        <v>1</v>
      </c>
      <c r="R37">
        <f>M37+IF(MAX(N37-1,0)&gt;0,IF(ISBLANK(O37),5*MAX(N37-1,0),IF(ISNUMBER(O37),O37*MAX(N37-1,0),SUM(IFERROR(VALUE(TEXTSPLIT(O37,",")),0)))),0)</f>
        <v/>
      </c>
      <c r="S37">
        <f>IFERROR(L37*MAX(N37,1)/R37*IF(ISBLANK(K36),1,K36),0)</f>
        <v/>
      </c>
      <c r="AB37" s="7" t="inlineStr">
        <is>
          <t>^Warhead_MissileAP_Medium</t>
        </is>
      </c>
    </row>
    <row r="38">
      <c r="B38" s="7" t="inlineStr">
        <is>
          <t xml:space="preserve">  ↳ HarrierMissiles_elite</t>
        </is>
      </c>
      <c r="C38" s="7" t="inlineStr">
        <is>
          <t>Armament@PRIMARYELITE</t>
        </is>
      </c>
      <c r="L38" s="6" t="n">
        <v>24000</v>
      </c>
      <c r="M38" s="6" t="n">
        <v>104</v>
      </c>
      <c r="N38" s="6" t="n">
        <v>8</v>
      </c>
      <c r="O38" s="6" t="n">
        <v>2</v>
      </c>
      <c r="P38" s="6" t="n">
        <v>6666</v>
      </c>
      <c r="Q38" s="6" t="n">
        <v>1</v>
      </c>
      <c r="R38">
        <f>M38+IF(MAX(N38-1,0)&gt;0,IF(ISBLANK(O38),5*MAX(N38-1,0),IF(ISNUMBER(O38),O38*MAX(N38-1,0),SUM(IFERROR(VALUE(TEXTSPLIT(O38,",")),0)))),0)</f>
        <v/>
      </c>
      <c r="S38">
        <f>IFERROR(L38*MAX(N38,1)/R38*IF(ISBLANK(K36),1,K36),0)</f>
        <v/>
      </c>
      <c r="AB38" s="7" t="inlineStr">
        <is>
          <t>^Warhead_MissileAP_Medium</t>
        </is>
      </c>
    </row>
    <row r="39">
      <c r="A39" t="inlineStr">
        <is>
          <t>redalert2mod</t>
        </is>
      </c>
      <c r="B39" t="inlineStr">
        <is>
          <t>asianalliance_harbinger</t>
        </is>
      </c>
      <c r="C39" t="inlineStr">
        <is>
          <t>Harbinger</t>
        </is>
      </c>
      <c r="D39" s="6" t="inlineStr">
        <is>
          <t>Fighter</t>
        </is>
      </c>
      <c r="E39" s="6" t="n">
        <v>90000</v>
      </c>
      <c r="F39" s="6" t="n">
        <v>210</v>
      </c>
      <c r="G39" t="inlineStr">
        <is>
          <t>Fighter</t>
        </is>
      </c>
      <c r="H39" s="6" t="n">
        <v>0.5</v>
      </c>
      <c r="I39" s="6" t="n">
        <v>1</v>
      </c>
      <c r="J39" s="6" t="n">
        <v>1</v>
      </c>
      <c r="P39">
        <f>MAX(P40)</f>
        <v/>
      </c>
      <c r="S39">
        <f>S40</f>
        <v/>
      </c>
      <c r="T39">
        <f>(E39/100000+F39/100+(P39/1000)*J39/5+S39/200)*200*I39*H39</f>
        <v/>
      </c>
      <c r="U39">
        <f>((E39*F39/25000)+((P39/1000)*J39*S39/2.5))*I39*H39</f>
        <v/>
      </c>
      <c r="V39">
        <f>(E39*F39*(P39/1000)*J39*S39*I39*H39)/12500000</f>
        <v/>
      </c>
      <c r="W39">
        <f>(T39+U39+V39)/3</f>
        <v/>
      </c>
      <c r="X39" s="6" t="n">
        <v>2000</v>
      </c>
      <c r="Y39">
        <f>IFERROR(W39-X39,"")</f>
        <v/>
      </c>
      <c r="Z39">
        <f>IFERROR(ABS(Y39)/MAX(X39,1),"")</f>
        <v/>
      </c>
      <c r="AA39">
        <f>IFERROR((X39-(((E39/100000+F39/100+S39/200)*200*I39*H39)+((E39*F39/25000)*I39*H39))/3)/(((J39/5)*200*I39*H39)+((J39*S39/2.5)*I39*H39)+((E39*F39*J39*S39*I39*H39)/12500000))/3*1000,"")</f>
        <v/>
      </c>
    </row>
    <row r="40">
      <c r="B40" s="7" t="inlineStr">
        <is>
          <t xml:space="preserve">  ↳ AsianHarbingerPlasma</t>
        </is>
      </c>
      <c r="C40" s="7" t="inlineStr">
        <is>
          <t>Armament@PRIMARY</t>
        </is>
      </c>
      <c r="L40" s="6" t="n">
        <v>16000</v>
      </c>
      <c r="M40" s="6" t="n">
        <v>60</v>
      </c>
      <c r="N40" s="6" t="n">
        <v>2</v>
      </c>
      <c r="O40" s="6" t="n">
        <v>5</v>
      </c>
      <c r="P40" s="6" t="n">
        <v>7777</v>
      </c>
      <c r="Q40" s="6" t="n">
        <v>1</v>
      </c>
      <c r="R40">
        <f>M40+IF(MAX(N40-1,0)&gt;0,IF(ISBLANK(O40),5*MAX(N40-1,0),IF(ISNUMBER(O40),O40*MAX(N40-1,0),SUM(IFERROR(VALUE(TEXTSPLIT(O40,",")),0)))),0)</f>
        <v/>
      </c>
      <c r="S40">
        <f>IFERROR(L40*MAX(N40,1)/R40*IF(ISBLANK(K39),1,K39),0)</f>
        <v/>
      </c>
      <c r="AB40" s="7" t="inlineStr">
        <is>
          <t>^Warhead_CannonHE_Medium, ^Warhead_MissileAP_Medium</t>
        </is>
      </c>
    </row>
    <row r="41">
      <c r="A41" t="inlineStr">
        <is>
          <t>redalert2mod</t>
        </is>
      </c>
      <c r="B41" t="inlineStr">
        <is>
          <t>scalpelAA.steel</t>
        </is>
      </c>
      <c r="C41" t="inlineStr">
        <is>
          <t>Anti Air Scalpel</t>
        </is>
      </c>
      <c r="D41" s="6" t="inlineStr">
        <is>
          <t>Fighter</t>
        </is>
      </c>
      <c r="E41" s="6" t="n">
        <v>10000</v>
      </c>
      <c r="F41" s="6" t="n">
        <v>80</v>
      </c>
      <c r="G41" t="inlineStr">
        <is>
          <t>Fighter</t>
        </is>
      </c>
      <c r="H41" s="6" t="n">
        <v>1</v>
      </c>
      <c r="I41" s="6" t="n">
        <v>1</v>
      </c>
      <c r="J41" s="6" t="n">
        <v>1</v>
      </c>
      <c r="P41">
        <f>MAX(P42,P43)</f>
        <v/>
      </c>
      <c r="S41">
        <f>S42+S43</f>
        <v/>
      </c>
      <c r="T41">
        <f>(E41/100000+F41/100+(P41/1000)*J41/5+S41/200)*200*I41*H41</f>
        <v/>
      </c>
      <c r="U41">
        <f>((E41*F41/25000)+((P41/1000)*J41*S41/2.5))*I41*H41</f>
        <v/>
      </c>
      <c r="V41">
        <f>(E41*F41*(P41/1000)*J41*S41*I41*H41)/12500000</f>
        <v/>
      </c>
      <c r="W41">
        <f>(T41+U41+V41)/3</f>
        <v/>
      </c>
      <c r="X41" s="6" t="n">
        <v>750</v>
      </c>
      <c r="Y41">
        <f>IFERROR(W41-X41,"")</f>
        <v/>
      </c>
      <c r="Z41">
        <f>IFERROR(ABS(Y41)/MAX(X41,1),"")</f>
        <v/>
      </c>
      <c r="AA41">
        <f>IFERROR((X41-(((E41/100000+F41/100+S41/200)*200*I41*H41)+((E41*F41/25000)*I41*H41))/3)/(((J41/5)*200*I41*H41)+((J41*S41/2.5)*I41*H41)+((E41*F41*J41*S41*I41*H41)/12500000))/3*1000,"")</f>
        <v/>
      </c>
    </row>
    <row r="42">
      <c r="B42" s="7" t="inlineStr">
        <is>
          <t xml:space="preserve">  ↳ SteelScalpelRailgunAA</t>
        </is>
      </c>
      <c r="C42" s="7" t="inlineStr">
        <is>
          <t>Armament@PRIMARY</t>
        </is>
      </c>
      <c r="L42" s="6" t="n">
        <v>16000</v>
      </c>
      <c r="M42" s="6" t="n">
        <v>48</v>
      </c>
      <c r="N42" s="6" t="n">
        <v>4</v>
      </c>
      <c r="O42" s="6" t="n">
        <v>0</v>
      </c>
      <c r="P42" s="6" t="n">
        <v>9000</v>
      </c>
      <c r="Q42" s="6" t="n">
        <v>1</v>
      </c>
      <c r="R42">
        <f>M42+IF(MAX(N42-1,0)&gt;0,IF(ISBLANK(O42),5*MAX(N42-1,0),IF(ISNUMBER(O42),O42*MAX(N42-1,0),SUM(IFERROR(VALUE(TEXTSPLIT(O42,",")),0)))),0)</f>
        <v/>
      </c>
      <c r="S42">
        <f>IFERROR(L42*MAX(N42,1)/R42*IF(ISBLANK(K41),1,K41),0)</f>
        <v/>
      </c>
      <c r="AB42" s="7" t="inlineStr">
        <is>
          <t>^Warhead_Railgun_Heavy, ^Warhead_Flak_Medium, ^Warhead_Bullet_Medium, ^Warhead_MissileAP_Light</t>
        </is>
      </c>
    </row>
    <row r="43">
      <c r="B43" s="7" t="inlineStr">
        <is>
          <t xml:space="preserve">  ↳ SteelScalpelRailgun_EMP_AA</t>
        </is>
      </c>
      <c r="C43" s="7" t="inlineStr">
        <is>
          <t>Armament@Upgrade</t>
        </is>
      </c>
      <c r="L43" s="6" t="n">
        <v>20000</v>
      </c>
      <c r="M43" s="6" t="n">
        <v>50</v>
      </c>
      <c r="N43" s="6" t="n">
        <v>4</v>
      </c>
      <c r="O43" s="6" t="n">
        <v>0</v>
      </c>
      <c r="P43" s="6" t="n">
        <v>9000</v>
      </c>
      <c r="Q43" s="6" t="n">
        <v>1</v>
      </c>
      <c r="R43">
        <f>M43+IF(MAX(N43-1,0)&gt;0,IF(ISBLANK(O43),5*MAX(N43-1,0),IF(ISNUMBER(O43),O43*MAX(N43-1,0),SUM(IFERROR(VALUE(TEXTSPLIT(O43,",")),0)))),0)</f>
        <v/>
      </c>
      <c r="S43">
        <f>IFERROR(L43*MAX(N43,1)/R43*IF(ISBLANK(K41),1,K41),0)</f>
        <v/>
      </c>
      <c r="AB43" s="7" t="inlineStr">
        <is>
          <t>^Warhead_Railgun_Heavy, ^Warhead_Flak_Medium, ^Warhead_Bullet_Medium, ^Warhead_MissileAP_Light</t>
        </is>
      </c>
    </row>
    <row r="44">
      <c r="A44" t="inlineStr">
        <is>
          <t>redalert2mod</t>
        </is>
      </c>
      <c r="B44" t="inlineStr">
        <is>
          <t>scalpelMG.steel</t>
        </is>
      </c>
      <c r="C44" t="inlineStr">
        <is>
          <t>Scalpel</t>
        </is>
      </c>
      <c r="D44" s="6" t="inlineStr">
        <is>
          <t>Fighter</t>
        </is>
      </c>
      <c r="E44" s="6" t="n">
        <v>10000</v>
      </c>
      <c r="F44" s="6" t="n">
        <v>80</v>
      </c>
      <c r="G44" t="inlineStr">
        <is>
          <t>Fighter</t>
        </is>
      </c>
      <c r="H44" s="6" t="n">
        <v>1</v>
      </c>
      <c r="I44" s="6" t="n">
        <v>1</v>
      </c>
      <c r="J44" s="6" t="n">
        <v>1</v>
      </c>
      <c r="P44">
        <f>MAX(P45)</f>
        <v/>
      </c>
      <c r="S44">
        <f>S45</f>
        <v/>
      </c>
      <c r="T44">
        <f>(E44/100000+F44/100+(P44/1000)*J44/5+S44/200)*200*I44*H44</f>
        <v/>
      </c>
      <c r="U44">
        <f>((E44*F44/25000)+((P44/1000)*J44*S44/2.5))*I44*H44</f>
        <v/>
      </c>
      <c r="V44">
        <f>(E44*F44*(P44/1000)*J44*S44*I44*H44)/12500000</f>
        <v/>
      </c>
      <c r="W44">
        <f>(T44+U44+V44)/3</f>
        <v/>
      </c>
      <c r="X44" s="6" t="n">
        <v>500</v>
      </c>
      <c r="Y44">
        <f>IFERROR(W44-X44,"")</f>
        <v/>
      </c>
      <c r="Z44">
        <f>IFERROR(ABS(Y44)/MAX(X44,1),"")</f>
        <v/>
      </c>
      <c r="AA44">
        <f>IFERROR((X44-(((E44/100000+F44/100+S44/200)*200*I44*H44)+((E44*F44/25000)*I44*H44))/3)/(((J44/5)*200*I44*H44)+((J44*S44/2.5)*I44*H44)+((E44*F44*J44*S44*I44*H44)/12500000))/3*1000,"")</f>
        <v/>
      </c>
    </row>
    <row r="45">
      <c r="B45" s="7" t="inlineStr">
        <is>
          <t xml:space="preserve">  ↳ SteelMantaAG</t>
        </is>
      </c>
      <c r="C45" s="7" t="inlineStr">
        <is>
          <t>Armament@PRIMARY</t>
        </is>
      </c>
      <c r="L45" s="6" t="n">
        <v>8000</v>
      </c>
      <c r="M45" s="6" t="n">
        <v>20</v>
      </c>
      <c r="N45" s="6" t="n">
        <v>1</v>
      </c>
      <c r="O45" s="6" t="n"/>
      <c r="P45" s="6" t="n">
        <v>6666</v>
      </c>
      <c r="Q45" s="6" t="n">
        <v>1</v>
      </c>
      <c r="R45">
        <f>M45+IF(MAX(N45-1,0)&gt;0,IF(ISBLANK(O45),5*MAX(N45-1,0),IF(ISNUMBER(O45),O45*MAX(N45-1,0),SUM(IFERROR(VALUE(TEXTSPLIT(O45,",")),0)))),0)</f>
        <v/>
      </c>
      <c r="S45">
        <f>IFERROR(L45*MAX(N45,1)/R45*IF(ISBLANK(K44),1,K44),0)</f>
        <v/>
      </c>
      <c r="AB45" s="7" t="inlineStr">
        <is>
          <t>^Warhead_MissileAP_Light, ^Warhead_Bullet_Light, ^Warhead_Flak_Medium, ^Warhead_Bullet_Medium</t>
        </is>
      </c>
    </row>
    <row r="46">
      <c r="A46" t="inlineStr">
        <is>
          <t>redalert2mod</t>
        </is>
      </c>
      <c r="B46" t="inlineStr">
        <is>
          <t>scalpelQuantumCannon.steel</t>
        </is>
      </c>
      <c r="C46" t="inlineStr">
        <is>
          <t>Quantum Scalpel</t>
        </is>
      </c>
      <c r="D46" s="6" t="inlineStr">
        <is>
          <t>Fighter</t>
        </is>
      </c>
      <c r="E46" s="6" t="n">
        <v>10000</v>
      </c>
      <c r="F46" s="6" t="n">
        <v>80</v>
      </c>
      <c r="G46" t="inlineStr">
        <is>
          <t>Fighter</t>
        </is>
      </c>
      <c r="H46" s="6" t="n">
        <v>1</v>
      </c>
      <c r="I46" s="6" t="n">
        <v>1</v>
      </c>
      <c r="J46" s="6" t="n">
        <v>1</v>
      </c>
      <c r="P46">
        <f>MAX(P47,P48)</f>
        <v/>
      </c>
      <c r="S46">
        <f>S47+S48</f>
        <v/>
      </c>
      <c r="T46">
        <f>(E46/100000+F46/100+(P46/1000)*J46/5+S46/200)*200*I46*H46</f>
        <v/>
      </c>
      <c r="U46">
        <f>((E46*F46/25000)+((P46/1000)*J46*S46/2.5))*I46*H46</f>
        <v/>
      </c>
      <c r="V46">
        <f>(E46*F46*(P46/1000)*J46*S46*I46*H46)/12500000</f>
        <v/>
      </c>
      <c r="W46">
        <f>(T46+U46+V46)/3</f>
        <v/>
      </c>
      <c r="X46" s="6" t="n">
        <v>1000</v>
      </c>
      <c r="Y46">
        <f>IFERROR(W46-X46,"")</f>
        <v/>
      </c>
      <c r="Z46">
        <f>IFERROR(ABS(Y46)/MAX(X46,1),"")</f>
        <v/>
      </c>
      <c r="AA46">
        <f>IFERROR((X46-(((E46/100000+F46/100+S46/200)*200*I46*H46)+((E46*F46/25000)*I46*H46))/3)/(((J46/5)*200*I46*H46)+((J46*S46/2.5)*I46*H46)+((E46*F46*J46*S46*I46*H46)/12500000))/3*1000,"")</f>
        <v/>
      </c>
    </row>
    <row r="47">
      <c r="B47" s="7" t="inlineStr">
        <is>
          <t xml:space="preserve">  ↳ SteelQuantumTurretRail</t>
        </is>
      </c>
      <c r="C47" s="7" t="inlineStr">
        <is>
          <t>Armament@PRIMARY</t>
        </is>
      </c>
      <c r="L47" s="6" t="n">
        <v>12000</v>
      </c>
      <c r="M47" s="6" t="n">
        <v>38</v>
      </c>
      <c r="N47" s="6" t="n">
        <v>1</v>
      </c>
      <c r="O47" s="6" t="n"/>
      <c r="P47" s="6" t="n">
        <v>8888</v>
      </c>
      <c r="Q47" s="6" t="n">
        <v>1.25</v>
      </c>
      <c r="R47">
        <f>M47+IF(MAX(N47-1,0)&gt;0,IF(ISBLANK(O47),5*MAX(N47-1,0),IF(ISNUMBER(O47),O47*MAX(N47-1,0),SUM(IFERROR(VALUE(TEXTSPLIT(O47,",")),0)))),0)</f>
        <v/>
      </c>
      <c r="S47">
        <f>IFERROR(L47*MAX(N47,1)/R47*IF(ISBLANK(K46),1,K46),0)</f>
        <v/>
      </c>
      <c r="AB47" s="7" t="inlineStr">
        <is>
          <t>^Warhead_CannonHE_Heavy</t>
        </is>
      </c>
    </row>
    <row r="48">
      <c r="B48" s="7" t="inlineStr">
        <is>
          <t xml:space="preserve">  ↳ SteelQuantumTurretRail_EMP</t>
        </is>
      </c>
      <c r="C48" s="7" t="inlineStr">
        <is>
          <t>Armament@Upgrade</t>
        </is>
      </c>
      <c r="L48" s="6" t="n">
        <v>12000</v>
      </c>
      <c r="M48" s="6" t="n">
        <v>38</v>
      </c>
      <c r="N48" s="6" t="n">
        <v>1</v>
      </c>
      <c r="O48" s="6" t="n"/>
      <c r="P48" s="6" t="n">
        <v>8888</v>
      </c>
      <c r="Q48" s="6" t="n">
        <v>1.25</v>
      </c>
      <c r="R48">
        <f>M48+IF(MAX(N48-1,0)&gt;0,IF(ISBLANK(O48),5*MAX(N48-1,0),IF(ISNUMBER(O48),O48*MAX(N48-1,0),SUM(IFERROR(VALUE(TEXTSPLIT(O48,",")),0)))),0)</f>
        <v/>
      </c>
      <c r="S48">
        <f>IFERROR(L48*MAX(N48,1)/R48*IF(ISBLANK(K46),1,K46),0)</f>
        <v/>
      </c>
      <c r="AB48" s="7" t="inlineStr">
        <is>
          <t>^Warhead_CannonHE_Heavy</t>
        </is>
      </c>
    </row>
    <row r="49">
      <c r="A49" t="inlineStr">
        <is>
          <t>redalert2mod</t>
        </is>
      </c>
      <c r="B49" t="inlineStr">
        <is>
          <t>steelconsortium_twister</t>
        </is>
      </c>
      <c r="C49" t="inlineStr">
        <is>
          <t>Twister</t>
        </is>
      </c>
      <c r="D49" s="6" t="inlineStr">
        <is>
          <t>Fighter</t>
        </is>
      </c>
      <c r="E49" s="6" t="n">
        <v>50000</v>
      </c>
      <c r="F49" s="6" t="n">
        <v>150</v>
      </c>
      <c r="G49" t="inlineStr">
        <is>
          <t>Fighter</t>
        </is>
      </c>
      <c r="H49" s="6" t="n">
        <v>0.7020999999999999</v>
      </c>
      <c r="I49" s="6" t="n">
        <v>1</v>
      </c>
      <c r="J49" s="6" t="n">
        <v>1</v>
      </c>
      <c r="P49">
        <f>MAX(P50,P51)</f>
        <v/>
      </c>
      <c r="S49">
        <f>S50+S51</f>
        <v/>
      </c>
      <c r="T49">
        <f>(E49/100000+F49/100+(P49/1000)*J49/5+S49/200)*200*I49*H49</f>
        <v/>
      </c>
      <c r="U49">
        <f>((E49*F49/25000)+((P49/1000)*J49*S49/2.5))*I49*H49</f>
        <v/>
      </c>
      <c r="V49">
        <f>(E49*F49*(P49/1000)*J49*S49*I49*H49)/12500000</f>
        <v/>
      </c>
      <c r="W49">
        <f>(T49+U49+V49)/3</f>
        <v/>
      </c>
      <c r="X49" s="6" t="n">
        <v>1000</v>
      </c>
      <c r="Y49">
        <f>IFERROR(W49-X49,"")</f>
        <v/>
      </c>
      <c r="Z49">
        <f>IFERROR(ABS(Y49)/MAX(X49,1),"")</f>
        <v/>
      </c>
      <c r="AA49">
        <f>IFERROR((X49-(((E49/100000+F49/100+S49/200)*200*I49*H49)+((E49*F49/25000)*I49*H49))/3)/(((J49/5)*200*I49*H49)+((J49*S49/2.5)*I49*H49)+((E49*F49*J49*S49*I49*H49)/12500000))/3*1000,"")</f>
        <v/>
      </c>
    </row>
    <row r="50">
      <c r="B50" s="7" t="inlineStr">
        <is>
          <t xml:space="preserve">  ↳ SteelTwisterMissiles</t>
        </is>
      </c>
      <c r="C50" s="7" t="inlineStr">
        <is>
          <t>Armament@PRIMARY</t>
        </is>
      </c>
      <c r="L50" s="6" t="n">
        <v>10000</v>
      </c>
      <c r="M50" s="6" t="n">
        <v>105</v>
      </c>
      <c r="N50" s="6" t="n">
        <v>5</v>
      </c>
      <c r="O50" s="6" t="n">
        <v>5</v>
      </c>
      <c r="P50" s="6" t="n">
        <v>5000</v>
      </c>
      <c r="Q50" s="6" t="n">
        <v>1</v>
      </c>
      <c r="R50">
        <f>M50+IF(MAX(N50-1,0)&gt;0,IF(ISBLANK(O50),5*MAX(N50-1,0),IF(ISNUMBER(O50),O50*MAX(N50-1,0),SUM(IFERROR(VALUE(TEXTSPLIT(O50,",")),0)))),0)</f>
        <v/>
      </c>
      <c r="S50">
        <f>IFERROR(L50*MAX(N50,1)/R50*IF(ISBLANK(K49),1,K49),0)</f>
        <v/>
      </c>
      <c r="AB50" s="7" t="inlineStr">
        <is>
          <t>^Warhead_MissileAP_Medium</t>
        </is>
      </c>
    </row>
    <row r="51">
      <c r="B51" s="7" t="inlineStr">
        <is>
          <t xml:space="preserve">  ↳ SteelTwisterMissiles_elite</t>
        </is>
      </c>
      <c r="C51" s="7" t="inlineStr">
        <is>
          <t>Armament@PRIMARYELITE</t>
        </is>
      </c>
      <c r="L51" s="6" t="n">
        <v>10000</v>
      </c>
      <c r="M51" s="6" t="n">
        <v>105</v>
      </c>
      <c r="N51" s="6" t="n">
        <v>10</v>
      </c>
      <c r="O51" s="6" t="n">
        <v>5</v>
      </c>
      <c r="P51" s="6" t="n">
        <v>6000</v>
      </c>
      <c r="Q51" s="6" t="n">
        <v>1</v>
      </c>
      <c r="R51">
        <f>M51+IF(MAX(N51-1,0)&gt;0,IF(ISBLANK(O51),5*MAX(N51-1,0),IF(ISNUMBER(O51),O51*MAX(N51-1,0),SUM(IFERROR(VALUE(TEXTSPLIT(O51,",")),0)))),0)</f>
        <v/>
      </c>
      <c r="S51">
        <f>IFERROR(L51*MAX(N51,1)/R51*IF(ISBLANK(K49),1,K49),0)</f>
        <v/>
      </c>
      <c r="AB51" s="7" t="inlineStr">
        <is>
          <t>^Warhead_MissileAP_Medium</t>
        </is>
      </c>
    </row>
    <row r="52">
      <c r="A52" t="inlineStr">
        <is>
          <t>redalert2mod</t>
        </is>
      </c>
      <c r="B52" t="inlineStr">
        <is>
          <t>latinsyndicate_yakovlev</t>
        </is>
      </c>
      <c r="C52" t="inlineStr">
        <is>
          <t>Yakovlev</t>
        </is>
      </c>
      <c r="D52" s="6" t="inlineStr">
        <is>
          <t>Fighter</t>
        </is>
      </c>
      <c r="E52" s="6" t="n">
        <v>40000</v>
      </c>
      <c r="F52" s="6" t="n">
        <v>165</v>
      </c>
      <c r="G52" t="inlineStr">
        <is>
          <t>Fighter</t>
        </is>
      </c>
      <c r="H52" s="6" t="n">
        <v>1</v>
      </c>
      <c r="I52" s="6" t="n">
        <v>1</v>
      </c>
      <c r="J52" s="6" t="n">
        <v>1</v>
      </c>
      <c r="P52">
        <f>MAX(P53,P54,P55)</f>
        <v/>
      </c>
      <c r="S52">
        <f>S53+S54+S55</f>
        <v/>
      </c>
      <c r="T52">
        <f>(E52/100000+F52/100+(P52/1000)*J52/5+S52/200)*200*I52*H52</f>
        <v/>
      </c>
      <c r="U52">
        <f>((E52*F52/25000)+((P52/1000)*J52*S52/2.5))*I52*H52</f>
        <v/>
      </c>
      <c r="V52">
        <f>(E52*F52*(P52/1000)*J52*S52*I52*H52)/12500000</f>
        <v/>
      </c>
      <c r="W52">
        <f>(T52+U52+V52)/3</f>
        <v/>
      </c>
      <c r="X52" s="6" t="n">
        <v>900</v>
      </c>
      <c r="Y52">
        <f>IFERROR(W52-X52,"")</f>
        <v/>
      </c>
      <c r="Z52">
        <f>IFERROR(ABS(Y52)/MAX(X52,1),"")</f>
        <v/>
      </c>
      <c r="AA52">
        <f>IFERROR((X52-(((E52/100000+F52/100+S52/200)*200*I52*H52)+((E52*F52/25000)*I52*H52))/3)/(((J52/5)*200*I52*H52)+((J52*S52/2.5)*I52*H52)+((E52*F52*J52*S52*I52*H52)/12500000))/3*1000,"")</f>
        <v/>
      </c>
    </row>
    <row r="53">
      <c r="B53" s="7" t="inlineStr">
        <is>
          <t xml:space="preserve">  ↳ YakovlevCannon</t>
        </is>
      </c>
      <c r="C53" s="7" t="inlineStr">
        <is>
          <t>Armament</t>
        </is>
      </c>
      <c r="L53" s="6" t="n">
        <v>8000</v>
      </c>
      <c r="M53" s="6" t="n">
        <v>80</v>
      </c>
      <c r="N53" s="6" t="n">
        <v>4</v>
      </c>
      <c r="O53" s="6" t="n">
        <v>5</v>
      </c>
      <c r="P53" s="6" t="n">
        <v>4444</v>
      </c>
      <c r="Q53" s="6" t="n">
        <v>1</v>
      </c>
      <c r="R53">
        <f>M53+IF(MAX(N53-1,0)&gt;0,IF(ISBLANK(O53),5*MAX(N53-1,0),IF(ISNUMBER(O53),O53*MAX(N53-1,0),SUM(IFERROR(VALUE(TEXTSPLIT(O53,",")),0)))),0)</f>
        <v/>
      </c>
      <c r="S53">
        <f>IFERROR(L53*MAX(N53,1)/R53*IF(ISBLANK(K52),1,K52),0)</f>
        <v/>
      </c>
      <c r="AB53" s="7" t="inlineStr">
        <is>
          <t>^Warhead_CannonHE_Heavy, ^Warhead_CannonAP_Light, ^Warhead_Flak_Medium, ^Warhead_Bullet_Medium</t>
        </is>
      </c>
    </row>
    <row r="54">
      <c r="B54" s="7" t="inlineStr">
        <is>
          <t xml:space="preserve">  ↳ YakovlevCannon_elite</t>
        </is>
      </c>
      <c r="C54" s="7" t="inlineStr">
        <is>
          <t>Armament@ELITE</t>
        </is>
      </c>
      <c r="L54" s="6" t="n">
        <v>8000</v>
      </c>
      <c r="M54" s="6" t="n">
        <v>5</v>
      </c>
      <c r="N54" s="6" t="n">
        <v>1</v>
      </c>
      <c r="O54" s="6" t="n"/>
      <c r="P54" s="6" t="n">
        <v>5555</v>
      </c>
      <c r="Q54" s="6" t="n">
        <v>1</v>
      </c>
      <c r="R54">
        <f>M54+IF(MAX(N54-1,0)&gt;0,IF(ISBLANK(O54),5*MAX(N54-1,0),IF(ISNUMBER(O54),O54*MAX(N54-1,0),SUM(IFERROR(VALUE(TEXTSPLIT(O54,",")),0)))),0)</f>
        <v/>
      </c>
      <c r="S54">
        <f>IFERROR(L54*MAX(N54,1)/R54*IF(ISBLANK(K52),1,K52),0)</f>
        <v/>
      </c>
      <c r="AB54" s="7" t="inlineStr">
        <is>
          <t>^Warhead_CannonHE_Heavy, ^Warhead_CannonAP_Light, ^Warhead_Flak_Medium, ^Warhead_Bullet_Medium</t>
        </is>
      </c>
    </row>
    <row r="55">
      <c r="B55" s="7" t="inlineStr">
        <is>
          <t xml:space="preserve">  ↳ YakovlevCannon_elite</t>
        </is>
      </c>
      <c r="C55" s="7" t="inlineStr">
        <is>
          <t>Armament@latinsyndicate_upgrade_yuristolentechchainguns</t>
        </is>
      </c>
      <c r="L55" s="6" t="n">
        <v>8000</v>
      </c>
      <c r="M55" s="6" t="n">
        <v>5</v>
      </c>
      <c r="N55" s="6" t="n">
        <v>1</v>
      </c>
      <c r="O55" s="6" t="n"/>
      <c r="P55" s="6" t="n">
        <v>5555</v>
      </c>
      <c r="Q55" s="6" t="n">
        <v>1</v>
      </c>
      <c r="R55">
        <f>M55+IF(MAX(N55-1,0)&gt;0,IF(ISBLANK(O55),5*MAX(N55-1,0),IF(ISNUMBER(O55),O55*MAX(N55-1,0),SUM(IFERROR(VALUE(TEXTSPLIT(O55,",")),0)))),0)</f>
        <v/>
      </c>
      <c r="S55">
        <f>IFERROR(L55*MAX(N55,1)/R55*IF(ISBLANK(K52),1,K52),0)</f>
        <v/>
      </c>
      <c r="AB55" s="7" t="inlineStr">
        <is>
          <t>^Warhead_CannonHE_Heavy, ^Warhead_CannonAP_Light, ^Warhead_Flak_Medium, ^Warhead_Bullet_Medium</t>
        </is>
      </c>
    </row>
    <row r="56">
      <c r="A56" t="inlineStr">
        <is>
          <t>redalert2mod</t>
        </is>
      </c>
      <c r="B56" t="inlineStr">
        <is>
          <t>naxis_bf109</t>
        </is>
      </c>
      <c r="C56" t="inlineStr">
        <is>
          <t>BF 109</t>
        </is>
      </c>
      <c r="D56" s="6" t="inlineStr">
        <is>
          <t>Fighter</t>
        </is>
      </c>
      <c r="E56" s="6" t="n">
        <v>60000</v>
      </c>
      <c r="F56" s="6" t="n">
        <v>115</v>
      </c>
      <c r="G56" t="inlineStr">
        <is>
          <t>Fighter</t>
        </is>
      </c>
      <c r="H56" s="6" t="n">
        <v>1</v>
      </c>
      <c r="I56" s="6" t="n">
        <v>1</v>
      </c>
      <c r="J56" s="6" t="n">
        <v>1</v>
      </c>
      <c r="P56">
        <f>MAX(P57,P58)</f>
        <v/>
      </c>
      <c r="S56">
        <f>S57+S58</f>
        <v/>
      </c>
      <c r="T56">
        <f>(E56/100000+F56/100+(P56/1000)*J56/5+S56/200)*200*I56*H56</f>
        <v/>
      </c>
      <c r="U56">
        <f>((E56*F56/25000)+((P56/1000)*J56*S56/2.5))*I56*H56</f>
        <v/>
      </c>
      <c r="V56">
        <f>(E56*F56*(P56/1000)*J56*S56*I56*H56)/12500000</f>
        <v/>
      </c>
      <c r="W56">
        <f>(T56+U56+V56)/3</f>
        <v/>
      </c>
      <c r="X56" s="6" t="n">
        <v>1100</v>
      </c>
      <c r="Y56">
        <f>IFERROR(W56-X56,"")</f>
        <v/>
      </c>
      <c r="Z56">
        <f>IFERROR(ABS(Y56)/MAX(X56,1),"")</f>
        <v/>
      </c>
      <c r="AA56">
        <f>IFERROR((X56-(((E56/100000+F56/100+S56/200)*200*I56*H56)+((E56*F56/25000)*I56*H56))/3)/(((J56/5)*200*I56*H56)+((J56*S56/2.5)*I56*H56)+((E56*F56*J56*S56*I56*H56)/12500000))/3*1000,"")</f>
        <v/>
      </c>
    </row>
    <row r="57">
      <c r="B57" s="7" t="inlineStr">
        <is>
          <t xml:space="preserve">  ↳ NaxPlanegun_elite</t>
        </is>
      </c>
      <c r="C57" s="7" t="inlineStr">
        <is>
          <t>Armament</t>
        </is>
      </c>
      <c r="L57" s="6" t="n">
        <v>6000</v>
      </c>
      <c r="M57" s="6" t="n">
        <v>127</v>
      </c>
      <c r="N57" s="6" t="n">
        <v>10</v>
      </c>
      <c r="O57" s="6" t="n">
        <v>2</v>
      </c>
      <c r="P57" s="6" t="n">
        <v>6090</v>
      </c>
      <c r="Q57" s="6" t="n">
        <v>1</v>
      </c>
      <c r="R57">
        <f>M57+IF(MAX(N57-1,0)&gt;0,IF(ISBLANK(O57),5*MAX(N57-1,0),IF(ISNUMBER(O57),O57*MAX(N57-1,0),SUM(IFERROR(VALUE(TEXTSPLIT(O57,",")),0)))),0)</f>
        <v/>
      </c>
      <c r="S57">
        <f>IFERROR(L57*MAX(N57,1)/R57*IF(ISBLANK(K56),1,K56),0)</f>
        <v/>
      </c>
      <c r="AB57" s="7" t="inlineStr">
        <is>
          <t>^Warhead_Concussion_Light, ^Warhead_CannonHE_Heavy, ^Warhead_Bullet_Medium</t>
        </is>
      </c>
    </row>
    <row r="58">
      <c r="B58" s="7" t="inlineStr">
        <is>
          <t xml:space="preserve">  ↳ NaxPlanegun_elite</t>
        </is>
      </c>
      <c r="C58" s="7" t="inlineStr">
        <is>
          <t>Armament@ELITE</t>
        </is>
      </c>
      <c r="L58" s="6" t="n">
        <v>6000</v>
      </c>
      <c r="M58" s="6" t="n">
        <v>127</v>
      </c>
      <c r="N58" s="6" t="n">
        <v>10</v>
      </c>
      <c r="O58" s="6" t="n">
        <v>2</v>
      </c>
      <c r="P58" s="6" t="n">
        <v>6090</v>
      </c>
      <c r="Q58" s="6" t="n">
        <v>1</v>
      </c>
      <c r="R58">
        <f>M58+IF(MAX(N58-1,0)&gt;0,IF(ISBLANK(O58),5*MAX(N58-1,0),IF(ISNUMBER(O58),O58*MAX(N58-1,0),SUM(IFERROR(VALUE(TEXTSPLIT(O58,",")),0)))),0)</f>
        <v/>
      </c>
      <c r="S58">
        <f>IFERROR(L58*MAX(N58,1)/R58*IF(ISBLANK(K56),1,K56),0)</f>
        <v/>
      </c>
      <c r="AB58" s="7" t="inlineStr">
        <is>
          <t>^Warhead_Concussion_Light, ^Warhead_CannonHE_Heavy, ^Warhead_Bullet_Medium</t>
        </is>
      </c>
    </row>
    <row r="59">
      <c r="A59" t="inlineStr">
        <is>
          <t>redalert2mod</t>
        </is>
      </c>
      <c r="B59" t="inlineStr">
        <is>
          <t>naxis_interceptor</t>
        </is>
      </c>
      <c r="C59" t="inlineStr">
        <is>
          <t>Interceptor</t>
        </is>
      </c>
      <c r="D59" s="6" t="inlineStr">
        <is>
          <t>Fighter</t>
        </is>
      </c>
      <c r="E59" s="6" t="n">
        <v>10000</v>
      </c>
      <c r="F59" s="6" t="n">
        <v>160</v>
      </c>
      <c r="G59" t="inlineStr">
        <is>
          <t>Fighter</t>
        </is>
      </c>
      <c r="H59" s="6" t="n">
        <v>1</v>
      </c>
      <c r="I59" s="6" t="n">
        <v>1</v>
      </c>
      <c r="J59" s="6" t="n">
        <v>1</v>
      </c>
      <c r="K59" t="n">
        <v>0.005</v>
      </c>
      <c r="P59">
        <f>MAX(P60,P61)</f>
        <v/>
      </c>
      <c r="S59">
        <f>S60+S61</f>
        <v/>
      </c>
      <c r="T59">
        <f>(E59/100000+F59/100+(P59/1000)*J59/5+S59/200)*200*I59*H59</f>
        <v/>
      </c>
      <c r="U59">
        <f>((E59*F59/25000)+((P59/1000)*J59*S59/2.5))*I59*H59</f>
        <v/>
      </c>
      <c r="V59">
        <f>(E59*F59*(P59/1000)*J59*S59*I59*H59)/12500000</f>
        <v/>
      </c>
      <c r="W59">
        <f>(T59+U59+V59)/3</f>
        <v/>
      </c>
      <c r="X59" s="6" t="n">
        <v>200</v>
      </c>
      <c r="Y59">
        <f>IFERROR(W59-X59,"")</f>
        <v/>
      </c>
      <c r="Z59">
        <f>IFERROR(ABS(Y59)/MAX(X59,1),"")</f>
        <v/>
      </c>
      <c r="AA59">
        <f>IFERROR((X59-(((E59/100000+F59/100+S59/200)*200*I59*H59)+((E59*F59/25000)*I59*H59))/3)/(((J59/5)*200*I59*H59)+((J59*S59/2.5)*I59*H59)+((E59*F59*J59*S59*I59*H59)/12500000))/3*1000,"")</f>
        <v/>
      </c>
    </row>
    <row r="60">
      <c r="B60" s="7" t="inlineStr">
        <is>
          <t xml:space="preserve">  ↳ NaxiInterceptorGun</t>
        </is>
      </c>
      <c r="C60" s="7" t="inlineStr">
        <is>
          <t>Armament@PRIMARY</t>
        </is>
      </c>
      <c r="L60" s="6" t="n">
        <v>24000</v>
      </c>
      <c r="M60" s="6" t="n">
        <v>100</v>
      </c>
      <c r="N60" s="6" t="n">
        <v>4</v>
      </c>
      <c r="O60" s="6" t="n">
        <v>3</v>
      </c>
      <c r="P60" s="6" t="n">
        <v>6090</v>
      </c>
      <c r="Q60" s="6" t="n">
        <v>1.25</v>
      </c>
      <c r="R60">
        <f>M60+IF(MAX(N60-1,0)&gt;0,IF(ISBLANK(O60),5*MAX(N60-1,0),IF(ISNUMBER(O60),O60*MAX(N60-1,0),SUM(IFERROR(VALUE(TEXTSPLIT(O60,",")),0)))),0)</f>
        <v/>
      </c>
      <c r="S60">
        <f>IFERROR(L60*MAX(N60,1)/R60*IF(ISBLANK(K59),1,K59),0)</f>
        <v/>
      </c>
      <c r="AB60" s="7" t="inlineStr">
        <is>
          <t>^Warhead_CannonHE_Heavy</t>
        </is>
      </c>
    </row>
    <row r="61">
      <c r="B61" s="7" t="inlineStr">
        <is>
          <t xml:space="preserve">  ↳ NaxPlaneRockets_elite</t>
        </is>
      </c>
      <c r="C61" s="7" t="inlineStr">
        <is>
          <t>Armament@Rockets</t>
        </is>
      </c>
      <c r="L61" s="6" t="n">
        <v>20000</v>
      </c>
      <c r="M61" s="6" t="n">
        <v>100</v>
      </c>
      <c r="N61" s="6" t="n">
        <v>2</v>
      </c>
      <c r="O61" s="6" t="n">
        <v>9</v>
      </c>
      <c r="P61" s="6" t="n">
        <v>6090</v>
      </c>
      <c r="Q61" s="6" t="n">
        <v>1.125</v>
      </c>
      <c r="R61">
        <f>M61+IF(MAX(N61-1,0)&gt;0,IF(ISBLANK(O61),5*MAX(N61-1,0),IF(ISNUMBER(O61),O61*MAX(N61-1,0),SUM(IFERROR(VALUE(TEXTSPLIT(O61,",")),0)))),0)</f>
        <v/>
      </c>
      <c r="S61">
        <f>IFERROR(L61*MAX(N61,1)/R61*IF(ISBLANK(K59),1,K59),0)</f>
        <v/>
      </c>
      <c r="AB61" s="7" t="inlineStr">
        <is>
          <t>^Warhead_MissileAP_Medium, ^Warhead_MissileAP_Heavy</t>
        </is>
      </c>
    </row>
    <row r="62">
      <c r="A62" t="inlineStr">
        <is>
          <t>redalert2mod</t>
        </is>
      </c>
      <c r="B62" t="inlineStr">
        <is>
          <t>naxis_me262</t>
        </is>
      </c>
      <c r="C62" t="inlineStr">
        <is>
          <t>Me 262</t>
        </is>
      </c>
      <c r="D62" s="6" t="inlineStr">
        <is>
          <t>Fighter</t>
        </is>
      </c>
      <c r="E62" s="6" t="n">
        <v>75000</v>
      </c>
      <c r="F62" s="6" t="n">
        <v>155</v>
      </c>
      <c r="G62" t="inlineStr">
        <is>
          <t>Fighter</t>
        </is>
      </c>
      <c r="H62" s="6" t="n">
        <v>1</v>
      </c>
      <c r="I62" s="6" t="n">
        <v>1</v>
      </c>
      <c r="J62" s="6" t="n">
        <v>1</v>
      </c>
      <c r="K62" t="n">
        <v>0.005</v>
      </c>
      <c r="P62">
        <f>MAX(P63,P64,P65,P66)</f>
        <v/>
      </c>
      <c r="S62">
        <f>S63+S64+S65+S66</f>
        <v/>
      </c>
      <c r="T62">
        <f>(E62/100000+F62/100+(P62/1000)*J62/5+S62/200)*200*I62*H62</f>
        <v/>
      </c>
      <c r="U62">
        <f>((E62*F62/25000)+((P62/1000)*J62*S62/2.5))*I62*H62</f>
        <v/>
      </c>
      <c r="V62">
        <f>(E62*F62*(P62/1000)*J62*S62*I62*H62)/12500000</f>
        <v/>
      </c>
      <c r="W62">
        <f>(T62+U62+V62)/3</f>
        <v/>
      </c>
      <c r="X62" s="6" t="n">
        <v>1500</v>
      </c>
      <c r="Y62">
        <f>IFERROR(W62-X62,"")</f>
        <v/>
      </c>
      <c r="Z62">
        <f>IFERROR(ABS(Y62)/MAX(X62,1),"")</f>
        <v/>
      </c>
      <c r="AA62">
        <f>IFERROR((X62-(((E62/100000+F62/100+S62/200)*200*I62*H62)+((E62*F62/25000)*I62*H62))/3)/(((J62/5)*200*I62*H62)+((J62*S62/2.5)*I62*H62)+((E62*F62*J62*S62*I62*H62)/12500000))/3*1000,"")</f>
        <v/>
      </c>
    </row>
    <row r="63">
      <c r="B63" s="7" t="inlineStr">
        <is>
          <t xml:space="preserve">  ↳ NaxPlaneRockets_elite</t>
        </is>
      </c>
      <c r="C63" s="7" t="inlineStr">
        <is>
          <t>Armament@Rockets</t>
        </is>
      </c>
      <c r="L63" s="6" t="n">
        <v>20000</v>
      </c>
      <c r="M63" s="6" t="n">
        <v>100</v>
      </c>
      <c r="N63" s="6" t="n">
        <v>2</v>
      </c>
      <c r="O63" s="6" t="n">
        <v>9</v>
      </c>
      <c r="P63" s="6" t="n">
        <v>6090</v>
      </c>
      <c r="Q63" s="6" t="n">
        <v>1.125</v>
      </c>
      <c r="R63">
        <f>M63+IF(MAX(N63-1,0)&gt;0,IF(ISBLANK(O63),5*MAX(N63-1,0),IF(ISNUMBER(O63),O63*MAX(N63-1,0),SUM(IFERROR(VALUE(TEXTSPLIT(O63,",")),0)))),0)</f>
        <v/>
      </c>
      <c r="S63">
        <f>IFERROR(L63*MAX(N63,1)/R63*IF(ISBLANK(K62),1,K62),0)</f>
        <v/>
      </c>
      <c r="AB63" s="7" t="inlineStr">
        <is>
          <t>^Warhead_MissileAP_Medium, ^Warhead_MissileAP_Heavy</t>
        </is>
      </c>
    </row>
    <row r="64">
      <c r="B64" s="7" t="inlineStr">
        <is>
          <t xml:space="preserve">  ↳ NaxPlaneRockets_elite</t>
        </is>
      </c>
      <c r="C64" s="7" t="inlineStr">
        <is>
          <t>Armament@RocketsELITE</t>
        </is>
      </c>
      <c r="L64" s="6" t="n">
        <v>20000</v>
      </c>
      <c r="M64" s="6" t="n">
        <v>100</v>
      </c>
      <c r="N64" s="6" t="n">
        <v>2</v>
      </c>
      <c r="O64" s="6" t="n">
        <v>9</v>
      </c>
      <c r="P64" s="6" t="n">
        <v>6090</v>
      </c>
      <c r="Q64" s="6" t="n">
        <v>1.125</v>
      </c>
      <c r="R64">
        <f>M64+IF(MAX(N64-1,0)&gt;0,IF(ISBLANK(O64),5*MAX(N64-1,0),IF(ISNUMBER(O64),O64*MAX(N64-1,0),SUM(IFERROR(VALUE(TEXTSPLIT(O64,",")),0)))),0)</f>
        <v/>
      </c>
      <c r="S64">
        <f>IFERROR(L64*MAX(N64,1)/R64*IF(ISBLANK(K62),1,K62),0)</f>
        <v/>
      </c>
      <c r="AB64" s="7" t="inlineStr">
        <is>
          <t>^Warhead_MissileAP_Medium, ^Warhead_MissileAP_Heavy</t>
        </is>
      </c>
    </row>
    <row r="65">
      <c r="B65" s="7" t="inlineStr">
        <is>
          <t xml:space="preserve">  ↳ NaxPlanegun_elite</t>
        </is>
      </c>
      <c r="C65" s="7" t="inlineStr">
        <is>
          <t>Armament@MG</t>
        </is>
      </c>
      <c r="L65" s="6" t="n">
        <v>6000</v>
      </c>
      <c r="M65" s="6" t="n">
        <v>127</v>
      </c>
      <c r="N65" s="6" t="n">
        <v>10</v>
      </c>
      <c r="O65" s="6" t="n">
        <v>2</v>
      </c>
      <c r="P65" s="6" t="n">
        <v>6090</v>
      </c>
      <c r="Q65" s="6" t="n">
        <v>1</v>
      </c>
      <c r="R65">
        <f>M65+IF(MAX(N65-1,0)&gt;0,IF(ISBLANK(O65),5*MAX(N65-1,0),IF(ISNUMBER(O65),O65*MAX(N65-1,0),SUM(IFERROR(VALUE(TEXTSPLIT(O65,",")),0)))),0)</f>
        <v/>
      </c>
      <c r="S65">
        <f>IFERROR(L65*MAX(N65,1)/R65*IF(ISBLANK(K62),1,K62),0)</f>
        <v/>
      </c>
      <c r="AB65" s="7" t="inlineStr">
        <is>
          <t>^Warhead_Concussion_Light, ^Warhead_CannonHE_Heavy, ^Warhead_Bullet_Medium</t>
        </is>
      </c>
    </row>
    <row r="66">
      <c r="B66" s="7" t="inlineStr">
        <is>
          <t xml:space="preserve">  ↳ NaxPlanegun_elite</t>
        </is>
      </c>
      <c r="C66" s="7" t="inlineStr">
        <is>
          <t>Armament@ELITE</t>
        </is>
      </c>
      <c r="L66" s="6" t="n">
        <v>6000</v>
      </c>
      <c r="M66" s="6" t="n">
        <v>127</v>
      </c>
      <c r="N66" s="6" t="n">
        <v>10</v>
      </c>
      <c r="O66" s="6" t="n">
        <v>2</v>
      </c>
      <c r="P66" s="6" t="n">
        <v>6090</v>
      </c>
      <c r="Q66" s="6" t="n">
        <v>1</v>
      </c>
      <c r="R66">
        <f>M66+IF(MAX(N66-1,0)&gt;0,IF(ISBLANK(O66),5*MAX(N66-1,0),IF(ISNUMBER(O66),O66*MAX(N66-1,0),SUM(IFERROR(VALUE(TEXTSPLIT(O66,",")),0)))),0)</f>
        <v/>
      </c>
      <c r="S66">
        <f>IFERROR(L66*MAX(N66,1)/R66*IF(ISBLANK(K62),1,K62),0)</f>
        <v/>
      </c>
      <c r="AB66" s="7" t="inlineStr">
        <is>
          <t>^Warhead_Concussion_Light, ^Warhead_CannonHE_Heavy, ^Warhead_Bullet_Medium</t>
        </is>
      </c>
    </row>
    <row r="67">
      <c r="A67" t="inlineStr">
        <is>
          <t>redalert2mod</t>
        </is>
      </c>
      <c r="B67" t="inlineStr">
        <is>
          <t>schwarzermond_blackbomb</t>
        </is>
      </c>
      <c r="C67" t="inlineStr">
        <is>
          <t>Black Bomb</t>
        </is>
      </c>
      <c r="D67" s="6" t="inlineStr">
        <is>
          <t>Fighter</t>
        </is>
      </c>
      <c r="E67" s="6" t="n">
        <v>37500</v>
      </c>
      <c r="F67" s="6" t="n">
        <v>75</v>
      </c>
      <c r="G67" t="inlineStr">
        <is>
          <t>Fighter</t>
        </is>
      </c>
      <c r="H67" s="6" t="n">
        <v>0.4571</v>
      </c>
      <c r="I67" s="6" t="n">
        <v>1</v>
      </c>
      <c r="J67" s="6" t="n">
        <v>1</v>
      </c>
      <c r="X67" s="6" t="n">
        <v>3500</v>
      </c>
    </row>
    <row r="68">
      <c r="B68" s="7" t="inlineStr">
        <is>
          <t xml:space="preserve">  ↳ DemoTruckTargeting</t>
        </is>
      </c>
      <c r="C68" s="7" t="inlineStr">
        <is>
          <t>Armament@PRIMARY</t>
        </is>
      </c>
      <c r="M68" s="6" t="n">
        <v>1</v>
      </c>
      <c r="N68" s="6" t="n">
        <v>1</v>
      </c>
      <c r="O68" s="6" t="n"/>
      <c r="P68" s="6" t="n">
        <v>2000</v>
      </c>
      <c r="Q68" s="6" t="n">
        <v>1</v>
      </c>
      <c r="R68">
        <f>M68+IF(MAX(N68-1,0)&gt;0,IF(ISBLANK(O68),5*MAX(N68-1,0),IF(ISNUMBER(O68),O68*MAX(N68-1,0),SUM(IFERROR(VALUE(TEXTSPLIT(O68,",")),0)))),0)</f>
        <v/>
      </c>
      <c r="S68">
        <f>IFERROR(L68*MAX(N68,1)/R68*IF(ISBLANK(K67),1,K67),0)</f>
        <v/>
      </c>
      <c r="AB68" s="7" t="inlineStr"/>
    </row>
    <row r="69">
      <c r="A69" t="inlineStr">
        <is>
          <t>redalert2mod</t>
        </is>
      </c>
      <c r="B69" t="inlineStr">
        <is>
          <t>schwarzermond_corruptorpiercer</t>
        </is>
      </c>
      <c r="C69" t="inlineStr">
        <is>
          <t>Corruptor Piercer</t>
        </is>
      </c>
      <c r="D69" s="6" t="inlineStr">
        <is>
          <t>Fighter</t>
        </is>
      </c>
      <c r="E69" s="6" t="n">
        <v>37500</v>
      </c>
      <c r="F69" s="6" t="n">
        <v>150</v>
      </c>
      <c r="G69" t="inlineStr">
        <is>
          <t>Fighter</t>
        </is>
      </c>
      <c r="H69" s="6" t="n">
        <v>0.4571</v>
      </c>
      <c r="I69" s="6" t="n">
        <v>1</v>
      </c>
      <c r="J69" s="6" t="n">
        <v>1</v>
      </c>
      <c r="P69">
        <f>MAX(P70)</f>
        <v/>
      </c>
      <c r="S69">
        <f>S70</f>
        <v/>
      </c>
      <c r="T69">
        <f>(E69/100000+F69/100+(P69/1000)*J69/5+S69/200)*200*I69*H69</f>
        <v/>
      </c>
      <c r="U69">
        <f>((E69*F69/25000)+((P69/1000)*J69*S69/2.5))*I69*H69</f>
        <v/>
      </c>
      <c r="V69">
        <f>(E69*F69*(P69/1000)*J69*S69*I69*H69)/12500000</f>
        <v/>
      </c>
      <c r="W69">
        <f>(T69+U69+V69)/3</f>
        <v/>
      </c>
      <c r="X69" s="6" t="n">
        <v>2500</v>
      </c>
      <c r="Y69">
        <f>IFERROR(W69-X69,"")</f>
        <v/>
      </c>
      <c r="Z69">
        <f>IFERROR(ABS(Y69)/MAX(X69,1),"")</f>
        <v/>
      </c>
      <c r="AA69">
        <f>IFERROR((X69-(((E69/100000+F69/100+S69/200)*200*I69*H69)+((E69*F69/25000)*I69*H69))/3)/(((J69/5)*200*I69*H69)+((J69*S69/2.5)*I69*H69)+((E69*F69*J69*S69*I69*H69)/12500000))/3*1000,"")</f>
        <v/>
      </c>
    </row>
    <row r="70">
      <c r="B70" s="7" t="inlineStr">
        <is>
          <t xml:space="preserve">  ↳ NaxCorrosionRocket</t>
        </is>
      </c>
      <c r="C70" s="7" t="inlineStr">
        <is>
          <t>Armament</t>
        </is>
      </c>
      <c r="L70" s="6" t="n">
        <v>6000</v>
      </c>
      <c r="M70" s="6" t="n">
        <v>50</v>
      </c>
      <c r="N70" s="6" t="n">
        <v>2</v>
      </c>
      <c r="O70" s="6" t="n">
        <v>2</v>
      </c>
      <c r="P70" s="6" t="n">
        <v>8000</v>
      </c>
      <c r="Q70" s="6" t="n">
        <v>1</v>
      </c>
      <c r="R70">
        <f>M70+IF(MAX(N70-1,0)&gt;0,IF(ISBLANK(O70),5*MAX(N70-1,0),IF(ISNUMBER(O70),O70*MAX(N70-1,0),SUM(IFERROR(VALUE(TEXTSPLIT(O70,",")),0)))),0)</f>
        <v/>
      </c>
      <c r="S70">
        <f>IFERROR(L70*MAX(N70,1)/R70*IF(ISBLANK(K69),1,K69),0)</f>
        <v/>
      </c>
      <c r="AB70" s="7" t="inlineStr">
        <is>
          <t>^Warhead_Concussion_Light, ^Warhead_MissileAP_Heavy, ^Warhead_MissileAP_Medium</t>
        </is>
      </c>
    </row>
    <row r="71">
      <c r="A71" t="inlineStr">
        <is>
          <t>redalert2mod</t>
        </is>
      </c>
      <c r="B71" t="inlineStr">
        <is>
          <t>schwarzermond_drone</t>
        </is>
      </c>
      <c r="C71" t="inlineStr">
        <is>
          <t>Drone</t>
        </is>
      </c>
      <c r="D71" s="6" t="inlineStr">
        <is>
          <t>Fighter</t>
        </is>
      </c>
      <c r="E71" s="6" t="n">
        <v>7500</v>
      </c>
      <c r="F71" s="6" t="n">
        <v>150</v>
      </c>
      <c r="G71" t="inlineStr">
        <is>
          <t>Fighter</t>
        </is>
      </c>
      <c r="H71" s="6" t="n">
        <v>1</v>
      </c>
      <c r="I71" s="6" t="n">
        <v>1</v>
      </c>
      <c r="J71" s="6" t="n">
        <v>1</v>
      </c>
      <c r="P71">
        <f>MAX(P72,P73)</f>
        <v/>
      </c>
      <c r="S71">
        <f>S72+S73</f>
        <v/>
      </c>
      <c r="T71">
        <f>(E71/100000+F71/100+(P71/1000)*J71/5+S71/200)*200*I71*H71</f>
        <v/>
      </c>
      <c r="U71">
        <f>((E71*F71/25000)+((P71/1000)*J71*S71/2.5))*I71*H71</f>
        <v/>
      </c>
      <c r="V71">
        <f>(E71*F71*(P71/1000)*J71*S71*I71*H71)/12500000</f>
        <v/>
      </c>
      <c r="W71">
        <f>(T71+U71+V71)/3</f>
        <v/>
      </c>
      <c r="X71" s="6" t="n">
        <v>120</v>
      </c>
      <c r="Y71">
        <f>IFERROR(W71-X71,"")</f>
        <v/>
      </c>
      <c r="Z71">
        <f>IFERROR(ABS(Y71)/MAX(X71,1),"")</f>
        <v/>
      </c>
      <c r="AA71">
        <f>IFERROR((X71-(((E71/100000+F71/100+S71/200)*200*I71*H71)+((E71*F71/25000)*I71*H71))/3)/(((J71/5)*200*I71*H71)+((J71*S71/2.5)*I71*H71)+((E71*F71*J71*S71*I71*H71)/12500000))/3*1000,"")</f>
        <v/>
      </c>
    </row>
    <row r="72">
      <c r="B72" s="7" t="inlineStr">
        <is>
          <t xml:space="preserve">  ↳ LunarNaxiDroneLaser</t>
        </is>
      </c>
      <c r="C72" s="7" t="inlineStr">
        <is>
          <t>Armament@PRIMARY</t>
        </is>
      </c>
      <c r="L72" s="6" t="n">
        <v>8000</v>
      </c>
      <c r="M72" s="6" t="n">
        <v>100</v>
      </c>
      <c r="N72" s="6" t="n">
        <v>4</v>
      </c>
      <c r="O72" s="6" t="n">
        <v>3</v>
      </c>
      <c r="P72" s="6" t="n">
        <v>5760</v>
      </c>
      <c r="Q72" s="6" t="n">
        <v>1</v>
      </c>
      <c r="R72">
        <f>M72+IF(MAX(N72-1,0)&gt;0,IF(ISBLANK(O72),5*MAX(N72-1,0),IF(ISNUMBER(O72),O72*MAX(N72-1,0),SUM(IFERROR(VALUE(TEXTSPLIT(O72,",")),0)))),0)</f>
        <v/>
      </c>
      <c r="S72">
        <f>IFERROR(L72*MAX(N72,1)/R72*IF(ISBLANK(K71),1,K71),0)</f>
        <v/>
      </c>
      <c r="AB72" s="7" t="inlineStr">
        <is>
          <t>^SmallArms, ^Chaingun, ^MediumMissile, ^LaserWeapon</t>
        </is>
      </c>
    </row>
    <row r="73">
      <c r="B73" s="7" t="inlineStr">
        <is>
          <t xml:space="preserve">  ↳ LunarNaxiDroneMissile</t>
        </is>
      </c>
      <c r="C73" s="7" t="inlineStr">
        <is>
          <t>Armament@Rockets</t>
        </is>
      </c>
      <c r="L73" s="6" t="n">
        <v>12000</v>
      </c>
      <c r="M73" s="6" t="n">
        <v>100</v>
      </c>
      <c r="N73" s="6" t="n">
        <v>2</v>
      </c>
      <c r="O73" s="6" t="n">
        <v>9</v>
      </c>
      <c r="P73" s="6" t="n">
        <v>5760</v>
      </c>
      <c r="Q73" s="6" t="n">
        <v>0.75</v>
      </c>
      <c r="R73">
        <f>M73+IF(MAX(N73-1,0)&gt;0,IF(ISBLANK(O73),5*MAX(N73-1,0),IF(ISNUMBER(O73),O73*MAX(N73-1,0),SUM(IFERROR(VALUE(TEXTSPLIT(O73,",")),0)))),0)</f>
        <v/>
      </c>
      <c r="S73">
        <f>IFERROR(L73*MAX(N73,1)/R73*IF(ISBLANK(K71),1,K71),0)</f>
        <v/>
      </c>
      <c r="AB73" s="7" t="inlineStr">
        <is>
          <t>^Warhead_MissileAP_Light</t>
        </is>
      </c>
    </row>
    <row r="74">
      <c r="A74" t="inlineStr">
        <is>
          <t>redalert2mod</t>
        </is>
      </c>
      <c r="B74" t="inlineStr">
        <is>
          <t>futuretech_twister</t>
        </is>
      </c>
      <c r="C74" t="inlineStr">
        <is>
          <t>Twister</t>
        </is>
      </c>
      <c r="D74" s="6" t="inlineStr">
        <is>
          <t>Fighter</t>
        </is>
      </c>
      <c r="E74" s="6" t="n">
        <v>50000</v>
      </c>
      <c r="F74" s="6" t="n">
        <v>150</v>
      </c>
      <c r="G74" t="inlineStr">
        <is>
          <t>Fighter</t>
        </is>
      </c>
      <c r="H74" s="6" t="n">
        <v>0.514</v>
      </c>
      <c r="I74" s="6" t="n">
        <v>1</v>
      </c>
      <c r="J74" s="6" t="n">
        <v>1</v>
      </c>
      <c r="P74">
        <f>MAX(P75,P76)</f>
        <v/>
      </c>
      <c r="S74">
        <f>S75+S76</f>
        <v/>
      </c>
      <c r="T74">
        <f>(E74/100000+F74/100+(P74/1000)*J74/5+S74/200)*200*I74*H74</f>
        <v/>
      </c>
      <c r="U74">
        <f>((E74*F74/25000)+((P74/1000)*J74*S74/2.5))*I74*H74</f>
        <v/>
      </c>
      <c r="V74">
        <f>(E74*F74*(P74/1000)*J74*S74*I74*H74)/12500000</f>
        <v/>
      </c>
      <c r="W74">
        <f>(T74+U74+V74)/3</f>
        <v/>
      </c>
      <c r="X74" s="6" t="n">
        <v>1000</v>
      </c>
      <c r="Y74">
        <f>IFERROR(W74-X74,"")</f>
        <v/>
      </c>
      <c r="Z74">
        <f>IFERROR(ABS(Y74)/MAX(X74,1),"")</f>
        <v/>
      </c>
      <c r="AA74">
        <f>IFERROR((X74-(((E74/100000+F74/100+S74/200)*200*I74*H74)+((E74*F74/25000)*I74*H74))/3)/(((J74/5)*200*I74*H74)+((J74*S74/2.5)*I74*H74)+((E74*F74*J74*S74*I74*H74)/12500000))/3*1000,"")</f>
        <v/>
      </c>
    </row>
    <row r="75">
      <c r="B75" s="7" t="inlineStr">
        <is>
          <t xml:space="preserve">  ↳ SteelTwisterMissiles</t>
        </is>
      </c>
      <c r="C75" s="7" t="inlineStr">
        <is>
          <t>Armament@PRIMARY</t>
        </is>
      </c>
      <c r="L75" s="6" t="n">
        <v>10000</v>
      </c>
      <c r="M75" s="6" t="n">
        <v>105</v>
      </c>
      <c r="N75" s="6" t="n">
        <v>5</v>
      </c>
      <c r="O75" s="6" t="n">
        <v>5</v>
      </c>
      <c r="P75" s="6" t="n">
        <v>5000</v>
      </c>
      <c r="Q75" s="6" t="n">
        <v>1</v>
      </c>
      <c r="R75">
        <f>M75+IF(MAX(N75-1,0)&gt;0,IF(ISBLANK(O75),5*MAX(N75-1,0),IF(ISNUMBER(O75),O75*MAX(N75-1,0),SUM(IFERROR(VALUE(TEXTSPLIT(O75,",")),0)))),0)</f>
        <v/>
      </c>
      <c r="S75">
        <f>IFERROR(L75*MAX(N75,1)/R75*IF(ISBLANK(K74),1,K74),0)</f>
        <v/>
      </c>
      <c r="AB75" s="7" t="inlineStr">
        <is>
          <t>^Warhead_MissileAP_Medium</t>
        </is>
      </c>
    </row>
    <row r="76">
      <c r="B76" s="7" t="inlineStr">
        <is>
          <t xml:space="preserve">  ↳ SteelTwisterMissiles_elite</t>
        </is>
      </c>
      <c r="C76" s="7" t="inlineStr">
        <is>
          <t>Armament@PRIMARYELITE</t>
        </is>
      </c>
      <c r="L76" s="6" t="n">
        <v>10000</v>
      </c>
      <c r="M76" s="6" t="n">
        <v>105</v>
      </c>
      <c r="N76" s="6" t="n">
        <v>10</v>
      </c>
      <c r="O76" s="6" t="n">
        <v>5</v>
      </c>
      <c r="P76" s="6" t="n">
        <v>6000</v>
      </c>
      <c r="Q76" s="6" t="n">
        <v>1</v>
      </c>
      <c r="R76">
        <f>M76+IF(MAX(N76-1,0)&gt;0,IF(ISBLANK(O76),5*MAX(N76-1,0),IF(ISNUMBER(O76),O76*MAX(N76-1,0),SUM(IFERROR(VALUE(TEXTSPLIT(O76,",")),0)))),0)</f>
        <v/>
      </c>
      <c r="S76">
        <f>IFERROR(L76*MAX(N76,1)/R76*IF(ISBLANK(K74),1,K74),0)</f>
        <v/>
      </c>
      <c r="AB76" s="7" t="inlineStr">
        <is>
          <t>^Warhead_MissileAP_Medium</t>
        </is>
      </c>
    </row>
    <row r="77">
      <c r="A77" t="inlineStr">
        <is>
          <t>d2k</t>
        </is>
      </c>
      <c r="B77" t="inlineStr">
        <is>
          <t>ordos_swarmerdrone</t>
        </is>
      </c>
      <c r="C77" t="inlineStr">
        <is>
          <t>Swarmer Drone</t>
        </is>
      </c>
      <c r="D77" s="6" t="inlineStr">
        <is>
          <t>Fighter</t>
        </is>
      </c>
      <c r="E77" s="6" t="n">
        <v>20000</v>
      </c>
      <c r="F77" s="6" t="n">
        <v>260</v>
      </c>
      <c r="G77" t="inlineStr">
        <is>
          <t>Fighter</t>
        </is>
      </c>
      <c r="H77" s="6" t="n">
        <v>1</v>
      </c>
      <c r="I77" s="6" t="n">
        <v>1</v>
      </c>
      <c r="J77" s="6" t="n">
        <v>1</v>
      </c>
      <c r="P77">
        <f>MAX(P78,P79)</f>
        <v/>
      </c>
      <c r="S77">
        <f>S78+S79</f>
        <v/>
      </c>
      <c r="T77">
        <f>(E77/100000+F77/100+(P77/1000)*J77/5+S77/200)*200*I77*H77</f>
        <v/>
      </c>
      <c r="U77">
        <f>((E77*F77/25000)+((P77/1000)*J77*S77/2.5))*I77*H77</f>
        <v/>
      </c>
      <c r="V77">
        <f>(E77*F77*(P77/1000)*J77*S77*I77*H77)/12500000</f>
        <v/>
      </c>
      <c r="W77">
        <f>(T77+U77+V77)/3</f>
        <v/>
      </c>
      <c r="X77" s="6" t="n">
        <v>800</v>
      </c>
      <c r="Y77">
        <f>IFERROR(W77-X77,"")</f>
        <v/>
      </c>
      <c r="Z77">
        <f>IFERROR(ABS(Y77)/MAX(X77,1),"")</f>
        <v/>
      </c>
      <c r="AA77">
        <f>IFERROR((X77-(((E77/100000+F77/100+S77/200)*200*I77*H77)+((E77*F77/25000)*I77*H77))/3)/(((J77/5)*200*I77*H77)+((J77*S77/2.5)*I77*H77)+((E77*F77*J77*S77*I77*H77)/12500000))/3*1000,"")</f>
        <v/>
      </c>
    </row>
    <row r="78">
      <c r="B78" s="7" t="inlineStr">
        <is>
          <t xml:space="preserve">  ↳ d2kChainGun</t>
        </is>
      </c>
      <c r="C78" s="7" t="inlineStr">
        <is>
          <t>Armament@PRIMARY</t>
        </is>
      </c>
      <c r="L78" s="6" t="n">
        <v>4000</v>
      </c>
      <c r="M78" s="6" t="n">
        <v>60</v>
      </c>
      <c r="N78" s="6" t="n">
        <v>5</v>
      </c>
      <c r="O78" s="6" t="n">
        <v>2</v>
      </c>
      <c r="P78" s="6" t="n">
        <v>6184</v>
      </c>
      <c r="Q78" s="6" t="n">
        <v>1</v>
      </c>
      <c r="R78">
        <f>M78+IF(MAX(N78-1,0)&gt;0,IF(ISBLANK(O78),5*MAX(N78-1,0),IF(ISNUMBER(O78),O78*MAX(N78-1,0),SUM(IFERROR(VALUE(TEXTSPLIT(O78,",")),0)))),0)</f>
        <v/>
      </c>
      <c r="S78">
        <f>IFERROR(L78*MAX(N78,1)/R78*IF(ISBLANK(K77),1,K77),0)</f>
        <v/>
      </c>
      <c r="AB78" s="7" t="inlineStr">
        <is>
          <t>^Warhead_Bullet_Medium</t>
        </is>
      </c>
    </row>
    <row r="79">
      <c r="B79" s="7" t="inlineStr">
        <is>
          <t xml:space="preserve">  ↳ d2kChainGun_upgrade</t>
        </is>
      </c>
      <c r="C79" s="7" t="inlineStr">
        <is>
          <t>Armament@PRIMARYLaser</t>
        </is>
      </c>
      <c r="L79" s="6" t="n">
        <v>8000</v>
      </c>
      <c r="M79" s="6" t="n">
        <v>60</v>
      </c>
      <c r="N79" s="6" t="n">
        <v>5</v>
      </c>
      <c r="O79" s="6" t="n">
        <v>2</v>
      </c>
      <c r="P79" s="6" t="n">
        <v>6184</v>
      </c>
      <c r="Q79" s="6" t="n">
        <v>1.125</v>
      </c>
      <c r="R79">
        <f>M79+IF(MAX(N79-1,0)&gt;0,IF(ISBLANK(O79),5*MAX(N79-1,0),IF(ISNUMBER(O79),O79*MAX(N79-1,0),SUM(IFERROR(VALUE(TEXTSPLIT(O79,",")),0)))),0)</f>
        <v/>
      </c>
      <c r="S79">
        <f>IFERROR(L79*MAX(N79,1)/R79*IF(ISBLANK(K77),1,K77),0)</f>
        <v/>
      </c>
      <c r="AB79" s="7" t="inlineStr">
        <is>
          <t>^Warhead_Laser_Heavy, ^Warhead_Bullet_Medium</t>
        </is>
      </c>
    </row>
    <row r="80">
      <c r="A80" t="inlineStr">
        <is>
          <t>starcraft</t>
        </is>
      </c>
      <c r="B80" t="inlineStr">
        <is>
          <t>zerg_scourge</t>
        </is>
      </c>
      <c r="C80" t="inlineStr">
        <is>
          <t>Scourge</t>
        </is>
      </c>
      <c r="D80" s="6" t="inlineStr">
        <is>
          <t>Fighter</t>
        </is>
      </c>
      <c r="E80" s="6" t="n">
        <v>25000</v>
      </c>
      <c r="F80" s="6" t="n">
        <v>200</v>
      </c>
      <c r="G80" t="inlineStr">
        <is>
          <t>Fighter</t>
        </is>
      </c>
      <c r="H80" s="6" t="n">
        <v>1</v>
      </c>
      <c r="I80" s="6" t="n">
        <v>1</v>
      </c>
      <c r="J80" s="6" t="n">
        <v>1</v>
      </c>
      <c r="P80">
        <f>MAX(P81)</f>
        <v/>
      </c>
      <c r="S80">
        <f>S81</f>
        <v/>
      </c>
      <c r="T80">
        <f>(E80/100000+F80/100+(P80/1000)*J80/5+S80/200)*200*I80*H80</f>
        <v/>
      </c>
      <c r="U80">
        <f>((E80*F80/25000)+((P80/1000)*J80*S80/2.5))*I80*H80</f>
        <v/>
      </c>
      <c r="V80">
        <f>(E80*F80*(P80/1000)*J80*S80*I80*H80)/12500000</f>
        <v/>
      </c>
      <c r="W80">
        <f>(T80+U80+V80)/3</f>
        <v/>
      </c>
      <c r="X80" s="6" t="n">
        <v>700</v>
      </c>
      <c r="Y80">
        <f>IFERROR(W80-X80,"")</f>
        <v/>
      </c>
      <c r="Z80">
        <f>IFERROR(ABS(Y80)/MAX(X80,1),"")</f>
        <v/>
      </c>
      <c r="AA80">
        <f>IFERROR((X80-(((E80/100000+F80/100+S80/200)*200*I80*H80)+((E80*F80/25000)*I80*H80))/3)/(((J80/5)*200*I80*H80)+((J80*S80/2.5)*I80*H80)+((E80*F80*J80*S80*I80*H80)/12500000))/3*1000,"")</f>
        <v/>
      </c>
    </row>
    <row r="81">
      <c r="B81" s="7" t="inlineStr">
        <is>
          <t xml:space="preserve">  ↳ ScourgeExplosion</t>
        </is>
      </c>
      <c r="C81" s="7" t="inlineStr">
        <is>
          <t>Armament@PRIMARY</t>
        </is>
      </c>
      <c r="L81" s="6" t="n">
        <v>100000</v>
      </c>
      <c r="M81" s="6" t="n">
        <v>25</v>
      </c>
      <c r="N81" s="6" t="n">
        <v>1</v>
      </c>
      <c r="O81" s="6" t="n"/>
      <c r="P81" s="6" t="n">
        <v>2000</v>
      </c>
      <c r="Q81" s="6" t="n">
        <v>1.125</v>
      </c>
      <c r="R81">
        <f>M81+IF(MAX(N81-1,0)&gt;0,IF(ISBLANK(O81),5*MAX(N81-1,0),IF(ISNUMBER(O81),O81*MAX(N81-1,0),SUM(IFERROR(VALUE(TEXTSPLIT(O81,",")),0)))),0)</f>
        <v/>
      </c>
      <c r="S81">
        <f>IFERROR(L81*MAX(N81,1)/R81*IF(ISBLANK(K80),1,K80),0)</f>
        <v/>
      </c>
      <c r="AB81" s="7" t="inlineStr">
        <is>
          <t>^Warhead_Demolition_Heavy, ^Warhead_Concussion_Medium</t>
        </is>
      </c>
    </row>
    <row r="82">
      <c r="A82" s="4" t="inlineStr">
        <is>
          <t>Bomber</t>
        </is>
      </c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</row>
    <row r="83">
      <c r="A83" t="inlineStr">
        <is>
          <t>tiberiandawn</t>
        </is>
      </c>
      <c r="B83" t="inlineStr">
        <is>
          <t>A10</t>
        </is>
      </c>
      <c r="C83" t="inlineStr">
        <is>
          <t>A10 Bomber</t>
        </is>
      </c>
      <c r="D83" s="6" t="inlineStr">
        <is>
          <t>Bomber</t>
        </is>
      </c>
      <c r="E83" s="6" t="n">
        <v>50000</v>
      </c>
      <c r="F83" s="6" t="n">
        <v>250</v>
      </c>
      <c r="G83" t="inlineStr">
        <is>
          <t>Bomber</t>
        </is>
      </c>
      <c r="H83" s="6" t="n">
        <v>1</v>
      </c>
      <c r="I83" s="6" t="n">
        <v>1</v>
      </c>
      <c r="J83" s="6" t="n">
        <v>1</v>
      </c>
      <c r="P83">
        <f>MAX(P84,P85)</f>
        <v/>
      </c>
      <c r="S83">
        <f>S84+S85</f>
        <v/>
      </c>
      <c r="T83">
        <f>(E83/100000+F83/100+(P83/1000)*J83/5+S83/200)*200*I83*H83</f>
        <v/>
      </c>
      <c r="U83">
        <f>((E83*F83/25000)+((P83/1000)*J83*S83/2.5))*I83*H83</f>
        <v/>
      </c>
      <c r="V83">
        <f>(E83*F83*(P83/1000)*J83*S83*I83*H83)/12500000</f>
        <v/>
      </c>
      <c r="W83">
        <f>(T83+U83+V83)/3</f>
        <v/>
      </c>
      <c r="X83" s="6" t="n">
        <v>2500</v>
      </c>
      <c r="Y83">
        <f>IFERROR(W83-X83,"")</f>
        <v/>
      </c>
      <c r="Z83">
        <f>IFERROR(ABS(Y83)/MAX(X83,1),"")</f>
        <v/>
      </c>
      <c r="AA83">
        <f>IFERROR((X83-(((E83/100000+F83/100+S83/200)*200*I83*H83)+((E83*F83/25000)*I83*H83))/3)/(((J83/5)*200*I83*H83)+((J83*S83/2.5)*I83*H83)+((E83*F83*J83*S83*I83*H83)/12500000))/3*1000,"")</f>
        <v/>
      </c>
    </row>
    <row r="84">
      <c r="B84" s="7" t="inlineStr">
        <is>
          <t xml:space="preserve">  ↳ Vulcan</t>
        </is>
      </c>
      <c r="C84" s="7" t="inlineStr">
        <is>
          <t>Armament@GUNS</t>
        </is>
      </c>
      <c r="L84" s="6" t="n">
        <v>12000</v>
      </c>
      <c r="M84" s="6" t="n">
        <v>125</v>
      </c>
      <c r="N84" s="6" t="n">
        <v>10</v>
      </c>
      <c r="O84" s="6" t="n">
        <v>2</v>
      </c>
      <c r="P84" s="6" t="n">
        <v>10000</v>
      </c>
      <c r="Q84" s="6" t="n">
        <v>1</v>
      </c>
      <c r="R84">
        <f>M84+IF(MAX(N84-1,0)&gt;0,IF(ISBLANK(O84),5*MAX(N84-1,0),IF(ISNUMBER(O84),O84*MAX(N84-1,0),SUM(IFERROR(VALUE(TEXTSPLIT(O84,",")),0)))),0)</f>
        <v/>
      </c>
      <c r="S84">
        <f>IFERROR(L84*MAX(N84,1)/R84*IF(ISBLANK(K83),1,K83),0)</f>
        <v/>
      </c>
      <c r="AB84" s="7" t="inlineStr">
        <is>
          <t>^Warhead_Bullet_Medium</t>
        </is>
      </c>
    </row>
    <row r="85">
      <c r="B85" s="7" t="inlineStr">
        <is>
          <t xml:space="preserve">  ↳ Napalm</t>
        </is>
      </c>
      <c r="C85" s="7" t="inlineStr">
        <is>
          <t>Armament@BOMBS</t>
        </is>
      </c>
      <c r="L85" s="6" t="n">
        <v>12000</v>
      </c>
      <c r="M85" s="6" t="n">
        <v>2</v>
      </c>
      <c r="N85" s="6" t="n">
        <v>1</v>
      </c>
      <c r="O85" s="6" t="n"/>
      <c r="P85" s="6" t="n">
        <v>2000</v>
      </c>
      <c r="Q85" s="6" t="n">
        <v>1.25</v>
      </c>
      <c r="R85">
        <f>M85+IF(MAX(N85-1,0)&gt;0,IF(ISBLANK(O85),5*MAX(N85-1,0),IF(ISNUMBER(O85),O85*MAX(N85-1,0),SUM(IFERROR(VALUE(TEXTSPLIT(O85,",")),0)))),0)</f>
        <v/>
      </c>
      <c r="S85">
        <f>IFERROR(L85*MAX(N85,1)/R85*IF(ISBLANK(K83),1,K83),0)</f>
        <v/>
      </c>
      <c r="AB85" s="7" t="inlineStr">
        <is>
          <t>^Warhead_Demolition_Heavy, ^Warhead_Flame_Heavy</t>
        </is>
      </c>
    </row>
    <row r="86">
      <c r="A86" t="inlineStr">
        <is>
          <t>tiberiandawn</t>
        </is>
      </c>
      <c r="B86" t="inlineStr">
        <is>
          <t>A10Carrier</t>
        </is>
      </c>
      <c r="C86" t="inlineStr">
        <is>
          <t>A10 Bomber</t>
        </is>
      </c>
      <c r="D86" s="6" t="inlineStr">
        <is>
          <t>Bomber</t>
        </is>
      </c>
      <c r="E86" s="6" t="n">
        <v>10000</v>
      </c>
      <c r="F86" s="6" t="n">
        <v>200</v>
      </c>
      <c r="G86" t="inlineStr">
        <is>
          <t>Bomber</t>
        </is>
      </c>
      <c r="H86" s="6" t="n">
        <v>1</v>
      </c>
      <c r="I86" s="6" t="n">
        <v>1</v>
      </c>
      <c r="J86" s="6" t="n">
        <v>1</v>
      </c>
      <c r="P86">
        <f>MAX(P87,P88,P89)</f>
        <v/>
      </c>
      <c r="S86">
        <f>S87+S88+S89</f>
        <v/>
      </c>
      <c r="T86">
        <f>(E86/100000+F86/100+(P86/1000)*J86/5+S86/200)*200*I86*H86</f>
        <v/>
      </c>
      <c r="U86">
        <f>((E86*F86/25000)+((P86/1000)*J86*S86/2.5))*I86*H86</f>
        <v/>
      </c>
      <c r="V86">
        <f>(E86*F86*(P86/1000)*J86*S86*I86*H86)/12500000</f>
        <v/>
      </c>
      <c r="W86">
        <f>(T86+U86+V86)/3</f>
        <v/>
      </c>
      <c r="X86" s="6" t="n">
        <v>270</v>
      </c>
      <c r="Y86">
        <f>IFERROR(W86-X86,"")</f>
        <v/>
      </c>
      <c r="Z86">
        <f>IFERROR(ABS(Y86)/MAX(X86,1),"")</f>
        <v/>
      </c>
      <c r="AA86">
        <f>IFERROR((X86-(((E86/100000+F86/100+S86/200)*200*I86*H86)+((E86*F86/25000)*I86*H86))/3)/(((J86/5)*200*I86*H86)+((J86*S86/2.5)*I86*H86)+((E86*F86*J86*S86*I86*H86)/12500000))/3*1000,"")</f>
        <v/>
      </c>
    </row>
    <row r="87">
      <c r="B87" s="7" t="inlineStr">
        <is>
          <t xml:space="preserve">  ↳ VulcanA10Carrier</t>
        </is>
      </c>
      <c r="C87" s="7" t="inlineStr">
        <is>
          <t>Armament@GUNS</t>
        </is>
      </c>
      <c r="L87" s="6" t="n">
        <v>6000</v>
      </c>
      <c r="M87" s="6" t="n">
        <v>125</v>
      </c>
      <c r="N87" s="6" t="n">
        <v>10</v>
      </c>
      <c r="O87" s="6" t="n">
        <v>2</v>
      </c>
      <c r="P87" s="6" t="n">
        <v>5000</v>
      </c>
      <c r="Q87" s="6" t="n">
        <v>1</v>
      </c>
      <c r="R87">
        <f>M87+IF(MAX(N87-1,0)&gt;0,IF(ISBLANK(O87),5*MAX(N87-1,0),IF(ISNUMBER(O87),O87*MAX(N87-1,0),SUM(IFERROR(VALUE(TEXTSPLIT(O87,",")),0)))),0)</f>
        <v/>
      </c>
      <c r="S87">
        <f>IFERROR(L87*MAX(N87,1)/R87*IF(ISBLANK(K86),1,K86),0)</f>
        <v/>
      </c>
      <c r="AB87" s="7" t="inlineStr">
        <is>
          <t>^Warhead_Bullet_Medium</t>
        </is>
      </c>
    </row>
    <row r="88">
      <c r="B88" s="7" t="inlineStr">
        <is>
          <t xml:space="preserve">  ↳ NapalmA10Carrier</t>
        </is>
      </c>
      <c r="C88" s="7" t="inlineStr">
        <is>
          <t>Armament@BOMBS</t>
        </is>
      </c>
      <c r="L88" s="6" t="n">
        <v>8000</v>
      </c>
      <c r="M88" s="6" t="n">
        <v>2</v>
      </c>
      <c r="N88" s="6" t="n">
        <v>1</v>
      </c>
      <c r="O88" s="6" t="n"/>
      <c r="P88" s="6" t="n">
        <v>1000</v>
      </c>
      <c r="Q88" s="6" t="n">
        <v>1.25</v>
      </c>
      <c r="R88">
        <f>M88+IF(MAX(N88-1,0)&gt;0,IF(ISBLANK(O88),5*MAX(N88-1,0),IF(ISNUMBER(O88),O88*MAX(N88-1,0),SUM(IFERROR(VALUE(TEXTSPLIT(O88,",")),0)))),0)</f>
        <v/>
      </c>
      <c r="S88">
        <f>IFERROR(L88*MAX(N88,1)/R88*IF(ISBLANK(K86),1,K86),0)</f>
        <v/>
      </c>
      <c r="AB88" s="7" t="inlineStr">
        <is>
          <t>^Warhead_Demolition_Heavy, ^Warhead_Flame_Heavy</t>
        </is>
      </c>
    </row>
    <row r="89">
      <c r="B89" s="7" t="inlineStr">
        <is>
          <t xml:space="preserve">  ↳ A10CarrierMissiles_AA</t>
        </is>
      </c>
      <c r="C89" s="7" t="inlineStr">
        <is>
          <t>Armament@AA</t>
        </is>
      </c>
      <c r="L89" s="6" t="n">
        <v>12000</v>
      </c>
      <c r="M89" s="6" t="n">
        <v>100</v>
      </c>
      <c r="N89" s="6" t="n">
        <v>2</v>
      </c>
      <c r="O89" s="6" t="n">
        <v>2</v>
      </c>
      <c r="P89" s="6" t="n">
        <v>5000</v>
      </c>
      <c r="Q89" s="6" t="n">
        <v>1.25</v>
      </c>
      <c r="R89">
        <f>M89+IF(MAX(N89-1,0)&gt;0,IF(ISBLANK(O89),5*MAX(N89-1,0),IF(ISNUMBER(O89),O89*MAX(N89-1,0),SUM(IFERROR(VALUE(TEXTSPLIT(O89,",")),0)))),0)</f>
        <v/>
      </c>
      <c r="S89">
        <f>IFERROR(L89*MAX(N89,1)/R89*IF(ISBLANK(K86),1,K86),0)</f>
        <v/>
      </c>
      <c r="AB89" s="7" t="inlineStr">
        <is>
          <t>^Warhead_MissileAP_Heavy</t>
        </is>
      </c>
    </row>
    <row r="90">
      <c r="A90" t="inlineStr">
        <is>
          <t>tiberiandawn</t>
        </is>
      </c>
      <c r="B90" t="inlineStr">
        <is>
          <t>td_gdi_firehawk</t>
        </is>
      </c>
      <c r="C90" t="inlineStr">
        <is>
          <t>Firehawk</t>
        </is>
      </c>
      <c r="D90" s="6" t="inlineStr">
        <is>
          <t>Bomber</t>
        </is>
      </c>
      <c r="E90" s="6" t="n">
        <v>180000</v>
      </c>
      <c r="F90" s="6" t="n">
        <v>180</v>
      </c>
      <c r="G90" t="inlineStr">
        <is>
          <t>Bomber</t>
        </is>
      </c>
      <c r="H90" s="6" t="n">
        <v>0.75</v>
      </c>
      <c r="I90" s="6" t="n">
        <v>1</v>
      </c>
      <c r="J90" s="6" t="n">
        <v>1</v>
      </c>
      <c r="K90" t="n">
        <v>0.012</v>
      </c>
      <c r="P90">
        <f>MAX(P91,P92,P93)</f>
        <v/>
      </c>
      <c r="S90">
        <f>S91+S92+S93</f>
        <v/>
      </c>
      <c r="T90">
        <f>(E90/100000+F90/100+(P90/1000)*J90/5+S90/200)*200*I90*H90</f>
        <v/>
      </c>
      <c r="U90">
        <f>((E90*F90/25000)+((P90/1000)*J90*S90/2.5))*I90*H90</f>
        <v/>
      </c>
      <c r="V90">
        <f>(E90*F90*(P90/1000)*J90*S90*I90*H90)/12500000</f>
        <v/>
      </c>
      <c r="W90">
        <f>(T90+U90+V90)/3</f>
        <v/>
      </c>
      <c r="X90" s="6" t="n">
        <v>2000</v>
      </c>
      <c r="Y90">
        <f>IFERROR(W90-X90,"")</f>
        <v/>
      </c>
      <c r="Z90">
        <f>IFERROR(ABS(Y90)/MAX(X90,1),"")</f>
        <v/>
      </c>
      <c r="AA90">
        <f>IFERROR((X90-(((E90/100000+F90/100+S90/200)*200*I90*H90)+((E90*F90/25000)*I90*H90))/3)/(((J90/5)*200*I90*H90)+((J90*S90/2.5)*I90*H90)+((E90*F90*J90*S90*I90*H90)/12500000))/3*1000,"")</f>
        <v/>
      </c>
    </row>
    <row r="91">
      <c r="B91" s="7" t="inlineStr">
        <is>
          <t xml:space="preserve">  ↳ FirehawkMissiles_AA</t>
        </is>
      </c>
      <c r="C91" s="7" t="inlineStr">
        <is>
          <t>Armament</t>
        </is>
      </c>
      <c r="L91" s="6" t="n">
        <v>20000</v>
      </c>
      <c r="M91" s="6" t="n">
        <v>50</v>
      </c>
      <c r="N91" s="6" t="n">
        <v>2</v>
      </c>
      <c r="O91" s="6" t="n">
        <v>5</v>
      </c>
      <c r="P91" s="6" t="n">
        <v>12500</v>
      </c>
      <c r="Q91" s="6" t="n">
        <v>1.25</v>
      </c>
      <c r="R91">
        <f>M91+IF(MAX(N91-1,0)&gt;0,IF(ISBLANK(O91),5*MAX(N91-1,0),IF(ISNUMBER(O91),O91*MAX(N91-1,0),SUM(IFERROR(VALUE(TEXTSPLIT(O91,",")),0)))),0)</f>
        <v/>
      </c>
      <c r="S91">
        <f>IFERROR(L91*MAX(N91,1)/R91*IF(ISBLANK(K90),1,K90),0)</f>
        <v/>
      </c>
      <c r="AB91" s="7" t="inlineStr">
        <is>
          <t>^Warhead_MissileAP_Heavy</t>
        </is>
      </c>
    </row>
    <row r="92">
      <c r="B92" s="7" t="inlineStr">
        <is>
          <t xml:space="preserve">  ↳ FirehawkMissiles_AA</t>
        </is>
      </c>
      <c r="C92" s="7" t="inlineStr">
        <is>
          <t>Armament@td_gdi_upgrade_advancedmissiletargeting</t>
        </is>
      </c>
      <c r="L92" s="6" t="n">
        <v>20000</v>
      </c>
      <c r="M92" s="6" t="n">
        <v>50</v>
      </c>
      <c r="N92" s="6" t="n">
        <v>2</v>
      </c>
      <c r="O92" s="6" t="n">
        <v>5</v>
      </c>
      <c r="P92" s="6" t="n">
        <v>12500</v>
      </c>
      <c r="Q92" s="6" t="n">
        <v>1.25</v>
      </c>
      <c r="R92">
        <f>M92+IF(MAX(N92-1,0)&gt;0,IF(ISBLANK(O92),5*MAX(N92-1,0),IF(ISNUMBER(O92),O92*MAX(N92-1,0),SUM(IFERROR(VALUE(TEXTSPLIT(O92,",")),0)))),0)</f>
        <v/>
      </c>
      <c r="S92">
        <f>IFERROR(L92*MAX(N92,1)/R92*IF(ISBLANK(K90),1,K90),0)</f>
        <v/>
      </c>
      <c r="AB92" s="7" t="inlineStr">
        <is>
          <t>^Warhead_MissileAP_Heavy</t>
        </is>
      </c>
    </row>
    <row r="93">
      <c r="B93" s="7" t="inlineStr">
        <is>
          <t xml:space="preserve">  ↳ FirehawkBomb</t>
        </is>
      </c>
      <c r="C93" s="7" t="inlineStr">
        <is>
          <t>Armament@BOMBS</t>
        </is>
      </c>
      <c r="L93" s="6" t="n">
        <v>40000</v>
      </c>
      <c r="M93" s="6" t="n">
        <v>50</v>
      </c>
      <c r="N93" s="6" t="n">
        <v>2</v>
      </c>
      <c r="O93" s="6" t="n">
        <v>2</v>
      </c>
      <c r="P93" s="6" t="n">
        <v>1250</v>
      </c>
      <c r="Q93" s="6" t="n">
        <v>1</v>
      </c>
      <c r="R93">
        <f>M93+IF(MAX(N93-1,0)&gt;0,IF(ISBLANK(O93),5*MAX(N93-1,0),IF(ISNUMBER(O93),O93*MAX(N93-1,0),SUM(IFERROR(VALUE(TEXTSPLIT(O93,",")),0)))),0)</f>
        <v/>
      </c>
      <c r="S93">
        <f>IFERROR(L93*MAX(N93,1)/R93*IF(ISBLANK(K90),1,K90),0)</f>
        <v/>
      </c>
      <c r="AB93" s="7" t="inlineStr">
        <is>
          <t>^HeavyBomb, ^NuclearWarhead, ^ShrapnelWeapon, ^MediumFlameWeapon</t>
        </is>
      </c>
    </row>
    <row r="94">
      <c r="A94" t="inlineStr">
        <is>
          <t>shared</t>
        </is>
      </c>
      <c r="B94" t="inlineStr">
        <is>
          <t>japan_zerofighter_slave</t>
        </is>
      </c>
      <c r="C94" t="inlineStr">
        <is>
          <t>Zero Fighter</t>
        </is>
      </c>
      <c r="D94" s="6" t="inlineStr">
        <is>
          <t>Bomber</t>
        </is>
      </c>
      <c r="E94" s="6" t="n">
        <v>7500</v>
      </c>
      <c r="F94" s="6" t="n">
        <v>175</v>
      </c>
      <c r="G94" t="inlineStr">
        <is>
          <t>Bomber</t>
        </is>
      </c>
      <c r="H94" s="6" t="n">
        <v>1</v>
      </c>
      <c r="I94" s="6" t="n">
        <v>1</v>
      </c>
      <c r="J94" s="6" t="n">
        <v>1</v>
      </c>
      <c r="K94" t="n">
        <v>0.005</v>
      </c>
      <c r="P94">
        <f>MAX(P95,P96,P97,P98,P99)</f>
        <v/>
      </c>
      <c r="S94">
        <f>S95+S96+S97+S98+S99</f>
        <v/>
      </c>
      <c r="T94">
        <f>(E94/100000+F94/100+(P94/1000)*J94/5+S94/200)*200*I94*H94</f>
        <v/>
      </c>
      <c r="U94">
        <f>((E94*F94/25000)+((P94/1000)*J94*S94/2.5))*I94*H94</f>
        <v/>
      </c>
      <c r="V94">
        <f>(E94*F94*(P94/1000)*J94*S94*I94*H94)/12500000</f>
        <v/>
      </c>
      <c r="W94">
        <f>(T94+U94+V94)/3</f>
        <v/>
      </c>
      <c r="X94" s="6" t="n">
        <v>150</v>
      </c>
      <c r="Y94">
        <f>IFERROR(W94-X94,"")</f>
        <v/>
      </c>
      <c r="Z94">
        <f>IFERROR(ABS(Y94)/MAX(X94,1),"")</f>
        <v/>
      </c>
      <c r="AA94">
        <f>IFERROR((X94-(((E94/100000+F94/100+S94/200)*200*I94*H94)+((E94*F94/25000)*I94*H94))/3)/(((J94/5)*200*I94*H94)+((J94*S94/2.5)*I94*H94)+((E94*F94*J94*S94*I94*H94)/12500000))/3*1000,"")</f>
        <v/>
      </c>
    </row>
    <row r="95">
      <c r="B95" s="7" t="inlineStr">
        <is>
          <t xml:space="preserve">  ↳ ZeroFighterChainGun</t>
        </is>
      </c>
      <c r="C95" s="7" t="inlineStr">
        <is>
          <t>Armament@PRIMARY</t>
        </is>
      </c>
      <c r="L95" s="6" t="n">
        <v>6000</v>
      </c>
      <c r="M95" s="6" t="n">
        <v>92</v>
      </c>
      <c r="N95" s="6" t="n">
        <v>12</v>
      </c>
      <c r="O95" s="6" t="n">
        <v>4</v>
      </c>
      <c r="P95" s="6" t="n">
        <v>6615</v>
      </c>
      <c r="Q95" s="6" t="n">
        <v>1</v>
      </c>
      <c r="R95">
        <f>M95+IF(MAX(N95-1,0)&gt;0,IF(ISBLANK(O95),5*MAX(N95-1,0),IF(ISNUMBER(O95),O95*MAX(N95-1,0),SUM(IFERROR(VALUE(TEXTSPLIT(O95,",")),0)))),0)</f>
        <v/>
      </c>
      <c r="S95">
        <f>IFERROR(L95*MAX(N95,1)/R95*IF(ISBLANK(K94),1,K94),0)</f>
        <v/>
      </c>
      <c r="AB95" s="7" t="inlineStr">
        <is>
          <t>^Warhead_Bullet_Medium</t>
        </is>
      </c>
    </row>
    <row r="96">
      <c r="B96" s="7" t="inlineStr">
        <is>
          <t xml:space="preserve">  ↳ ZeroFighterChainGun</t>
        </is>
      </c>
      <c r="C96" s="7" t="inlineStr">
        <is>
          <t>Armament@SECONDARY</t>
        </is>
      </c>
      <c r="L96" s="6" t="n">
        <v>6000</v>
      </c>
      <c r="M96" s="6" t="n">
        <v>92</v>
      </c>
      <c r="N96" s="6" t="n">
        <v>12</v>
      </c>
      <c r="O96" s="6" t="n">
        <v>4</v>
      </c>
      <c r="P96" s="6" t="n">
        <v>6615</v>
      </c>
      <c r="Q96" s="6" t="n">
        <v>1</v>
      </c>
      <c r="R96">
        <f>M96+IF(MAX(N96-1,0)&gt;0,IF(ISBLANK(O96),5*MAX(N96-1,0),IF(ISNUMBER(O96),O96*MAX(N96-1,0),SUM(IFERROR(VALUE(TEXTSPLIT(O96,",")),0)))),0)</f>
        <v/>
      </c>
      <c r="S96">
        <f>IFERROR(L96*MAX(N96,1)/R96*IF(ISBLANK(K94),1,K94),0)</f>
        <v/>
      </c>
      <c r="AB96" s="7" t="inlineStr">
        <is>
          <t>^Warhead_Bullet_Medium</t>
        </is>
      </c>
    </row>
    <row r="97">
      <c r="B97" s="7" t="inlineStr">
        <is>
          <t xml:space="preserve">  ↳ ZeroFighterChainGunWaveforce</t>
        </is>
      </c>
      <c r="C97" s="7" t="inlineStr">
        <is>
          <t>Armament@Upgrade</t>
        </is>
      </c>
      <c r="L97" s="6" t="n">
        <v>11000</v>
      </c>
      <c r="M97" s="6" t="n">
        <v>92</v>
      </c>
      <c r="N97" s="6" t="n">
        <v>12</v>
      </c>
      <c r="O97" s="6" t="n">
        <v>4</v>
      </c>
      <c r="P97" s="6" t="n">
        <v>6615</v>
      </c>
      <c r="Q97" s="6" t="n">
        <v>1.125</v>
      </c>
      <c r="R97">
        <f>M97+IF(MAX(N97-1,0)&gt;0,IF(ISBLANK(O97),5*MAX(N97-1,0),IF(ISNUMBER(O97),O97*MAX(N97-1,0),SUM(IFERROR(VALUE(TEXTSPLIT(O97,",")),0)))),0)</f>
        <v/>
      </c>
      <c r="S97">
        <f>IFERROR(L97*MAX(N97,1)/R97*IF(ISBLANK(K94),1,K94),0)</f>
        <v/>
      </c>
      <c r="AB97" s="7" t="inlineStr">
        <is>
          <t>^Warhead_Railgun_Heavy, ^Warhead_Bullet_Medium</t>
        </is>
      </c>
    </row>
    <row r="98">
      <c r="B98" s="7" t="inlineStr">
        <is>
          <t xml:space="preserve">  ↳ ZeroFighterChainGunWaveforce</t>
        </is>
      </c>
      <c r="C98" s="7" t="inlineStr">
        <is>
          <t>Armament@UpgradeSECONDARY</t>
        </is>
      </c>
      <c r="L98" s="6" t="n">
        <v>11000</v>
      </c>
      <c r="M98" s="6" t="n">
        <v>92</v>
      </c>
      <c r="N98" s="6" t="n">
        <v>12</v>
      </c>
      <c r="O98" s="6" t="n">
        <v>4</v>
      </c>
      <c r="P98" s="6" t="n">
        <v>6615</v>
      </c>
      <c r="Q98" s="6" t="n">
        <v>1.125</v>
      </c>
      <c r="R98">
        <f>M98+IF(MAX(N98-1,0)&gt;0,IF(ISBLANK(O98),5*MAX(N98-1,0),IF(ISNUMBER(O98),O98*MAX(N98-1,0),SUM(IFERROR(VALUE(TEXTSPLIT(O98,",")),0)))),0)</f>
        <v/>
      </c>
      <c r="S98">
        <f>IFERROR(L98*MAX(N98,1)/R98*IF(ISBLANK(K94),1,K94),0)</f>
        <v/>
      </c>
      <c r="AB98" s="7" t="inlineStr">
        <is>
          <t>^Warhead_Railgun_Heavy, ^Warhead_Bullet_Medium</t>
        </is>
      </c>
    </row>
    <row r="99">
      <c r="B99" s="7" t="inlineStr">
        <is>
          <t xml:space="preserve">  ↳ JapanCarrierFighterBomb</t>
        </is>
      </c>
      <c r="C99" s="7" t="inlineStr">
        <is>
          <t>Armament</t>
        </is>
      </c>
      <c r="L99" s="6" t="n">
        <v>10000</v>
      </c>
      <c r="M99" s="6" t="n">
        <v>5</v>
      </c>
      <c r="N99" s="6" t="n">
        <v>1</v>
      </c>
      <c r="O99" s="6" t="n"/>
      <c r="P99" s="6" t="n">
        <v>3000</v>
      </c>
      <c r="Q99" s="6" t="n">
        <v>1.25</v>
      </c>
      <c r="R99">
        <f>M99+IF(MAX(N99-1,0)&gt;0,IF(ISBLANK(O99),5*MAX(N99-1,0),IF(ISNUMBER(O99),O99*MAX(N99-1,0),SUM(IFERROR(VALUE(TEXTSPLIT(O99,",")),0)))),0)</f>
        <v/>
      </c>
      <c r="S99">
        <f>IFERROR(L99*MAX(N99,1)/R99*IF(ISBLANK(K94),1,K94),0)</f>
        <v/>
      </c>
      <c r="AB99" s="7" t="inlineStr">
        <is>
          <t>^Warhead_Demolition_Heavy</t>
        </is>
      </c>
    </row>
    <row r="100">
      <c r="A100" t="inlineStr">
        <is>
          <t>redalert</t>
        </is>
      </c>
      <c r="B100" t="inlineStr">
        <is>
          <t>japan_japanesebomber</t>
        </is>
      </c>
      <c r="C100" t="inlineStr">
        <is>
          <t>Japanese Bomber</t>
        </is>
      </c>
      <c r="D100" s="6" t="inlineStr">
        <is>
          <t>Bomber</t>
        </is>
      </c>
      <c r="E100" s="6" t="n">
        <v>122500</v>
      </c>
      <c r="F100" s="6" t="n">
        <v>165</v>
      </c>
      <c r="G100" t="inlineStr">
        <is>
          <t>Bomber</t>
        </is>
      </c>
      <c r="H100" s="6" t="n">
        <v>0.75</v>
      </c>
      <c r="I100" s="6" t="n">
        <v>1</v>
      </c>
      <c r="J100" s="6" t="n">
        <v>1</v>
      </c>
      <c r="P100">
        <f>MAX(P101,P102,P103,P104)</f>
        <v/>
      </c>
      <c r="S100">
        <f>S101+S102+S103+S104</f>
        <v/>
      </c>
      <c r="T100">
        <f>(E100/100000+F100/100+(P100/1000)*J100/5+S100/200)*200*I100*H100</f>
        <v/>
      </c>
      <c r="U100">
        <f>((E100*F100/25000)+((P100/1000)*J100*S100/2.5))*I100*H100</f>
        <v/>
      </c>
      <c r="V100">
        <f>(E100*F100*(P100/1000)*J100*S100*I100*H100)/12500000</f>
        <v/>
      </c>
      <c r="W100">
        <f>(T100+U100+V100)/3</f>
        <v/>
      </c>
      <c r="X100" s="6" t="n">
        <v>1500</v>
      </c>
      <c r="Y100">
        <f>IFERROR(W100-X100,"")</f>
        <v/>
      </c>
      <c r="Z100">
        <f>IFERROR(ABS(Y100)/MAX(X100,1),"")</f>
        <v/>
      </c>
      <c r="AA100">
        <f>IFERROR((X100-(((E100/100000+F100/100+S100/200)*200*I100*H100)+((E100*F100/25000)*I100*H100))/3)/(((J100/5)*200*I100*H100)+((J100*S100/2.5)*I100*H100)+((E100*F100*J100*S100*I100*H100)/12500000))/3*1000,"")</f>
        <v/>
      </c>
    </row>
    <row r="101">
      <c r="B101" s="7" t="inlineStr">
        <is>
          <t xml:space="preserve">  ↳ ZeroFighterChainGun</t>
        </is>
      </c>
      <c r="C101" s="7" t="inlineStr">
        <is>
          <t>Armament@Guns</t>
        </is>
      </c>
      <c r="L101" s="6" t="n">
        <v>6000</v>
      </c>
      <c r="M101" s="6" t="n">
        <v>92</v>
      </c>
      <c r="N101" s="6" t="n">
        <v>12</v>
      </c>
      <c r="O101" s="6" t="n">
        <v>4</v>
      </c>
      <c r="P101" s="6" t="n">
        <v>6615</v>
      </c>
      <c r="Q101" s="6" t="n">
        <v>1</v>
      </c>
      <c r="R101">
        <f>M101+IF(MAX(N101-1,0)&gt;0,IF(ISBLANK(O101),5*MAX(N101-1,0),IF(ISNUMBER(O101),O101*MAX(N101-1,0),SUM(IFERROR(VALUE(TEXTSPLIT(O101,",")),0)))),0)</f>
        <v/>
      </c>
      <c r="S101">
        <f>IFERROR(L101*MAX(N101,1)/R101*IF(ISBLANK(K100),1,K100),0)</f>
        <v/>
      </c>
      <c r="AB101" s="7" t="inlineStr">
        <is>
          <t>^Warhead_Bullet_Medium</t>
        </is>
      </c>
    </row>
    <row r="102">
      <c r="B102" s="7" t="inlineStr">
        <is>
          <t xml:space="preserve">  ↳ ZeroFighterChainGunWaveforce</t>
        </is>
      </c>
      <c r="C102" s="7" t="inlineStr">
        <is>
          <t>Armament@UpgradeGuns</t>
        </is>
      </c>
      <c r="L102" s="6" t="n">
        <v>11000</v>
      </c>
      <c r="M102" s="6" t="n">
        <v>92</v>
      </c>
      <c r="N102" s="6" t="n">
        <v>12</v>
      </c>
      <c r="O102" s="6" t="n">
        <v>4</v>
      </c>
      <c r="P102" s="6" t="n">
        <v>6615</v>
      </c>
      <c r="Q102" s="6" t="n">
        <v>1.125</v>
      </c>
      <c r="R102">
        <f>M102+IF(MAX(N102-1,0)&gt;0,IF(ISBLANK(O102),5*MAX(N102-1,0),IF(ISNUMBER(O102),O102*MAX(N102-1,0),SUM(IFERROR(VALUE(TEXTSPLIT(O102,",")),0)))),0)</f>
        <v/>
      </c>
      <c r="S102">
        <f>IFERROR(L102*MAX(N102,1)/R102*IF(ISBLANK(K100),1,K100),0)</f>
        <v/>
      </c>
      <c r="AB102" s="7" t="inlineStr">
        <is>
          <t>^Warhead_Railgun_Heavy, ^Warhead_Bullet_Medium</t>
        </is>
      </c>
    </row>
    <row r="103">
      <c r="B103" s="7" t="inlineStr">
        <is>
          <t xml:space="preserve">  ↳ JapaneseHeavyBomb</t>
        </is>
      </c>
      <c r="C103" s="7" t="inlineStr">
        <is>
          <t>Armament@Bombs</t>
        </is>
      </c>
      <c r="L103" s="6" t="n">
        <v>20000</v>
      </c>
      <c r="M103" s="6" t="n">
        <v>100</v>
      </c>
      <c r="N103" s="6" t="n">
        <v>4</v>
      </c>
      <c r="O103" s="6" t="n">
        <v>3</v>
      </c>
      <c r="P103" s="6" t="n">
        <v>6000</v>
      </c>
      <c r="Q103" s="6" t="n">
        <v>1.25</v>
      </c>
      <c r="R103">
        <f>M103+IF(MAX(N103-1,0)&gt;0,IF(ISBLANK(O103),5*MAX(N103-1,0),IF(ISNUMBER(O103),O103*MAX(N103-1,0),SUM(IFERROR(VALUE(TEXTSPLIT(O103,",")),0)))),0)</f>
        <v/>
      </c>
      <c r="S103">
        <f>IFERROR(L103*MAX(N103,1)/R103*IF(ISBLANK(K100),1,K100),0)</f>
        <v/>
      </c>
      <c r="AB103" s="7" t="inlineStr">
        <is>
          <t>^Warhead_Demolition_Heavy</t>
        </is>
      </c>
    </row>
    <row r="104">
      <c r="B104" s="7" t="inlineStr">
        <is>
          <t xml:space="preserve">  ↳ JapanesePlasmaBomb</t>
        </is>
      </c>
      <c r="C104" s="7" t="inlineStr">
        <is>
          <t>Armament@UpgradeBombs</t>
        </is>
      </c>
      <c r="L104" s="6" t="n">
        <v>30000</v>
      </c>
      <c r="M104" s="6" t="n">
        <v>100</v>
      </c>
      <c r="N104" s="6" t="n">
        <v>4</v>
      </c>
      <c r="O104" s="6" t="n">
        <v>5</v>
      </c>
      <c r="P104" s="6" t="n">
        <v>6000</v>
      </c>
      <c r="Q104" s="6" t="n">
        <v>1</v>
      </c>
      <c r="R104">
        <f>M104+IF(MAX(N104-1,0)&gt;0,IF(ISBLANK(O104),5*MAX(N104-1,0),IF(ISNUMBER(O104),O104*MAX(N104-1,0),SUM(IFERROR(VALUE(TEXTSPLIT(O104,",")),0)))),0)</f>
        <v/>
      </c>
      <c r="S104">
        <f>IFERROR(L104*MAX(N104,1)/R104*IF(ISBLANK(K100),1,K100),0)</f>
        <v/>
      </c>
      <c r="AB104" s="7" t="inlineStr">
        <is>
          <t>^Warhead_Chemical_Heavy, ^Warhead_Flame_Heavy, ^Warhead_Demolition_Heavy</t>
        </is>
      </c>
    </row>
    <row r="105">
      <c r="A105" t="inlineStr">
        <is>
          <t>redalert</t>
        </is>
      </c>
      <c r="B105" t="inlineStr">
        <is>
          <t>ra1_soviets_migattackbomber</t>
        </is>
      </c>
      <c r="C105" t="inlineStr">
        <is>
          <t>Mig Attack Bomber</t>
        </is>
      </c>
      <c r="D105" s="6" t="inlineStr">
        <is>
          <t>Bomber</t>
        </is>
      </c>
      <c r="E105" s="6" t="n">
        <v>40000</v>
      </c>
      <c r="F105" s="6" t="n">
        <v>200</v>
      </c>
      <c r="G105" t="inlineStr">
        <is>
          <t>Bomber</t>
        </is>
      </c>
      <c r="H105" s="6" t="n">
        <v>0.5077</v>
      </c>
      <c r="I105" s="6" t="n">
        <v>1</v>
      </c>
      <c r="J105" s="6" t="n">
        <v>1</v>
      </c>
      <c r="P105">
        <f>MAX(P106,P107,P108,P109,P110,P111)</f>
        <v/>
      </c>
      <c r="S105">
        <f>S106+S107+S108+S109+S110+S111</f>
        <v/>
      </c>
      <c r="T105">
        <f>(E105/100000+F105/100+(P105/1000)*J105/5+S105/200)*200*I105*H105</f>
        <v/>
      </c>
      <c r="U105">
        <f>((E105*F105/25000)+((P105/1000)*J105*S105/2.5))*I105*H105</f>
        <v/>
      </c>
      <c r="V105">
        <f>(E105*F105*(P105/1000)*J105*S105*I105*H105)/12500000</f>
        <v/>
      </c>
      <c r="W105">
        <f>(T105+U105+V105)/3</f>
        <v/>
      </c>
      <c r="X105" s="6" t="n">
        <v>1400</v>
      </c>
      <c r="Y105">
        <f>IFERROR(W105-X105,"")</f>
        <v/>
      </c>
      <c r="Z105">
        <f>IFERROR(ABS(Y105)/MAX(X105,1),"")</f>
        <v/>
      </c>
      <c r="AA105">
        <f>IFERROR((X105-(((E105/100000+F105/100+S105/200)*200*I105*H105)+((E105*F105/25000)*I105*H105))/3)/(((J105/5)*200*I105*H105)+((J105*S105/2.5)*I105*H105)+((E105*F105*J105*S105*I105*H105)/12500000))/3*1000,"")</f>
        <v/>
      </c>
    </row>
    <row r="106">
      <c r="B106" s="7" t="inlineStr">
        <is>
          <t xml:space="preserve">  ↳ Maverick</t>
        </is>
      </c>
      <c r="C106" s="7" t="inlineStr">
        <is>
          <t>Armament@Rockets1</t>
        </is>
      </c>
      <c r="L106" s="6" t="n">
        <v>40000</v>
      </c>
      <c r="M106" s="6" t="n">
        <v>50</v>
      </c>
      <c r="N106" s="6" t="n">
        <v>2</v>
      </c>
      <c r="O106" s="6" t="n">
        <v>4</v>
      </c>
      <c r="P106" s="6" t="n">
        <v>5900</v>
      </c>
      <c r="Q106" s="6" t="n">
        <v>1</v>
      </c>
      <c r="R106">
        <f>M106+IF(MAX(N106-1,0)&gt;0,IF(ISBLANK(O106),5*MAX(N106-1,0),IF(ISNUMBER(O106),O106*MAX(N106-1,0),SUM(IFERROR(VALUE(TEXTSPLIT(O106,",")),0)))),0)</f>
        <v/>
      </c>
      <c r="S106">
        <f>IFERROR(L106*MAX(N106,1)/R106*IF(ISBLANK(K105),1,K105),0)</f>
        <v/>
      </c>
      <c r="AB106" s="7" t="inlineStr">
        <is>
          <t>^Warhead_MissileAP_Medium</t>
        </is>
      </c>
    </row>
    <row r="107">
      <c r="B107" s="7" t="inlineStr">
        <is>
          <t xml:space="preserve">  ↳ Maverick</t>
        </is>
      </c>
      <c r="C107" s="7" t="inlineStr">
        <is>
          <t>Armament@Rockets2</t>
        </is>
      </c>
      <c r="L107" s="6" t="n">
        <v>40000</v>
      </c>
      <c r="M107" s="6" t="n">
        <v>50</v>
      </c>
      <c r="N107" s="6" t="n">
        <v>2</v>
      </c>
      <c r="O107" s="6" t="n">
        <v>4</v>
      </c>
      <c r="P107" s="6" t="n">
        <v>5900</v>
      </c>
      <c r="Q107" s="6" t="n">
        <v>1</v>
      </c>
      <c r="R107">
        <f>M107+IF(MAX(N107-1,0)&gt;0,IF(ISBLANK(O107),5*MAX(N107-1,0),IF(ISNUMBER(O107),O107*MAX(N107-1,0),SUM(IFERROR(VALUE(TEXTSPLIT(O107,",")),0)))),0)</f>
        <v/>
      </c>
      <c r="S107">
        <f>IFERROR(L107*MAX(N107,1)/R107*IF(ISBLANK(K105),1,K105),0)</f>
        <v/>
      </c>
      <c r="AB107" s="7" t="inlineStr">
        <is>
          <t>^Warhead_MissileAP_Medium</t>
        </is>
      </c>
    </row>
    <row r="108">
      <c r="B108" s="7" t="inlineStr">
        <is>
          <t xml:space="preserve">  ↳ TeslaMaverick</t>
        </is>
      </c>
      <c r="C108" s="7" t="inlineStr">
        <is>
          <t>Armament@TeslaUpgrade1</t>
        </is>
      </c>
      <c r="L108" s="6" t="n">
        <v>32000</v>
      </c>
      <c r="M108" s="6" t="n">
        <v>50</v>
      </c>
      <c r="N108" s="6" t="n">
        <v>2</v>
      </c>
      <c r="O108" s="6" t="n">
        <v>4</v>
      </c>
      <c r="P108" s="6" t="n">
        <v>5900</v>
      </c>
      <c r="Q108" s="6" t="n">
        <v>1.125</v>
      </c>
      <c r="R108">
        <f>M108+IF(MAX(N108-1,0)&gt;0,IF(ISBLANK(O108),5*MAX(N108-1,0),IF(ISNUMBER(O108),O108*MAX(N108-1,0),SUM(IFERROR(VALUE(TEXTSPLIT(O108,",")),0)))),0)</f>
        <v/>
      </c>
      <c r="S108">
        <f>IFERROR(L108*MAX(N108,1)/R108*IF(ISBLANK(K105),1,K105),0)</f>
        <v/>
      </c>
      <c r="AB108" s="7" t="inlineStr">
        <is>
          <t>^Warhead_Tesla_Heavy, ^Warhead_MissileAP_Medium</t>
        </is>
      </c>
    </row>
    <row r="109">
      <c r="B109" s="7" t="inlineStr">
        <is>
          <t xml:space="preserve">  ↳ TeslaMaverick</t>
        </is>
      </c>
      <c r="C109" s="7" t="inlineStr">
        <is>
          <t>Armament@TeslaUpgrade2</t>
        </is>
      </c>
      <c r="L109" s="6" t="n">
        <v>32000</v>
      </c>
      <c r="M109" s="6" t="n">
        <v>50</v>
      </c>
      <c r="N109" s="6" t="n">
        <v>2</v>
      </c>
      <c r="O109" s="6" t="n">
        <v>4</v>
      </c>
      <c r="P109" s="6" t="n">
        <v>5900</v>
      </c>
      <c r="Q109" s="6" t="n">
        <v>1.125</v>
      </c>
      <c r="R109">
        <f>M109+IF(MAX(N109-1,0)&gt;0,IF(ISBLANK(O109),5*MAX(N109-1,0),IF(ISNUMBER(O109),O109*MAX(N109-1,0),SUM(IFERROR(VALUE(TEXTSPLIT(O109,",")),0)))),0)</f>
        <v/>
      </c>
      <c r="S109">
        <f>IFERROR(L109*MAX(N109,1)/R109*IF(ISBLANK(K105),1,K105),0)</f>
        <v/>
      </c>
      <c r="AB109" s="7" t="inlineStr">
        <is>
          <t>^Warhead_Tesla_Heavy, ^Warhead_MissileAP_Medium</t>
        </is>
      </c>
    </row>
    <row r="110">
      <c r="B110" s="7" t="inlineStr">
        <is>
          <t xml:space="preserve">  ↳ ThermobaricMaverick</t>
        </is>
      </c>
      <c r="C110" s="7" t="inlineStr">
        <is>
          <t>Armament@NuclearUpgrade1</t>
        </is>
      </c>
      <c r="L110" s="6" t="n">
        <v>48000</v>
      </c>
      <c r="M110" s="6" t="n">
        <v>50</v>
      </c>
      <c r="N110" s="6" t="n">
        <v>2</v>
      </c>
      <c r="O110" s="6" t="n">
        <v>4</v>
      </c>
      <c r="P110" s="6" t="n">
        <v>5900</v>
      </c>
      <c r="Q110" s="6" t="n">
        <v>1</v>
      </c>
      <c r="R110">
        <f>M110+IF(MAX(N110-1,0)&gt;0,IF(ISBLANK(O110),5*MAX(N110-1,0),IF(ISNUMBER(O110),O110*MAX(N110-1,0),SUM(IFERROR(VALUE(TEXTSPLIT(O110,",")),0)))),0)</f>
        <v/>
      </c>
      <c r="S110">
        <f>IFERROR(L110*MAX(N110,1)/R110*IF(ISBLANK(K105),1,K105),0)</f>
        <v/>
      </c>
      <c r="AB110" s="7" t="inlineStr">
        <is>
          <t>^Warhead_MissileAP_Medium</t>
        </is>
      </c>
    </row>
    <row r="111">
      <c r="B111" s="7" t="inlineStr">
        <is>
          <t xml:space="preserve">  ↳ ThermobaricMaverick</t>
        </is>
      </c>
      <c r="C111" s="7" t="inlineStr">
        <is>
          <t>Armament@NuclearUpgrade2</t>
        </is>
      </c>
      <c r="L111" s="6" t="n">
        <v>48000</v>
      </c>
      <c r="M111" s="6" t="n">
        <v>50</v>
      </c>
      <c r="N111" s="6" t="n">
        <v>2</v>
      </c>
      <c r="O111" s="6" t="n">
        <v>4</v>
      </c>
      <c r="P111" s="6" t="n">
        <v>5900</v>
      </c>
      <c r="Q111" s="6" t="n">
        <v>1</v>
      </c>
      <c r="R111">
        <f>M111+IF(MAX(N111-1,0)&gt;0,IF(ISBLANK(O111),5*MAX(N111-1,0),IF(ISNUMBER(O111),O111*MAX(N111-1,0),SUM(IFERROR(VALUE(TEXTSPLIT(O111,",")),0)))),0)</f>
        <v/>
      </c>
      <c r="S111">
        <f>IFERROR(L111*MAX(N111,1)/R111*IF(ISBLANK(K105),1,K105),0)</f>
        <v/>
      </c>
      <c r="AB111" s="7" t="inlineStr">
        <is>
          <t>^Warhead_MissileAP_Medium</t>
        </is>
      </c>
    </row>
    <row r="112">
      <c r="A112" t="inlineStr">
        <is>
          <t>redalert</t>
        </is>
      </c>
      <c r="B112" t="inlineStr">
        <is>
          <t>ra1_soviets_su57attackbomber</t>
        </is>
      </c>
      <c r="C112" t="inlineStr">
        <is>
          <t>Su-57 Attack Bomber</t>
        </is>
      </c>
      <c r="D112" s="6" t="inlineStr">
        <is>
          <t>Bomber</t>
        </is>
      </c>
      <c r="E112" s="6" t="n">
        <v>65000</v>
      </c>
      <c r="F112" s="6" t="n">
        <v>220</v>
      </c>
      <c r="G112" t="inlineStr">
        <is>
          <t>Bomber</t>
        </is>
      </c>
      <c r="H112" s="6" t="n">
        <v>0.5077</v>
      </c>
      <c r="I112" s="6" t="n">
        <v>1</v>
      </c>
      <c r="J112" s="6" t="n">
        <v>1</v>
      </c>
      <c r="K112" t="n">
        <v>0.0115</v>
      </c>
      <c r="P112">
        <f>MAX(P113,P114,P115,P116,P117,P118)</f>
        <v/>
      </c>
      <c r="S112">
        <f>S113+S114+S115+S116+S117+S118</f>
        <v/>
      </c>
      <c r="T112">
        <f>(E112/100000+F112/100+(P112/1000)*J112/5+S112/200)*200*I112*H112</f>
        <v/>
      </c>
      <c r="U112">
        <f>((E112*F112/25000)+((P112/1000)*J112*S112/2.5))*I112*H112</f>
        <v/>
      </c>
      <c r="V112">
        <f>(E112*F112*(P112/1000)*J112*S112*I112*H112)/12500000</f>
        <v/>
      </c>
      <c r="W112">
        <f>(T112+U112+V112)/3</f>
        <v/>
      </c>
      <c r="X112" s="6" t="n">
        <v>3000</v>
      </c>
      <c r="Y112">
        <f>IFERROR(W112-X112,"")</f>
        <v/>
      </c>
      <c r="Z112">
        <f>IFERROR(ABS(Y112)/MAX(X112,1),"")</f>
        <v/>
      </c>
      <c r="AA112">
        <f>IFERROR((X112-(((E112/100000+F112/100+S112/200)*200*I112*H112)+((E112*F112/25000)*I112*H112))/3)/(((J112/5)*200*I112*H112)+((J112*S112/2.5)*I112*H112)+((E112*F112*J112*S112*I112*H112)/12500000))/3*1000,"")</f>
        <v/>
      </c>
    </row>
    <row r="113">
      <c r="B113" s="7" t="inlineStr">
        <is>
          <t xml:space="preserve">  ↳ NuclearMaverick</t>
        </is>
      </c>
      <c r="C113" s="7" t="inlineStr">
        <is>
          <t>Armament</t>
        </is>
      </c>
      <c r="L113" s="6" t="n">
        <v>40000</v>
      </c>
      <c r="M113" s="6" t="n">
        <v>50</v>
      </c>
      <c r="N113" s="6" t="n">
        <v>2</v>
      </c>
      <c r="O113" s="6" t="n">
        <v>4</v>
      </c>
      <c r="P113" s="6" t="n">
        <v>7890</v>
      </c>
      <c r="Q113" s="6" t="n">
        <v>1.25</v>
      </c>
      <c r="R113">
        <f>M113+IF(MAX(N113-1,0)&gt;0,IF(ISBLANK(O113),5*MAX(N113-1,0),IF(ISNUMBER(O113),O113*MAX(N113-1,0),SUM(IFERROR(VALUE(TEXTSPLIT(O113,",")),0)))),0)</f>
        <v/>
      </c>
      <c r="S113">
        <f>IFERROR(L113*MAX(N113,1)/R113*IF(ISBLANK(K112),1,K112),0)</f>
        <v/>
      </c>
      <c r="AB113" s="7" t="inlineStr">
        <is>
          <t>^Warhead_MissileHE_Heavy</t>
        </is>
      </c>
    </row>
    <row r="114">
      <c r="B114" s="7" t="inlineStr">
        <is>
          <t xml:space="preserve">  ↳ ThermobaricNuclearMaverick</t>
        </is>
      </c>
      <c r="C114" s="7" t="inlineStr">
        <is>
          <t>Armament@HE</t>
        </is>
      </c>
      <c r="L114" s="6" t="n">
        <v>42000</v>
      </c>
      <c r="M114" s="6" t="n">
        <v>50</v>
      </c>
      <c r="N114" s="6" t="n">
        <v>2</v>
      </c>
      <c r="O114" s="6" t="n">
        <v>4</v>
      </c>
      <c r="P114" s="6" t="n">
        <v>7890</v>
      </c>
      <c r="Q114" s="6" t="n">
        <v>1.25</v>
      </c>
      <c r="R114">
        <f>M114+IF(MAX(N114-1,0)&gt;0,IF(ISBLANK(O114),5*MAX(N114-1,0),IF(ISNUMBER(O114),O114*MAX(N114-1,0),SUM(IFERROR(VALUE(TEXTSPLIT(O114,",")),0)))),0)</f>
        <v/>
      </c>
      <c r="S114">
        <f>IFERROR(L114*MAX(N114,1)/R114*IF(ISBLANK(K112),1,K112),0)</f>
        <v/>
      </c>
      <c r="AB114" s="7" t="inlineStr">
        <is>
          <t>^Warhead_MissileThermobaric_Heavy</t>
        </is>
      </c>
    </row>
    <row r="115">
      <c r="B115" s="7" t="inlineStr">
        <is>
          <t xml:space="preserve">  ↳ YakChainGun</t>
        </is>
      </c>
      <c r="C115" s="7" t="inlineStr">
        <is>
          <t>Armament@PRIMARY</t>
        </is>
      </c>
      <c r="L115" s="6" t="n">
        <v>4000</v>
      </c>
      <c r="M115" s="6" t="n">
        <v>100</v>
      </c>
      <c r="N115" s="6" t="n">
        <v>8</v>
      </c>
      <c r="O115" s="6" t="n">
        <v>3</v>
      </c>
      <c r="P115" s="6" t="n">
        <v>7000</v>
      </c>
      <c r="Q115" s="6" t="n">
        <v>1</v>
      </c>
      <c r="R115">
        <f>M115+IF(MAX(N115-1,0)&gt;0,IF(ISBLANK(O115),5*MAX(N115-1,0),IF(ISNUMBER(O115),O115*MAX(N115-1,0),SUM(IFERROR(VALUE(TEXTSPLIT(O115,",")),0)))),0)</f>
        <v/>
      </c>
      <c r="S115">
        <f>IFERROR(L115*MAX(N115,1)/R115*IF(ISBLANK(K112),1,K112),0)</f>
        <v/>
      </c>
      <c r="AB115" s="7" t="inlineStr">
        <is>
          <t>^Warhead_Bullet_Medium</t>
        </is>
      </c>
    </row>
    <row r="116">
      <c r="B116" s="7" t="inlineStr">
        <is>
          <t xml:space="preserve">  ↳ YakChainGun</t>
        </is>
      </c>
      <c r="C116" s="7" t="inlineStr">
        <is>
          <t>Armament@SECONDARY</t>
        </is>
      </c>
      <c r="L116" s="6" t="n">
        <v>4000</v>
      </c>
      <c r="M116" s="6" t="n">
        <v>100</v>
      </c>
      <c r="N116" s="6" t="n">
        <v>8</v>
      </c>
      <c r="O116" s="6" t="n">
        <v>3</v>
      </c>
      <c r="P116" s="6" t="n">
        <v>7000</v>
      </c>
      <c r="Q116" s="6" t="n">
        <v>1</v>
      </c>
      <c r="R116">
        <f>M116+IF(MAX(N116-1,0)&gt;0,IF(ISBLANK(O116),5*MAX(N116-1,0),IF(ISNUMBER(O116),O116*MAX(N116-1,0),SUM(IFERROR(VALUE(TEXTSPLIT(O116,",")),0)))),0)</f>
        <v/>
      </c>
      <c r="S116">
        <f>IFERROR(L116*MAX(N116,1)/R116*IF(ISBLANK(K112),1,K112),0)</f>
        <v/>
      </c>
      <c r="AB116" s="7" t="inlineStr">
        <is>
          <t>^Warhead_Bullet_Medium</t>
        </is>
      </c>
    </row>
    <row r="117">
      <c r="B117" s="7" t="inlineStr">
        <is>
          <t xml:space="preserve">  ↳ IncendiaryYakChainGun</t>
        </is>
      </c>
      <c r="C117" s="7" t="inlineStr">
        <is>
          <t>Armament@Upgrade1</t>
        </is>
      </c>
      <c r="L117" s="6" t="n">
        <v>8000</v>
      </c>
      <c r="M117" s="6" t="n">
        <v>100</v>
      </c>
      <c r="N117" s="6" t="n">
        <v>8</v>
      </c>
      <c r="O117" s="6" t="n">
        <v>3</v>
      </c>
      <c r="P117" s="6" t="n">
        <v>7000</v>
      </c>
      <c r="Q117" s="6" t="n">
        <v>0.875</v>
      </c>
      <c r="R117">
        <f>M117+IF(MAX(N117-1,0)&gt;0,IF(ISBLANK(O117),5*MAX(N117-1,0),IF(ISNUMBER(O117),O117*MAX(N117-1,0),SUM(IFERROR(VALUE(TEXTSPLIT(O117,",")),0)))),0)</f>
        <v/>
      </c>
      <c r="S117">
        <f>IFERROR(L117*MAX(N117,1)/R117*IF(ISBLANK(K112),1,K112),0)</f>
        <v/>
      </c>
      <c r="AB117" s="7" t="inlineStr">
        <is>
          <t>^Warhead_Flame_Light, ^Warhead_Bullet_Medium</t>
        </is>
      </c>
    </row>
    <row r="118">
      <c r="B118" s="7" t="inlineStr">
        <is>
          <t xml:space="preserve">  ↳ IncendiaryYakChainGun</t>
        </is>
      </c>
      <c r="C118" s="7" t="inlineStr">
        <is>
          <t>Armament@Upgrade2</t>
        </is>
      </c>
      <c r="L118" s="6" t="n">
        <v>8000</v>
      </c>
      <c r="M118" s="6" t="n">
        <v>100</v>
      </c>
      <c r="N118" s="6" t="n">
        <v>8</v>
      </c>
      <c r="O118" s="6" t="n">
        <v>3</v>
      </c>
      <c r="P118" s="6" t="n">
        <v>7000</v>
      </c>
      <c r="Q118" s="6" t="n">
        <v>0.875</v>
      </c>
      <c r="R118">
        <f>M118+IF(MAX(N118-1,0)&gt;0,IF(ISBLANK(O118),5*MAX(N118-1,0),IF(ISNUMBER(O118),O118*MAX(N118-1,0),SUM(IFERROR(VALUE(TEXTSPLIT(O118,",")),0)))),0)</f>
        <v/>
      </c>
      <c r="S118">
        <f>IFERROR(L118*MAX(N118,1)/R118*IF(ISBLANK(K112),1,K112),0)</f>
        <v/>
      </c>
      <c r="AB118" s="7" t="inlineStr">
        <is>
          <t>^Warhead_Flame_Light, ^Warhead_Bullet_Medium</t>
        </is>
      </c>
    </row>
    <row r="119">
      <c r="A119" t="inlineStr">
        <is>
          <t>redalert</t>
        </is>
      </c>
      <c r="B119" t="inlineStr">
        <is>
          <t>ra1_soviets_supersonicnuclearbomber</t>
        </is>
      </c>
      <c r="C119" t="inlineStr">
        <is>
          <t>Supersonic Nuclear Bomber</t>
        </is>
      </c>
      <c r="D119" s="6" t="inlineStr">
        <is>
          <t>Bomber</t>
        </is>
      </c>
      <c r="E119" s="6" t="n">
        <v>125000</v>
      </c>
      <c r="F119" s="6" t="n">
        <v>200</v>
      </c>
      <c r="G119" t="inlineStr">
        <is>
          <t>Bomber</t>
        </is>
      </c>
      <c r="H119" s="6" t="n">
        <v>0.5077</v>
      </c>
      <c r="I119" s="6" t="n">
        <v>1</v>
      </c>
      <c r="J119" s="6" t="n">
        <v>1</v>
      </c>
      <c r="P119">
        <f>MAX(P120)</f>
        <v/>
      </c>
      <c r="S119">
        <f>S120</f>
        <v/>
      </c>
      <c r="T119">
        <f>(E119/100000+F119/100+(P119/1000)*J119/5+S119/200)*200*I119*H119</f>
        <v/>
      </c>
      <c r="U119">
        <f>((E119*F119/25000)+((P119/1000)*J119*S119/2.5))*I119*H119</f>
        <v/>
      </c>
      <c r="V119">
        <f>(E119*F119*(P119/1000)*J119*S119*I119*H119)/12500000</f>
        <v/>
      </c>
      <c r="W119">
        <f>(T119+U119+V119)/3</f>
        <v/>
      </c>
      <c r="X119" s="6" t="n">
        <v>7000</v>
      </c>
      <c r="Y119">
        <f>IFERROR(W119-X119,"")</f>
        <v/>
      </c>
      <c r="Z119">
        <f>IFERROR(ABS(Y119)/MAX(X119,1),"")</f>
        <v/>
      </c>
      <c r="AA119">
        <f>IFERROR((X119-(((E119/100000+F119/100+S119/200)*200*I119*H119)+((E119*F119/25000)*I119*H119))/3)/(((J119/5)*200*I119*H119)+((J119*S119/2.5)*I119*H119)+((E119*F119*J119*S119*I119*H119)/12500000))/3*1000,"")</f>
        <v/>
      </c>
    </row>
    <row r="120">
      <c r="B120" s="7" t="inlineStr">
        <is>
          <t xml:space="preserve">  ↳ ParaBombNuke</t>
        </is>
      </c>
      <c r="C120" s="7" t="inlineStr">
        <is>
          <t>Armament@Nuke</t>
        </is>
      </c>
      <c r="L120" s="6" t="n">
        <v>400000</v>
      </c>
      <c r="M120" s="6" t="n">
        <v>50</v>
      </c>
      <c r="N120" s="6" t="n">
        <v>1</v>
      </c>
      <c r="O120" s="6" t="n"/>
      <c r="P120" s="6" t="n">
        <v>750</v>
      </c>
      <c r="Q120" s="6" t="n">
        <v>1</v>
      </c>
      <c r="R120">
        <f>M120+IF(MAX(N120-1,0)&gt;0,IF(ISBLANK(O120),5*MAX(N120-1,0),IF(ISNUMBER(O120),O120*MAX(N120-1,0),SUM(IFERROR(VALUE(TEXTSPLIT(O120,",")),0)))),0)</f>
        <v/>
      </c>
      <c r="S120">
        <f>IFERROR(L120*MAX(N120,1)/R120*IF(ISBLANK(K119),1,K119),0)</f>
        <v/>
      </c>
      <c r="AB120" s="7" t="inlineStr">
        <is>
          <t>^HeavyBomb, ^HeavyChemicalWeapon, ^HeavyFlameWeapon, ^NuclearWarhead</t>
        </is>
      </c>
    </row>
    <row r="121">
      <c r="A121" t="inlineStr">
        <is>
          <t>redalert</t>
        </is>
      </c>
      <c r="B121" t="inlineStr">
        <is>
          <t>ra1_allies_rapierjumpjet</t>
        </is>
      </c>
      <c r="C121" t="inlineStr">
        <is>
          <t>Rapier Jumpjet</t>
        </is>
      </c>
      <c r="D121" s="6" t="inlineStr">
        <is>
          <t>Bomber</t>
        </is>
      </c>
      <c r="E121" s="6" t="n">
        <v>77500</v>
      </c>
      <c r="F121" s="6" t="n">
        <v>210</v>
      </c>
      <c r="G121" t="inlineStr">
        <is>
          <t>Bomber</t>
        </is>
      </c>
      <c r="H121" s="6" t="n">
        <v>0.75</v>
      </c>
      <c r="I121" s="6" t="n">
        <v>1</v>
      </c>
      <c r="J121" s="6" t="n">
        <v>1</v>
      </c>
      <c r="K121" t="n">
        <v>0.005</v>
      </c>
      <c r="P121">
        <f>MAX(P122,P123,P124,P125)</f>
        <v/>
      </c>
      <c r="S121">
        <f>S122+S123+S124+S125</f>
        <v/>
      </c>
      <c r="T121">
        <f>(E121/100000+F121/100+(P121/1000)*J121/5+S121/200)*200*I121*H121</f>
        <v/>
      </c>
      <c r="U121">
        <f>((E121*F121/25000)+((P121/1000)*J121*S121/2.5))*I121*H121</f>
        <v/>
      </c>
      <c r="V121">
        <f>(E121*F121*(P121/1000)*J121*S121*I121*H121)/12500000</f>
        <v/>
      </c>
      <c r="W121">
        <f>(T121+U121+V121)/3</f>
        <v/>
      </c>
      <c r="X121" s="6" t="n">
        <v>1300</v>
      </c>
      <c r="Y121">
        <f>IFERROR(W121-X121,"")</f>
        <v/>
      </c>
      <c r="Z121">
        <f>IFERROR(ABS(Y121)/MAX(X121,1),"")</f>
        <v/>
      </c>
      <c r="AA121">
        <f>IFERROR((X121-(((E121/100000+F121/100+S121/200)*200*I121*H121)+((E121*F121/25000)*I121*H121))/3)/(((J121/5)*200*I121*H121)+((J121*S121/2.5)*I121*H121)+((E121*F121*J121*S121*I121*H121)/12500000))/3*1000,"")</f>
        <v/>
      </c>
    </row>
    <row r="122">
      <c r="B122" s="7" t="inlineStr">
        <is>
          <t xml:space="preserve">  ↳ RapierBombs</t>
        </is>
      </c>
      <c r="C122" s="7" t="inlineStr">
        <is>
          <t>Armament@PRIMARY</t>
        </is>
      </c>
      <c r="L122" s="6" t="n">
        <v>10000</v>
      </c>
      <c r="M122" s="6" t="n">
        <v>60</v>
      </c>
      <c r="N122" s="6" t="n">
        <v>4</v>
      </c>
      <c r="O122" s="6" t="n">
        <v>2</v>
      </c>
      <c r="P122" s="6" t="n">
        <v>2000</v>
      </c>
      <c r="Q122" s="6" t="n">
        <v>1.25</v>
      </c>
      <c r="R122">
        <f>M122+IF(MAX(N122-1,0)&gt;0,IF(ISBLANK(O122),5*MAX(N122-1,0),IF(ISNUMBER(O122),O122*MAX(N122-1,0),SUM(IFERROR(VALUE(TEXTSPLIT(O122,",")),0)))),0)</f>
        <v/>
      </c>
      <c r="S122">
        <f>IFERROR(L122*MAX(N122,1)/R122*IF(ISBLANK(K121),1,K121),0)</f>
        <v/>
      </c>
      <c r="AB122" s="7" t="inlineStr">
        <is>
          <t>^Warhead_Demolition_Heavy</t>
        </is>
      </c>
    </row>
    <row r="123">
      <c r="B123" s="7" t="inlineStr">
        <is>
          <t xml:space="preserve">  ↳ RapierBombsCryo</t>
        </is>
      </c>
      <c r="C123" s="7" t="inlineStr">
        <is>
          <t>Armament@Upgrade</t>
        </is>
      </c>
      <c r="L123" s="6" t="n">
        <v>10000</v>
      </c>
      <c r="M123" s="6" t="n">
        <v>60</v>
      </c>
      <c r="N123" s="6" t="n">
        <v>4</v>
      </c>
      <c r="O123" s="6" t="n">
        <v>2</v>
      </c>
      <c r="P123" s="6" t="n">
        <v>2000</v>
      </c>
      <c r="Q123" s="6" t="n">
        <v>1.25</v>
      </c>
      <c r="R123">
        <f>M123+IF(MAX(N123-1,0)&gt;0,IF(ISBLANK(O123),5*MAX(N123-1,0),IF(ISNUMBER(O123),O123*MAX(N123-1,0),SUM(IFERROR(VALUE(TEXTSPLIT(O123,",")),0)))),0)</f>
        <v/>
      </c>
      <c r="S123">
        <f>IFERROR(L123*MAX(N123,1)/R123*IF(ISBLANK(K121),1,K121),0)</f>
        <v/>
      </c>
      <c r="AB123" s="7" t="inlineStr">
        <is>
          <t>^Warhead_CryoBlast_Heavy</t>
        </is>
      </c>
    </row>
    <row r="124">
      <c r="B124" s="7" t="inlineStr">
        <is>
          <t xml:space="preserve">  ↳ Aphid_AA</t>
        </is>
      </c>
      <c r="C124" s="7" t="inlineStr">
        <is>
          <t>Armament@SECONDARY</t>
        </is>
      </c>
      <c r="L124" s="6" t="n">
        <v>16000</v>
      </c>
      <c r="M124" s="6" t="n">
        <v>62</v>
      </c>
      <c r="N124" s="6" t="n">
        <v>2</v>
      </c>
      <c r="O124" s="6" t="n">
        <v>4</v>
      </c>
      <c r="P124" s="6" t="n">
        <v>7000</v>
      </c>
      <c r="Q124" s="6" t="n">
        <v>1.125</v>
      </c>
      <c r="R124">
        <f>M124+IF(MAX(N124-1,0)&gt;0,IF(ISBLANK(O124),5*MAX(N124-1,0),IF(ISNUMBER(O124),O124*MAX(N124-1,0),SUM(IFERROR(VALUE(TEXTSPLIT(O124,",")),0)))),0)</f>
        <v/>
      </c>
      <c r="S124">
        <f>IFERROR(L124*MAX(N124,1)/R124*IF(ISBLANK(K121),1,K121),0)</f>
        <v/>
      </c>
      <c r="AB124" s="7" t="inlineStr">
        <is>
          <t>^Warhead_Concussion_Medium, ^Warhead_MissileHE_Heavy</t>
        </is>
      </c>
    </row>
    <row r="125">
      <c r="B125" s="7" t="inlineStr">
        <is>
          <t xml:space="preserve">  ↳ AphidCryo_AA</t>
        </is>
      </c>
      <c r="C125" s="7" t="inlineStr">
        <is>
          <t>Armament@SECONDARYUpgrade</t>
        </is>
      </c>
      <c r="L125" s="6" t="n">
        <v>16000</v>
      </c>
      <c r="M125" s="6" t="n">
        <v>62</v>
      </c>
      <c r="N125" s="6" t="n">
        <v>2</v>
      </c>
      <c r="O125" s="6" t="n">
        <v>4</v>
      </c>
      <c r="P125" s="6" t="n">
        <v>7000</v>
      </c>
      <c r="Q125" s="6" t="n">
        <v>1.125</v>
      </c>
      <c r="R125">
        <f>M125+IF(MAX(N125-1,0)&gt;0,IF(ISBLANK(O125),5*MAX(N125-1,0),IF(ISNUMBER(O125),O125*MAX(N125-1,0),SUM(IFERROR(VALUE(TEXTSPLIT(O125,",")),0)))),0)</f>
        <v/>
      </c>
      <c r="S125">
        <f>IFERROR(L125*MAX(N125,1)/R125*IF(ISBLANK(K121),1,K121),0)</f>
        <v/>
      </c>
      <c r="AB125" s="7" t="inlineStr">
        <is>
          <t>^Warhead_CryoBlast_Medium, ^Warhead_MissileCryo_Heavy</t>
        </is>
      </c>
    </row>
    <row r="126">
      <c r="A126" t="inlineStr">
        <is>
          <t>tiberiansun</t>
        </is>
      </c>
      <c r="B126" t="inlineStr">
        <is>
          <t>cabal_hunterdrone</t>
        </is>
      </c>
      <c r="C126" t="inlineStr">
        <is>
          <t>Hunter Drone</t>
        </is>
      </c>
      <c r="D126" s="6" t="inlineStr">
        <is>
          <t>Bomber</t>
        </is>
      </c>
      <c r="E126" s="6" t="n">
        <v>15000</v>
      </c>
      <c r="F126" s="6" t="n">
        <v>180</v>
      </c>
      <c r="G126" t="inlineStr">
        <is>
          <t>Bomber</t>
        </is>
      </c>
      <c r="H126" s="6" t="n">
        <v>1</v>
      </c>
      <c r="I126" s="6" t="n">
        <v>1</v>
      </c>
      <c r="J126" s="6" t="n">
        <v>1</v>
      </c>
      <c r="P126">
        <f>MAX(P127)</f>
        <v/>
      </c>
      <c r="S126">
        <f>S127</f>
        <v/>
      </c>
      <c r="T126">
        <f>(E126/100000+F126/100+(P126/1000)*J126/5+S126/200)*200*I126*H126</f>
        <v/>
      </c>
      <c r="U126">
        <f>((E126*F126/25000)+((P126/1000)*J126*S126/2.5))*I126*H126</f>
        <v/>
      </c>
      <c r="V126">
        <f>(E126*F126*(P126/1000)*J126*S126*I126*H126)/12500000</f>
        <v/>
      </c>
      <c r="W126">
        <f>(T126+U126+V126)/3</f>
        <v/>
      </c>
      <c r="X126" s="6" t="n">
        <v>50</v>
      </c>
      <c r="Y126">
        <f>IFERROR(W126-X126,"")</f>
        <v/>
      </c>
      <c r="Z126">
        <f>IFERROR(ABS(Y126)/MAX(X126,1),"")</f>
        <v/>
      </c>
      <c r="AA126">
        <f>IFERROR((X126-(((E126/100000+F126/100+S126/200)*200*I126*H126)+((E126*F126/25000)*I126*H126))/3)/(((J126/5)*200*I126*H126)+((J126*S126/2.5)*I126*H126)+((E126*F126*J126*S126*I126*H126)/12500000))/3*1000,"")</f>
        <v/>
      </c>
    </row>
    <row r="127">
      <c r="B127" s="7" t="inlineStr">
        <is>
          <t xml:space="preserve">  ↳ CabalOverkillDroneLaser</t>
        </is>
      </c>
      <c r="C127" s="7" t="inlineStr">
        <is>
          <t>Armament@PRIMARY</t>
        </is>
      </c>
      <c r="L127" s="6" t="n">
        <v>8000</v>
      </c>
      <c r="M127" s="6" t="n">
        <v>30</v>
      </c>
      <c r="N127" s="6" t="n">
        <v>1</v>
      </c>
      <c r="O127" s="6" t="n"/>
      <c r="P127" s="6" t="n">
        <v>4096</v>
      </c>
      <c r="Q127" s="6" t="n">
        <v>1</v>
      </c>
      <c r="R127">
        <f>M127+IF(MAX(N127-1,0)&gt;0,IF(ISBLANK(O127),5*MAX(N127-1,0),IF(ISNUMBER(O127),O127*MAX(N127-1,0),SUM(IFERROR(VALUE(TEXTSPLIT(O127,",")),0)))),0)</f>
        <v/>
      </c>
      <c r="S127">
        <f>IFERROR(L127*MAX(N127,1)/R127*IF(ISBLANK(K126),1,K126),0)</f>
        <v/>
      </c>
      <c r="AB127" s="7" t="inlineStr">
        <is>
          <t>^Warhead_Bullet_Light, ^Warhead_Laser_Heavy</t>
        </is>
      </c>
    </row>
    <row r="128">
      <c r="A128" t="inlineStr">
        <is>
          <t>tiberiansun</t>
        </is>
      </c>
      <c r="B128" t="inlineStr">
        <is>
          <t>ts_nod_bansheefighter</t>
        </is>
      </c>
      <c r="C128" t="inlineStr">
        <is>
          <t>Banshee Fighter</t>
        </is>
      </c>
      <c r="D128" s="6" t="inlineStr">
        <is>
          <t>Bomber</t>
        </is>
      </c>
      <c r="E128" s="6" t="n">
        <v>60000</v>
      </c>
      <c r="F128" s="6" t="n">
        <v>180</v>
      </c>
      <c r="G128" t="inlineStr">
        <is>
          <t>Bomber</t>
        </is>
      </c>
      <c r="H128" s="6" t="n">
        <v>0.6962</v>
      </c>
      <c r="I128" s="6" t="n">
        <v>1</v>
      </c>
      <c r="J128" s="6" t="n">
        <v>1</v>
      </c>
      <c r="P128">
        <f>MAX(P129)</f>
        <v/>
      </c>
      <c r="S128">
        <f>S129</f>
        <v/>
      </c>
      <c r="T128">
        <f>(E128/100000+F128/100+(P128/1000)*J128/5+S128/200)*200*I128*H128</f>
        <v/>
      </c>
      <c r="U128">
        <f>((E128*F128/25000)+((P128/1000)*J128*S128/2.5))*I128*H128</f>
        <v/>
      </c>
      <c r="V128">
        <f>(E128*F128*(P128/1000)*J128*S128*I128*H128)/12500000</f>
        <v/>
      </c>
      <c r="W128">
        <f>(T128+U128+V128)/3</f>
        <v/>
      </c>
      <c r="X128" s="6" t="n">
        <v>2400</v>
      </c>
      <c r="Y128">
        <f>IFERROR(W128-X128,"")</f>
        <v/>
      </c>
      <c r="Z128">
        <f>IFERROR(ABS(Y128)/MAX(X128,1),"")</f>
        <v/>
      </c>
      <c r="AA128">
        <f>IFERROR((X128-(((E128/100000+F128/100+S128/200)*200*I128*H128)+((E128*F128/25000)*I128*H128))/3)/(((J128/5)*200*I128*H128)+((J128*S128/2.5)*I128*H128)+((E128*F128*J128*S128*I128*H128)/12500000))/3*1000,"")</f>
        <v/>
      </c>
    </row>
    <row r="129">
      <c r="B129" s="7" t="inlineStr">
        <is>
          <t xml:space="preserve">  ↳ TSProton</t>
        </is>
      </c>
      <c r="C129" s="7" t="inlineStr">
        <is>
          <t>Armament@PRIMARY</t>
        </is>
      </c>
      <c r="L129" s="6" t="n">
        <v>60000</v>
      </c>
      <c r="M129" s="6" t="n">
        <v>50</v>
      </c>
      <c r="N129" s="6" t="n">
        <v>4</v>
      </c>
      <c r="O129" s="6" t="n">
        <v>3</v>
      </c>
      <c r="P129" s="6" t="n">
        <v>5414</v>
      </c>
      <c r="Q129" s="6" t="n">
        <v>1</v>
      </c>
      <c r="R129">
        <f>M129+IF(MAX(N129-1,0)&gt;0,IF(ISBLANK(O129),5*MAX(N129-1,0),IF(ISNUMBER(O129),O129*MAX(N129-1,0),SUM(IFERROR(VALUE(TEXTSPLIT(O129,",")),0)))),0)</f>
        <v/>
      </c>
      <c r="S129">
        <f>IFERROR(L129*MAX(N129,1)/R129*IF(ISBLANK(K128),1,K128),0)</f>
        <v/>
      </c>
      <c r="AB129" s="7" t="inlineStr">
        <is>
          <t>^TSEnergyBlast, ^MediumFlameWeapon, ^LaserWeapon</t>
        </is>
      </c>
    </row>
    <row r="130">
      <c r="A130" t="inlineStr">
        <is>
          <t>tiberiansun</t>
        </is>
      </c>
      <c r="B130" t="inlineStr">
        <is>
          <t>ts_gdi_orcabomber</t>
        </is>
      </c>
      <c r="C130" t="inlineStr">
        <is>
          <t>Orca Bomber</t>
        </is>
      </c>
      <c r="D130" s="6" t="inlineStr">
        <is>
          <t>Bomber</t>
        </is>
      </c>
      <c r="E130" s="6" t="n">
        <v>152500</v>
      </c>
      <c r="F130" s="6" t="n">
        <v>160</v>
      </c>
      <c r="G130" t="inlineStr">
        <is>
          <t>Bomber</t>
        </is>
      </c>
      <c r="H130" s="6" t="n">
        <v>0.75</v>
      </c>
      <c r="I130" s="6" t="n">
        <v>1</v>
      </c>
      <c r="J130" s="6" t="n">
        <v>1</v>
      </c>
      <c r="K130" t="n">
        <v>0.0025</v>
      </c>
      <c r="P130">
        <f>MAX(P131,P132)</f>
        <v/>
      </c>
      <c r="S130">
        <f>S131+S132</f>
        <v/>
      </c>
      <c r="T130">
        <f>(E130/100000+F130/100+(P130/1000)*J130/5+S130/200)*200*I130*H130</f>
        <v/>
      </c>
      <c r="U130">
        <f>((E130*F130/25000)+((P130/1000)*J130*S130/2.5))*I130*H130</f>
        <v/>
      </c>
      <c r="V130">
        <f>(E130*F130*(P130/1000)*J130*S130*I130*H130)/12500000</f>
        <v/>
      </c>
      <c r="W130">
        <f>(T130+U130+V130)/3</f>
        <v/>
      </c>
      <c r="X130" s="6" t="n">
        <v>1900</v>
      </c>
      <c r="Y130">
        <f>IFERROR(W130-X130,"")</f>
        <v/>
      </c>
      <c r="Z130">
        <f>IFERROR(ABS(Y130)/MAX(X130,1),"")</f>
        <v/>
      </c>
      <c r="AA130">
        <f>IFERROR((X130-(((E130/100000+F130/100+S130/200)*200*I130*H130)+((E130*F130/25000)*I130*H130))/3)/(((J130/5)*200*I130*H130)+((J130*S130/2.5)*I130*H130)+((E130*F130*J130*S130*I130*H130)/12500000))/3*1000,"")</f>
        <v/>
      </c>
    </row>
    <row r="131">
      <c r="B131" s="7" t="inlineStr">
        <is>
          <t xml:space="preserve">  ↳ TSBomb</t>
        </is>
      </c>
      <c r="C131" s="7" t="inlineStr">
        <is>
          <t>Armament@PRIMARY</t>
        </is>
      </c>
      <c r="L131" s="6" t="n">
        <v>20000</v>
      </c>
      <c r="M131" s="6" t="n">
        <v>38</v>
      </c>
      <c r="N131" s="6" t="n">
        <v>5</v>
      </c>
      <c r="O131" s="6" t="n">
        <v>3</v>
      </c>
      <c r="P131" s="6" t="n">
        <v>1500</v>
      </c>
      <c r="Q131" s="6" t="n">
        <v>1.125</v>
      </c>
      <c r="R131">
        <f>M131+IF(MAX(N131-1,0)&gt;0,IF(ISBLANK(O131),5*MAX(N131-1,0),IF(ISNUMBER(O131),O131*MAX(N131-1,0),SUM(IFERROR(VALUE(TEXTSPLIT(O131,",")),0)))),0)</f>
        <v/>
      </c>
      <c r="S131">
        <f>IFERROR(L131*MAX(N131,1)/R131*IF(ISBLANK(K130),1,K130),0)</f>
        <v/>
      </c>
      <c r="AB131" s="7" t="inlineStr">
        <is>
          <t>^Warhead_Concussion_Medium, ^Warhead_Demolition_Heavy</t>
        </is>
      </c>
    </row>
    <row r="132">
      <c r="B132" s="7" t="inlineStr">
        <is>
          <t xml:space="preserve">  ↳ TSBombSonic</t>
        </is>
      </c>
      <c r="C132" s="7" t="inlineStr">
        <is>
          <t>Armament@Upgrade</t>
        </is>
      </c>
      <c r="L132" s="6" t="n">
        <v>20000</v>
      </c>
      <c r="M132" s="6" t="n">
        <v>38</v>
      </c>
      <c r="N132" s="6" t="n">
        <v>5</v>
      </c>
      <c r="O132" s="6" t="n">
        <v>3</v>
      </c>
      <c r="P132" s="6" t="n">
        <v>1500</v>
      </c>
      <c r="Q132" s="6" t="n">
        <v>1.25</v>
      </c>
      <c r="R132">
        <f>M132+IF(MAX(N132-1,0)&gt;0,IF(ISBLANK(O132),5*MAX(N132-1,0),IF(ISNUMBER(O132),O132*MAX(N132-1,0),SUM(IFERROR(VALUE(TEXTSPLIT(O132,",")),0)))),0)</f>
        <v/>
      </c>
      <c r="S132">
        <f>IFERROR(L132*MAX(N132,1)/R132*IF(ISBLANK(K130),1,K130),0)</f>
        <v/>
      </c>
      <c r="AB132" s="7" t="inlineStr">
        <is>
          <t>^Warhead_Demolition_Heavy, ^Warhead_Sonic_Heavy</t>
        </is>
      </c>
    </row>
    <row r="133">
      <c r="A133" t="inlineStr">
        <is>
          <t>tiberiansun</t>
        </is>
      </c>
      <c r="B133" t="inlineStr">
        <is>
          <t>ts_gdi_strike_orca</t>
        </is>
      </c>
      <c r="C133" t="inlineStr">
        <is>
          <t>Strike Orca</t>
        </is>
      </c>
      <c r="D133" s="6" t="inlineStr">
        <is>
          <t>Bomber</t>
        </is>
      </c>
      <c r="E133" s="6" t="n">
        <v>10000</v>
      </c>
      <c r="F133" s="6" t="n">
        <v>200</v>
      </c>
      <c r="G133" t="inlineStr">
        <is>
          <t>Bomber</t>
        </is>
      </c>
      <c r="H133" s="6" t="n">
        <v>1</v>
      </c>
      <c r="I133" s="6" t="n">
        <v>1</v>
      </c>
      <c r="J133" s="6" t="n">
        <v>1</v>
      </c>
      <c r="P133">
        <f>MAX(P134,P135,P136)</f>
        <v/>
      </c>
      <c r="S133">
        <f>S134+S135+S136</f>
        <v/>
      </c>
      <c r="T133">
        <f>(E133/100000+F133/100+(P133/1000)*J133/5+S133/200)*200*I133*H133</f>
        <v/>
      </c>
      <c r="U133">
        <f>((E133*F133/25000)+((P133/1000)*J133*S133/2.5))*I133*H133</f>
        <v/>
      </c>
      <c r="V133">
        <f>(E133*F133*(P133/1000)*J133*S133*I133*H133)/12500000</f>
        <v/>
      </c>
      <c r="W133">
        <f>(T133+U133+V133)/3</f>
        <v/>
      </c>
      <c r="X133" s="6" t="n">
        <v>270</v>
      </c>
      <c r="Y133">
        <f>IFERROR(W133-X133,"")</f>
        <v/>
      </c>
      <c r="Z133">
        <f>IFERROR(ABS(Y133)/MAX(X133,1),"")</f>
        <v/>
      </c>
      <c r="AA133">
        <f>IFERROR((X133-(((E133/100000+F133/100+S133/200)*200*I133*H133)+((E133*F133/25000)*I133*H133))/3)/(((J133/5)*200*I133*H133)+((J133*S133/2.5)*I133*H133)+((E133*F133*J133*S133*I133*H133)/12500000))/3*1000,"")</f>
        <v/>
      </c>
    </row>
    <row r="134">
      <c r="B134" s="7" t="inlineStr">
        <is>
          <t xml:space="preserve">  ↳ TSZoneHellfire</t>
        </is>
      </c>
      <c r="C134" s="7" t="inlineStr">
        <is>
          <t>Armament@GUNS</t>
        </is>
      </c>
      <c r="L134" s="6" t="n">
        <v>24000</v>
      </c>
      <c r="M134" s="6" t="n">
        <v>28</v>
      </c>
      <c r="N134" s="6" t="n">
        <v>1</v>
      </c>
      <c r="O134" s="6" t="n"/>
      <c r="P134" s="6" t="n">
        <v>6138</v>
      </c>
      <c r="Q134" s="6" t="n">
        <v>1.25</v>
      </c>
      <c r="R134">
        <f>M134+IF(MAX(N134-1,0)&gt;0,IF(ISBLANK(O134),5*MAX(N134-1,0),IF(ISNUMBER(O134),O134*MAX(N134-1,0),SUM(IFERROR(VALUE(TEXTSPLIT(O134,",")),0)))),0)</f>
        <v/>
      </c>
      <c r="S134">
        <f>IFERROR(L134*MAX(N134,1)/R134*IF(ISBLANK(K133),1,K133),0)</f>
        <v/>
      </c>
      <c r="AB134" s="7" t="inlineStr">
        <is>
          <t>^Warhead_MissileAP_Heavy</t>
        </is>
      </c>
    </row>
    <row r="135">
      <c r="B135" s="7" t="inlineStr">
        <is>
          <t xml:space="preserve">  ↳ TSBomb</t>
        </is>
      </c>
      <c r="C135" s="7" t="inlineStr">
        <is>
          <t>Armament@BOMBS</t>
        </is>
      </c>
      <c r="L135" s="6" t="n">
        <v>20000</v>
      </c>
      <c r="M135" s="6" t="n">
        <v>38</v>
      </c>
      <c r="N135" s="6" t="n">
        <v>5</v>
      </c>
      <c r="O135" s="6" t="n">
        <v>3</v>
      </c>
      <c r="P135" s="6" t="n">
        <v>1500</v>
      </c>
      <c r="Q135" s="6" t="n">
        <v>1.125</v>
      </c>
      <c r="R135">
        <f>M135+IF(MAX(N135-1,0)&gt;0,IF(ISBLANK(O135),5*MAX(N135-1,0),IF(ISNUMBER(O135),O135*MAX(N135-1,0),SUM(IFERROR(VALUE(TEXTSPLIT(O135,",")),0)))),0)</f>
        <v/>
      </c>
      <c r="S135">
        <f>IFERROR(L135*MAX(N135,1)/R135*IF(ISBLANK(K133),1,K133),0)</f>
        <v/>
      </c>
      <c r="AB135" s="7" t="inlineStr">
        <is>
          <t>^Warhead_Concussion_Medium, ^Warhead_Demolition_Heavy</t>
        </is>
      </c>
    </row>
    <row r="136">
      <c r="B136" s="7" t="inlineStr">
        <is>
          <t xml:space="preserve">  ↳ TSZoneHellfire</t>
        </is>
      </c>
      <c r="C136" s="7" t="inlineStr">
        <is>
          <t>Armament@AA</t>
        </is>
      </c>
      <c r="L136" s="6" t="n">
        <v>24000</v>
      </c>
      <c r="M136" s="6" t="n">
        <v>28</v>
      </c>
      <c r="N136" s="6" t="n">
        <v>1</v>
      </c>
      <c r="O136" s="6" t="n"/>
      <c r="P136" s="6" t="n">
        <v>6138</v>
      </c>
      <c r="Q136" s="6" t="n">
        <v>1.25</v>
      </c>
      <c r="R136">
        <f>M136+IF(MAX(N136-1,0)&gt;0,IF(ISBLANK(O136),5*MAX(N136-1,0),IF(ISNUMBER(O136),O136*MAX(N136-1,0),SUM(IFERROR(VALUE(TEXTSPLIT(O136,",")),0)))),0)</f>
        <v/>
      </c>
      <c r="S136">
        <f>IFERROR(L136*MAX(N136,1)/R136*IF(ISBLANK(K133),1,K133),0)</f>
        <v/>
      </c>
      <c r="AB136" s="7" t="inlineStr">
        <is>
          <t>^Warhead_MissileAP_Heavy</t>
        </is>
      </c>
    </row>
    <row r="137">
      <c r="A137" t="inlineStr">
        <is>
          <t>tiberiansun</t>
        </is>
      </c>
      <c r="B137" t="inlineStr">
        <is>
          <t>forgotten_cropplane</t>
        </is>
      </c>
      <c r="C137" t="inlineStr">
        <is>
          <t>actor_forgotten_cropplane.name</t>
        </is>
      </c>
      <c r="D137" s="6" t="inlineStr">
        <is>
          <t>Bomber</t>
        </is>
      </c>
      <c r="E137" s="6" t="n">
        <v>75000</v>
      </c>
      <c r="F137" s="6" t="n">
        <v>160</v>
      </c>
      <c r="G137" t="inlineStr">
        <is>
          <t>Bomber</t>
        </is>
      </c>
      <c r="H137" s="6" t="n">
        <v>0.7971</v>
      </c>
      <c r="I137" s="6" t="n">
        <v>1</v>
      </c>
      <c r="J137" s="6" t="n">
        <v>1</v>
      </c>
      <c r="P137">
        <f>MAX(P138,P139)</f>
        <v/>
      </c>
      <c r="S137">
        <f>S138+S139</f>
        <v/>
      </c>
      <c r="T137">
        <f>(E137/100000+F137/100+(P137/1000)*J137/5+S137/200)*200*I137*H137</f>
        <v/>
      </c>
      <c r="U137">
        <f>((E137*F137/25000)+((P137/1000)*J137*S137/2.5))*I137*H137</f>
        <v/>
      </c>
      <c r="V137">
        <f>(E137*F137*(P137/1000)*J137*S137*I137*H137)/12500000</f>
        <v/>
      </c>
      <c r="W137">
        <f>(T137+U137+V137)/3</f>
        <v/>
      </c>
      <c r="X137" s="6" t="n">
        <v>1500</v>
      </c>
      <c r="Y137">
        <f>IFERROR(W137-X137,"")</f>
        <v/>
      </c>
      <c r="Z137">
        <f>IFERROR(ABS(Y137)/MAX(X137,1),"")</f>
        <v/>
      </c>
      <c r="AA137">
        <f>IFERROR((X137-(((E137/100000+F137/100+S137/200)*200*I137*H137)+((E137*F137/25000)*I137*H137))/3)/(((J137/5)*200*I137*H137)+((J137*S137/2.5)*I137*H137)+((E137*F137*J137*S137*I137*H137)/12500000))/3*1000,"")</f>
        <v/>
      </c>
    </row>
    <row r="138">
      <c r="B138" s="7" t="inlineStr">
        <is>
          <t xml:space="preserve">  ↳ TSCropBomb</t>
        </is>
      </c>
      <c r="C138" s="7" t="inlineStr">
        <is>
          <t>Armament@PRIMARY</t>
        </is>
      </c>
      <c r="L138" s="6" t="n">
        <v>120000</v>
      </c>
      <c r="M138" s="6" t="n">
        <v>50</v>
      </c>
      <c r="N138" s="6" t="n">
        <v>1</v>
      </c>
      <c r="O138" s="6" t="n"/>
      <c r="P138" s="6" t="n">
        <v>1250</v>
      </c>
      <c r="Q138" s="6" t="n">
        <v>1.25</v>
      </c>
      <c r="R138">
        <f>M138+IF(MAX(N138-1,0)&gt;0,IF(ISBLANK(O138),5*MAX(N138-1,0),IF(ISNUMBER(O138),O138*MAX(N138-1,0),SUM(IFERROR(VALUE(TEXTSPLIT(O138,",")),0)))),0)</f>
        <v/>
      </c>
      <c r="S138">
        <f>IFERROR(L138*MAX(N138,1)/R138*IF(ISBLANK(K137),1,K137),0)</f>
        <v/>
      </c>
      <c r="AB138" s="7" t="inlineStr">
        <is>
          <t>^Warhead_Demolition_Heavy</t>
        </is>
      </c>
    </row>
    <row r="139">
      <c r="B139" s="7" t="inlineStr">
        <is>
          <t xml:space="preserve">  ↳ TSCropBombChem</t>
        </is>
      </c>
      <c r="C139" s="7" t="inlineStr">
        <is>
          <t>Armament@UPGRADE</t>
        </is>
      </c>
      <c r="L139" s="6" t="n">
        <v>180000</v>
      </c>
      <c r="M139" s="6" t="n">
        <v>50</v>
      </c>
      <c r="N139" s="6" t="n">
        <v>1</v>
      </c>
      <c r="O139" s="6" t="n"/>
      <c r="P139" s="6" t="n">
        <v>1250</v>
      </c>
      <c r="Q139" s="6" t="n">
        <v>1.25</v>
      </c>
      <c r="R139">
        <f>M139+IF(MAX(N139-1,0)&gt;0,IF(ISBLANK(O139),5*MAX(N139-1,0),IF(ISNUMBER(O139),O139*MAX(N139-1,0),SUM(IFERROR(VALUE(TEXTSPLIT(O139,",")),0)))),0)</f>
        <v/>
      </c>
      <c r="S139">
        <f>IFERROR(L139*MAX(N139,1)/R139*IF(ISBLANK(K137),1,K137),0)</f>
        <v/>
      </c>
      <c r="AB139" s="7" t="inlineStr">
        <is>
          <t>^Warhead_Demolition_Heavy, ^Warhead_Chemical_Heavy</t>
        </is>
      </c>
    </row>
    <row r="140">
      <c r="A140" t="inlineStr">
        <is>
          <t>tiberiansun</t>
        </is>
      </c>
      <c r="B140" t="inlineStr">
        <is>
          <t>forgotten_locustbomber</t>
        </is>
      </c>
      <c r="C140" t="inlineStr">
        <is>
          <t>actor_forgotten_locustbomber.name</t>
        </is>
      </c>
      <c r="D140" s="6" t="inlineStr">
        <is>
          <t>Bomber</t>
        </is>
      </c>
      <c r="E140" s="6" t="n">
        <v>115000</v>
      </c>
      <c r="F140" s="6" t="n">
        <v>180</v>
      </c>
      <c r="G140" t="inlineStr">
        <is>
          <t>Bomber</t>
        </is>
      </c>
      <c r="H140" s="6" t="n">
        <v>0.7971</v>
      </c>
      <c r="I140" s="6" t="n">
        <v>1</v>
      </c>
      <c r="J140" s="6" t="n">
        <v>1</v>
      </c>
      <c r="P140">
        <f>MAX(P141,P142)</f>
        <v/>
      </c>
      <c r="S140">
        <f>S141+S142</f>
        <v/>
      </c>
      <c r="T140">
        <f>(E140/100000+F140/100+(P140/1000)*J140/5+S140/200)*200*I140*H140</f>
        <v/>
      </c>
      <c r="U140">
        <f>((E140*F140/25000)+((P140/1000)*J140*S140/2.5))*I140*H140</f>
        <v/>
      </c>
      <c r="V140">
        <f>(E140*F140*(P140/1000)*J140*S140*I140*H140)/12500000</f>
        <v/>
      </c>
      <c r="W140">
        <f>(T140+U140+V140)/3</f>
        <v/>
      </c>
      <c r="X140" s="6" t="n">
        <v>3000</v>
      </c>
      <c r="Y140">
        <f>IFERROR(W140-X140,"")</f>
        <v/>
      </c>
      <c r="Z140">
        <f>IFERROR(ABS(Y140)/MAX(X140,1),"")</f>
        <v/>
      </c>
      <c r="AA140">
        <f>IFERROR((X140-(((E140/100000+F140/100+S140/200)*200*I140*H140)+((E140*F140/25000)*I140*H140))/3)/(((J140/5)*200*I140*H140)+((J140*S140/2.5)*I140*H140)+((E140*F140*J140*S140*I140*H140)/12500000))/3*1000,"")</f>
        <v/>
      </c>
    </row>
    <row r="141">
      <c r="B141" s="7" t="inlineStr">
        <is>
          <t xml:space="preserve">  ↳ TSLocustBomb</t>
        </is>
      </c>
      <c r="C141" s="7" t="inlineStr">
        <is>
          <t>Armament@PRIMARY</t>
        </is>
      </c>
      <c r="L141" s="6" t="n">
        <v>180000</v>
      </c>
      <c r="M141" s="6" t="n">
        <v>38</v>
      </c>
      <c r="N141" s="6" t="n">
        <v>5</v>
      </c>
      <c r="O141" s="6" t="n">
        <v>3</v>
      </c>
      <c r="P141" s="6" t="n">
        <v>1250</v>
      </c>
      <c r="Q141" s="6" t="n">
        <v>1.25</v>
      </c>
      <c r="R141">
        <f>M141+IF(MAX(N141-1,0)&gt;0,IF(ISBLANK(O141),5*MAX(N141-1,0),IF(ISNUMBER(O141),O141*MAX(N141-1,0),SUM(IFERROR(VALUE(TEXTSPLIT(O141,",")),0)))),0)</f>
        <v/>
      </c>
      <c r="S141">
        <f>IFERROR(L141*MAX(N141,1)/R141*IF(ISBLANK(K140),1,K140),0)</f>
        <v/>
      </c>
      <c r="AB141" s="7" t="inlineStr">
        <is>
          <t>^Warhead_Demolition_Heavy</t>
        </is>
      </c>
    </row>
    <row r="142">
      <c r="B142" s="7" t="inlineStr">
        <is>
          <t xml:space="preserve">  ↳ TSLocustBombChem</t>
        </is>
      </c>
      <c r="C142" s="7" t="inlineStr">
        <is>
          <t>Armament@UPGRADE</t>
        </is>
      </c>
      <c r="L142" s="6" t="n">
        <v>270000</v>
      </c>
      <c r="M142" s="6" t="n">
        <v>38</v>
      </c>
      <c r="N142" s="6" t="n">
        <v>5</v>
      </c>
      <c r="O142" s="6" t="n">
        <v>3</v>
      </c>
      <c r="P142" s="6" t="n">
        <v>1250</v>
      </c>
      <c r="Q142" s="6" t="n">
        <v>1.25</v>
      </c>
      <c r="R142">
        <f>M142+IF(MAX(N142-1,0)&gt;0,IF(ISBLANK(O142),5*MAX(N142-1,0),IF(ISNUMBER(O142),O142*MAX(N142-1,0),SUM(IFERROR(VALUE(TEXTSPLIT(O142,",")),0)))),0)</f>
        <v/>
      </c>
      <c r="S142">
        <f>IFERROR(L142*MAX(N142,1)/R142*IF(ISBLANK(K140),1,K140),0)</f>
        <v/>
      </c>
      <c r="AB142" s="7" t="inlineStr">
        <is>
          <t>^Warhead_Demolition_Heavy, ^Warhead_Chemical_Heavy</t>
        </is>
      </c>
    </row>
    <row r="143">
      <c r="A143" t="inlineStr">
        <is>
          <t>shared</t>
        </is>
      </c>
      <c r="B143" t="inlineStr">
        <is>
          <t>ra2asw</t>
        </is>
      </c>
      <c r="C143" t="inlineStr">
        <is>
          <t>Osprey</t>
        </is>
      </c>
      <c r="D143" s="6" t="inlineStr">
        <is>
          <t>Bomber</t>
        </is>
      </c>
      <c r="E143" s="6" t="n">
        <v>50000</v>
      </c>
      <c r="F143" s="6" t="n">
        <v>210</v>
      </c>
      <c r="G143" t="inlineStr">
        <is>
          <t>Bomber</t>
        </is>
      </c>
      <c r="H143" s="6" t="n">
        <v>1</v>
      </c>
      <c r="I143" s="6" t="n">
        <v>1</v>
      </c>
      <c r="J143" s="6" t="n">
        <v>1</v>
      </c>
      <c r="K143" t="n">
        <v>0.005</v>
      </c>
      <c r="P143">
        <f>MAX(P144)</f>
        <v/>
      </c>
      <c r="S143">
        <f>S144</f>
        <v/>
      </c>
      <c r="T143">
        <f>(E143/100000+F143/100+(P143/1000)*J143/5+S143/200)*200*I143*H143</f>
        <v/>
      </c>
      <c r="U143">
        <f>((E143*F143/25000)+((P143/1000)*J143*S143/2.5))*I143*H143</f>
        <v/>
      </c>
      <c r="V143">
        <f>(E143*F143*(P143/1000)*J143*S143*I143*H143)/12500000</f>
        <v/>
      </c>
      <c r="W143">
        <f>(T143+U143+V143)/3</f>
        <v/>
      </c>
      <c r="X143" s="6" t="n">
        <v>340</v>
      </c>
      <c r="Y143">
        <f>IFERROR(W143-X143,"")</f>
        <v/>
      </c>
      <c r="Z143">
        <f>IFERROR(ABS(Y143)/MAX(X143,1),"")</f>
        <v/>
      </c>
      <c r="AA143">
        <f>IFERROR((X143-(((E143/100000+F143/100+S143/200)*200*I143*H143)+((E143*F143/25000)*I143*H143))/3)/(((J143/5)*200*I143*H143)+((J143*S143/2.5)*I143*H143)+((E143*F143*J143*S143*I143*H143)/12500000))/3*1000,"")</f>
        <v/>
      </c>
    </row>
    <row r="144">
      <c r="B144" s="7" t="inlineStr">
        <is>
          <t xml:space="preserve">  ↳ RA2DepthCharge</t>
        </is>
      </c>
      <c r="C144" s="7" t="inlineStr">
        <is>
          <t>Armament@PRIMARY</t>
        </is>
      </c>
      <c r="L144" s="6" t="n">
        <v>60000</v>
      </c>
      <c r="M144" s="6" t="n">
        <v>25</v>
      </c>
      <c r="N144" s="6" t="n">
        <v>5</v>
      </c>
      <c r="O144" s="6" t="n">
        <v>3</v>
      </c>
      <c r="P144" s="6" t="n">
        <v>3000</v>
      </c>
      <c r="Q144" s="6" t="n">
        <v>0.75</v>
      </c>
      <c r="R144">
        <f>M144+IF(MAX(N144-1,0)&gt;0,IF(ISBLANK(O144),5*MAX(N144-1,0),IF(ISNUMBER(O144),O144*MAX(N144-1,0),SUM(IFERROR(VALUE(TEXTSPLIT(O144,",")),0)))),0)</f>
        <v/>
      </c>
      <c r="S144">
        <f>IFERROR(L144*MAX(N144,1)/R144*IF(ISBLANK(K143),1,K143),0)</f>
        <v/>
      </c>
      <c r="AB144" s="7" t="inlineStr">
        <is>
          <t>^Warhead_Demolition_Light</t>
        </is>
      </c>
    </row>
    <row r="145">
      <c r="A145" t="inlineStr">
        <is>
          <t>shared</t>
        </is>
      </c>
      <c r="B145" t="inlineStr">
        <is>
          <t>ra2hornet</t>
        </is>
      </c>
      <c r="C145" t="inlineStr">
        <is>
          <t>Hornet</t>
        </is>
      </c>
      <c r="D145" s="6" t="inlineStr">
        <is>
          <t>Bomber</t>
        </is>
      </c>
      <c r="E145" s="6" t="n">
        <v>5000</v>
      </c>
      <c r="F145" s="6" t="n">
        <v>225</v>
      </c>
      <c r="G145" t="inlineStr">
        <is>
          <t>Bomber</t>
        </is>
      </c>
      <c r="H145" s="6" t="n">
        <v>1</v>
      </c>
      <c r="I145" s="6" t="n">
        <v>1</v>
      </c>
      <c r="J145" s="6" t="n">
        <v>1</v>
      </c>
      <c r="K145" t="n">
        <v>0.005</v>
      </c>
      <c r="P145">
        <f>MAX(P146)</f>
        <v/>
      </c>
      <c r="S145">
        <f>S146</f>
        <v/>
      </c>
      <c r="T145">
        <f>(E145/100000+F145/100+(P145/1000)*J145/5+S145/200)*200*I145*H145</f>
        <v/>
      </c>
      <c r="U145">
        <f>((E145*F145/25000)+((P145/1000)*J145*S145/2.5))*I145*H145</f>
        <v/>
      </c>
      <c r="V145">
        <f>(E145*F145*(P145/1000)*J145*S145*I145*H145)/12500000</f>
        <v/>
      </c>
      <c r="W145">
        <f>(T145+U145+V145)/3</f>
        <v/>
      </c>
      <c r="X145" s="6" t="n">
        <v>170</v>
      </c>
      <c r="Y145">
        <f>IFERROR(W145-X145,"")</f>
        <v/>
      </c>
      <c r="Z145">
        <f>IFERROR(ABS(Y145)/MAX(X145,1),"")</f>
        <v/>
      </c>
      <c r="AA145">
        <f>IFERROR((X145-(((E145/100000+F145/100+S145/200)*200*I145*H145)+((E145*F145/25000)*I145*H145))/3)/(((J145/5)*200*I145*H145)+((J145*S145/2.5)*I145*H145)+((E145*F145*J145*S145*I145*H145)/12500000))/3*1000,"")</f>
        <v/>
      </c>
    </row>
    <row r="146">
      <c r="B146" s="7" t="inlineStr">
        <is>
          <t xml:space="preserve">  ↳ RA2HornetMissile</t>
        </is>
      </c>
      <c r="C146" s="7" t="inlineStr">
        <is>
          <t>Armament@PRIMARY</t>
        </is>
      </c>
      <c r="L146" s="6" t="n">
        <v>6000</v>
      </c>
      <c r="M146" s="6" t="n">
        <v>3</v>
      </c>
      <c r="N146" s="6" t="n">
        <v>1</v>
      </c>
      <c r="O146" s="6" t="n"/>
      <c r="P146" s="6" t="n">
        <v>5000</v>
      </c>
      <c r="Q146" s="6" t="n">
        <v>1</v>
      </c>
      <c r="R146">
        <f>M146+IF(MAX(N146-1,0)&gt;0,IF(ISBLANK(O146),5*MAX(N146-1,0),IF(ISNUMBER(O146),O146*MAX(N146-1,0),SUM(IFERROR(VALUE(TEXTSPLIT(O146,",")),0)))),0)</f>
        <v/>
      </c>
      <c r="S146">
        <f>IFERROR(L146*MAX(N146,1)/R146*IF(ISBLANK(K145),1,K145),0)</f>
        <v/>
      </c>
      <c r="AB146" s="7" t="inlineStr">
        <is>
          <t>^Warhead_Demolition_Light, ^Warhead_Demolition_Heavy, ^Warhead_MissileAP_Medium</t>
        </is>
      </c>
    </row>
    <row r="147">
      <c r="A147" t="inlineStr">
        <is>
          <t>shared</t>
        </is>
      </c>
      <c r="B147" t="inlineStr">
        <is>
          <t>yrbpln</t>
        </is>
      </c>
      <c r="C147" t="inlineStr">
        <is>
          <t>MiG Bomber</t>
        </is>
      </c>
      <c r="D147" s="6" t="inlineStr">
        <is>
          <t>Bomber</t>
        </is>
      </c>
      <c r="E147" s="6" t="n">
        <v>100000</v>
      </c>
      <c r="F147" s="6" t="n">
        <v>250</v>
      </c>
      <c r="G147" t="inlineStr">
        <is>
          <t>Bomber</t>
        </is>
      </c>
      <c r="H147" s="6" t="n">
        <v>1</v>
      </c>
      <c r="I147" s="6" t="n">
        <v>1</v>
      </c>
      <c r="J147" s="6" t="n">
        <v>1</v>
      </c>
      <c r="K147" t="n">
        <v>0.0125</v>
      </c>
      <c r="P147">
        <f>MAX(P148,P149,P150,P151)</f>
        <v/>
      </c>
      <c r="S147">
        <f>S148+S149+S150+S151</f>
        <v/>
      </c>
      <c r="T147">
        <f>(E147/100000+F147/100+(P147/1000)*J147/5+S147/200)*200*I147*H147</f>
        <v/>
      </c>
      <c r="U147">
        <f>((E147*F147/25000)+((P147/1000)*J147*S147/2.5))*I147*H147</f>
        <v/>
      </c>
      <c r="V147">
        <f>(E147*F147*(P147/1000)*J147*S147*I147*H147)/12500000</f>
        <v/>
      </c>
      <c r="W147">
        <f>(T147+U147+V147)/3</f>
        <v/>
      </c>
      <c r="X147" s="6" t="n">
        <v>5000</v>
      </c>
      <c r="Y147">
        <f>IFERROR(W147-X147,"")</f>
        <v/>
      </c>
      <c r="Z147">
        <f>IFERROR(ABS(Y147)/MAX(X147,1),"")</f>
        <v/>
      </c>
      <c r="AA147">
        <f>IFERROR((X147-(((E147/100000+F147/100+S147/200)*200*I147*H147)+((E147*F147/25000)*I147*H147))/3)/(((J147/5)*200*I147*H147)+((J147*S147/2.5)*I147*H147)+((E147*F147*J147*S147*I147*H147)/12500000))/3*1000,"")</f>
        <v/>
      </c>
    </row>
    <row r="148">
      <c r="B148" s="7" t="inlineStr">
        <is>
          <t xml:space="preserve">  ↳ MigMissiles</t>
        </is>
      </c>
      <c r="C148" s="7" t="inlineStr">
        <is>
          <t>Armament</t>
        </is>
      </c>
      <c r="L148" s="6" t="n">
        <v>32000</v>
      </c>
      <c r="M148" s="6" t="n">
        <v>50</v>
      </c>
      <c r="N148" s="6" t="n">
        <v>4</v>
      </c>
      <c r="O148" s="6" t="n">
        <v>2</v>
      </c>
      <c r="P148" s="6" t="n">
        <v>7600</v>
      </c>
      <c r="Q148" s="6" t="n">
        <v>1</v>
      </c>
      <c r="R148">
        <f>M148+IF(MAX(N148-1,0)&gt;0,IF(ISBLANK(O148),5*MAX(N148-1,0),IF(ISNUMBER(O148),O148*MAX(N148-1,0),SUM(IFERROR(VALUE(TEXTSPLIT(O148,",")),0)))),0)</f>
        <v/>
      </c>
      <c r="S148">
        <f>IFERROR(L148*MAX(N148,1)/R148*IF(ISBLANK(K147),1,K147),0)</f>
        <v/>
      </c>
      <c r="AB148" s="7" t="inlineStr">
        <is>
          <t>^Warhead_MissileAP_Medium</t>
        </is>
      </c>
    </row>
    <row r="149">
      <c r="B149" s="7" t="inlineStr">
        <is>
          <t xml:space="preserve">  ↳ MigMissiles_rad</t>
        </is>
      </c>
      <c r="C149" s="7" t="inlineStr">
        <is>
          <t>Armament@rad</t>
        </is>
      </c>
      <c r="L149" s="6" t="n">
        <v>36000</v>
      </c>
      <c r="M149" s="6" t="n">
        <v>50</v>
      </c>
      <c r="N149" s="6" t="n">
        <v>4</v>
      </c>
      <c r="O149" s="6" t="n">
        <v>2</v>
      </c>
      <c r="P149" s="6" t="n">
        <v>7600</v>
      </c>
      <c r="Q149" s="6" t="n">
        <v>1</v>
      </c>
      <c r="R149">
        <f>M149+IF(MAX(N149-1,0)&gt;0,IF(ISBLANK(O149),5*MAX(N149-1,0),IF(ISNUMBER(O149),O149*MAX(N149-1,0),SUM(IFERROR(VALUE(TEXTSPLIT(O149,",")),0)))),0)</f>
        <v/>
      </c>
      <c r="S149">
        <f>IFERROR(L149*MAX(N149,1)/R149*IF(ISBLANK(K147),1,K147),0)</f>
        <v/>
      </c>
      <c r="AB149" s="7" t="inlineStr">
        <is>
          <t>^Warhead_Chemical_Medium, ^Warhead_MissileAP_Medium</t>
        </is>
      </c>
    </row>
    <row r="150">
      <c r="B150" s="7" t="inlineStr">
        <is>
          <t xml:space="preserve">  ↳ MigMissiles_fire</t>
        </is>
      </c>
      <c r="C150" s="7" t="inlineStr">
        <is>
          <t>Armament@fire</t>
        </is>
      </c>
      <c r="L150" s="6" t="n">
        <v>32000</v>
      </c>
      <c r="M150" s="6" t="n">
        <v>50</v>
      </c>
      <c r="N150" s="6" t="n">
        <v>4</v>
      </c>
      <c r="O150" s="6" t="n">
        <v>2</v>
      </c>
      <c r="P150" s="6" t="n">
        <v>7600</v>
      </c>
      <c r="Q150" s="6" t="n">
        <v>1</v>
      </c>
      <c r="R150">
        <f>M150+IF(MAX(N150-1,0)&gt;0,IF(ISBLANK(O150),5*MAX(N150-1,0),IF(ISNUMBER(O150),O150*MAX(N150-1,0),SUM(IFERROR(VALUE(TEXTSPLIT(O150,",")),0)))),0)</f>
        <v/>
      </c>
      <c r="S150">
        <f>IFERROR(L150*MAX(N150,1)/R150*IF(ISBLANK(K147),1,K147),0)</f>
        <v/>
      </c>
      <c r="AB150" s="7" t="inlineStr">
        <is>
          <t>^Warhead_MissileAP_Medium</t>
        </is>
      </c>
    </row>
    <row r="151">
      <c r="B151" s="7" t="inlineStr">
        <is>
          <t xml:space="preserve">  ↳ MigMissiles_tesla</t>
        </is>
      </c>
      <c r="C151" s="7" t="inlineStr">
        <is>
          <t>Armament@tesla</t>
        </is>
      </c>
      <c r="L151" s="6" t="n">
        <v>32000</v>
      </c>
      <c r="M151" s="6" t="n">
        <v>50</v>
      </c>
      <c r="N151" s="6" t="n">
        <v>4</v>
      </c>
      <c r="O151" s="6" t="n">
        <v>2</v>
      </c>
      <c r="P151" s="6" t="n">
        <v>7600</v>
      </c>
      <c r="Q151" s="6" t="n">
        <v>1</v>
      </c>
      <c r="R151">
        <f>M151+IF(MAX(N151-1,0)&gt;0,IF(ISBLANK(O151),5*MAX(N151-1,0),IF(ISNUMBER(O151),O151*MAX(N151-1,0),SUM(IFERROR(VALUE(TEXTSPLIT(O151,",")),0)))),0)</f>
        <v/>
      </c>
      <c r="S151">
        <f>IFERROR(L151*MAX(N151,1)/R151*IF(ISBLANK(K147),1,K147),0)</f>
        <v/>
      </c>
      <c r="AB151" s="7" t="inlineStr">
        <is>
          <t>^Warhead_MissileAP_Medium</t>
        </is>
      </c>
    </row>
    <row r="152">
      <c r="A152" t="inlineStr">
        <is>
          <t>redalert2</t>
        </is>
      </c>
      <c r="B152" t="inlineStr">
        <is>
          <t>ra2_allies_blackeagle</t>
        </is>
      </c>
      <c r="C152" t="inlineStr">
        <is>
          <t>Black Eagle</t>
        </is>
      </c>
      <c r="D152" s="6" t="inlineStr">
        <is>
          <t>Bomber</t>
        </is>
      </c>
      <c r="E152" s="6" t="n">
        <v>85000</v>
      </c>
      <c r="F152" s="6" t="n">
        <v>150</v>
      </c>
      <c r="G152" t="inlineStr">
        <is>
          <t>Bomber</t>
        </is>
      </c>
      <c r="H152" s="6" t="n">
        <v>0.75</v>
      </c>
      <c r="I152" s="6" t="n">
        <v>1</v>
      </c>
      <c r="J152" s="6" t="n">
        <v>1</v>
      </c>
      <c r="P152">
        <f>MAX(P153,P154,P155,P156)</f>
        <v/>
      </c>
      <c r="S152">
        <f>S153+S154+S155+S156</f>
        <v/>
      </c>
      <c r="T152">
        <f>(E152/100000+F152/100+(P152/1000)*J152/5+S152/200)*200*I152*H152</f>
        <v/>
      </c>
      <c r="U152">
        <f>((E152*F152/25000)+((P152/1000)*J152*S152/2.5))*I152*H152</f>
        <v/>
      </c>
      <c r="V152">
        <f>(E152*F152*(P152/1000)*J152*S152*I152*H152)/12500000</f>
        <v/>
      </c>
      <c r="W152">
        <f>(T152+U152+V152)/3</f>
        <v/>
      </c>
      <c r="X152" s="6" t="n">
        <v>3000</v>
      </c>
      <c r="Y152">
        <f>IFERROR(W152-X152,"")</f>
        <v/>
      </c>
      <c r="Z152">
        <f>IFERROR(ABS(Y152)/MAX(X152,1),"")</f>
        <v/>
      </c>
      <c r="AA152">
        <f>IFERROR((X152-(((E152/100000+F152/100+S152/200)*200*I152*H152)+((E152*F152/25000)*I152*H152))/3)/(((J152/5)*200*I152*H152)+((J152*S152/2.5)*I152*H152)+((E152*F152*J152*S152*I152*H152)/12500000))/3*1000,"")</f>
        <v/>
      </c>
    </row>
    <row r="153">
      <c r="B153" s="7" t="inlineStr">
        <is>
          <t xml:space="preserve">  ↳ BlackEagleMissiles</t>
        </is>
      </c>
      <c r="C153" s="7" t="inlineStr">
        <is>
          <t>Armament@PRIMARY</t>
        </is>
      </c>
      <c r="L153" s="6" t="n">
        <v>48000</v>
      </c>
      <c r="M153" s="6" t="n">
        <v>50</v>
      </c>
      <c r="N153" s="6" t="n">
        <v>4</v>
      </c>
      <c r="O153" s="6" t="n">
        <v>2</v>
      </c>
      <c r="P153" s="6" t="n">
        <v>9000</v>
      </c>
      <c r="Q153" s="6" t="n">
        <v>1</v>
      </c>
      <c r="R153">
        <f>M153+IF(MAX(N153-1,0)&gt;0,IF(ISBLANK(O153),5*MAX(N153-1,0),IF(ISNUMBER(O153),O153*MAX(N153-1,0),SUM(IFERROR(VALUE(TEXTSPLIT(O153,",")),0)))),0)</f>
        <v/>
      </c>
      <c r="S153">
        <f>IFERROR(L153*MAX(N153,1)/R153*IF(ISBLANK(K152),1,K152),0)</f>
        <v/>
      </c>
      <c r="AB153" s="7" t="inlineStr">
        <is>
          <t>^Warhead_Demolition_Light, ^Warhead_Demolition_Heavy, ^Warhead_MissileAP_Medium</t>
        </is>
      </c>
    </row>
    <row r="154">
      <c r="B154" s="7" t="inlineStr">
        <is>
          <t xml:space="preserve">  ↳ BlackEagleMissiles_elite</t>
        </is>
      </c>
      <c r="C154" s="7" t="inlineStr">
        <is>
          <t>Armament@PRIMARYELITE</t>
        </is>
      </c>
      <c r="L154" s="6" t="n">
        <v>48000</v>
      </c>
      <c r="M154" s="6" t="n">
        <v>50</v>
      </c>
      <c r="N154" s="6" t="n">
        <v>8</v>
      </c>
      <c r="O154" s="6" t="n">
        <v>2</v>
      </c>
      <c r="P154" s="6" t="n">
        <v>10000</v>
      </c>
      <c r="Q154" s="6" t="n">
        <v>1</v>
      </c>
      <c r="R154">
        <f>M154+IF(MAX(N154-1,0)&gt;0,IF(ISBLANK(O154),5*MAX(N154-1,0),IF(ISNUMBER(O154),O154*MAX(N154-1,0),SUM(IFERROR(VALUE(TEXTSPLIT(O154,",")),0)))),0)</f>
        <v/>
      </c>
      <c r="S154">
        <f>IFERROR(L154*MAX(N154,1)/R154*IF(ISBLANK(K152),1,K152),0)</f>
        <v/>
      </c>
      <c r="AB154" s="7" t="inlineStr">
        <is>
          <t>^Warhead_Demolition_Light, ^Warhead_Demolition_Heavy, ^Warhead_MissileAP_Medium</t>
        </is>
      </c>
    </row>
    <row r="155">
      <c r="B155" s="7" t="inlineStr">
        <is>
          <t xml:space="preserve">  ↳ BlackEagleThunderboltMissiles</t>
        </is>
      </c>
      <c r="C155" s="7" t="inlineStr">
        <is>
          <t>Armament@PRIMARYUPGRADE</t>
        </is>
      </c>
      <c r="L155" s="6" t="n">
        <v>54000</v>
      </c>
      <c r="M155" s="6" t="n">
        <v>50</v>
      </c>
      <c r="N155" s="6" t="n">
        <v>4</v>
      </c>
      <c r="O155" s="6" t="n">
        <v>2</v>
      </c>
      <c r="P155" s="6" t="n">
        <v>9000</v>
      </c>
      <c r="Q155" s="6" t="n">
        <v>0.75</v>
      </c>
      <c r="R155">
        <f>M155+IF(MAX(N155-1,0)&gt;0,IF(ISBLANK(O155),5*MAX(N155-1,0),IF(ISNUMBER(O155),O155*MAX(N155-1,0),SUM(IFERROR(VALUE(TEXTSPLIT(O155,",")),0)))),0)</f>
        <v/>
      </c>
      <c r="S155">
        <f>IFERROR(L155*MAX(N155,1)/R155*IF(ISBLANK(K152),1,K152),0)</f>
        <v/>
      </c>
      <c r="AB155" s="7" t="inlineStr">
        <is>
          <t>^Warhead_MissileAP_Light</t>
        </is>
      </c>
    </row>
    <row r="156">
      <c r="B156" s="7" t="inlineStr">
        <is>
          <t xml:space="preserve">  ↳ BlackEagleThunderboltMissiles_elite</t>
        </is>
      </c>
      <c r="C156" s="7" t="inlineStr">
        <is>
          <t>Armament@PRIMARYELITEUpgrade</t>
        </is>
      </c>
      <c r="L156" s="6" t="n">
        <v>54000</v>
      </c>
      <c r="M156" s="6" t="n">
        <v>50</v>
      </c>
      <c r="N156" s="6" t="n">
        <v>8</v>
      </c>
      <c r="O156" s="6" t="n">
        <v>2</v>
      </c>
      <c r="P156" s="6" t="n">
        <v>10000</v>
      </c>
      <c r="Q156" s="6" t="n">
        <v>0.75</v>
      </c>
      <c r="R156">
        <f>M156+IF(MAX(N156-1,0)&gt;0,IF(ISBLANK(O156),5*MAX(N156-1,0),IF(ISNUMBER(O156),O156*MAX(N156-1,0),SUM(IFERROR(VALUE(TEXTSPLIT(O156,",")),0)))),0)</f>
        <v/>
      </c>
      <c r="S156">
        <f>IFERROR(L156*MAX(N156,1)/R156*IF(ISBLANK(K152),1,K152),0)</f>
        <v/>
      </c>
      <c r="AB156" s="7" t="inlineStr">
        <is>
          <t>^Warhead_MissileAP_Light</t>
        </is>
      </c>
    </row>
    <row r="157">
      <c r="A157" t="inlineStr">
        <is>
          <t>redalert2</t>
        </is>
      </c>
      <c r="B157" t="inlineStr">
        <is>
          <t>ra2_soviets_migbomber</t>
        </is>
      </c>
      <c r="C157" t="inlineStr">
        <is>
          <t>MiG Bomber</t>
        </is>
      </c>
      <c r="D157" s="6" t="inlineStr">
        <is>
          <t>Bomber</t>
        </is>
      </c>
      <c r="E157" s="6" t="n">
        <v>57500</v>
      </c>
      <c r="F157" s="6" t="n">
        <v>215</v>
      </c>
      <c r="G157" t="inlineStr">
        <is>
          <t>Bomber</t>
        </is>
      </c>
      <c r="H157" s="6" t="n">
        <v>0.5556</v>
      </c>
      <c r="I157" s="6" t="n">
        <v>1</v>
      </c>
      <c r="J157" s="6" t="n">
        <v>1</v>
      </c>
      <c r="P157">
        <f>MAX(P158,P159,P160,P161,P162,P163,P164,P165)</f>
        <v/>
      </c>
      <c r="S157">
        <f>S158+S159+S160+S161+S162+S163+S164+S165</f>
        <v/>
      </c>
      <c r="T157">
        <f>(E157/100000+F157/100+(P157/1000)*J157/5+S157/200)*200*I157*H157</f>
        <v/>
      </c>
      <c r="U157">
        <f>((E157*F157/25000)+((P157/1000)*J157*S157/2.5))*I157*H157</f>
        <v/>
      </c>
      <c r="V157">
        <f>(E157*F157*(P157/1000)*J157*S157*I157*H157)/12500000</f>
        <v/>
      </c>
      <c r="W157">
        <f>(T157+U157+V157)/3</f>
        <v/>
      </c>
      <c r="X157" s="6" t="n">
        <v>2000</v>
      </c>
      <c r="Y157">
        <f>IFERROR(W157-X157,"")</f>
        <v/>
      </c>
      <c r="Z157">
        <f>IFERROR(ABS(Y157)/MAX(X157,1),"")</f>
        <v/>
      </c>
      <c r="AA157">
        <f>IFERROR((X157-(((E157/100000+F157/100+S157/200)*200*I157*H157)+((E157*F157/25000)*I157*H157))/3)/(((J157/5)*200*I157*H157)+((J157*S157/2.5)*I157*H157)+((E157*F157*J157*S157*I157*H157)/12500000))/3*1000,"")</f>
        <v/>
      </c>
    </row>
    <row r="158">
      <c r="B158" s="7" t="inlineStr">
        <is>
          <t xml:space="preserve">  ↳ MigMissiles</t>
        </is>
      </c>
      <c r="C158" s="7" t="inlineStr">
        <is>
          <t>Armament</t>
        </is>
      </c>
      <c r="L158" s="6" t="n">
        <v>32000</v>
      </c>
      <c r="M158" s="6" t="n">
        <v>50</v>
      </c>
      <c r="N158" s="6" t="n">
        <v>4</v>
      </c>
      <c r="O158" s="6" t="n">
        <v>2</v>
      </c>
      <c r="P158" s="6" t="n">
        <v>7600</v>
      </c>
      <c r="Q158" s="6" t="n">
        <v>1</v>
      </c>
      <c r="R158">
        <f>M158+IF(MAX(N158-1,0)&gt;0,IF(ISBLANK(O158),5*MAX(N158-1,0),IF(ISNUMBER(O158),O158*MAX(N158-1,0),SUM(IFERROR(VALUE(TEXTSPLIT(O158,",")),0)))),0)</f>
        <v/>
      </c>
      <c r="S158">
        <f>IFERROR(L158*MAX(N158,1)/R158*IF(ISBLANK(K157),1,K157),0)</f>
        <v/>
      </c>
      <c r="AB158" s="7" t="inlineStr">
        <is>
          <t>^Warhead_MissileAP_Medium</t>
        </is>
      </c>
    </row>
    <row r="159">
      <c r="B159" s="7" t="inlineStr">
        <is>
          <t xml:space="preserve">  ↳ MigMissiles_rad</t>
        </is>
      </c>
      <c r="C159" s="7" t="inlineStr">
        <is>
          <t>Armament@rad</t>
        </is>
      </c>
      <c r="L159" s="6" t="n">
        <v>36000</v>
      </c>
      <c r="M159" s="6" t="n">
        <v>50</v>
      </c>
      <c r="N159" s="6" t="n">
        <v>4</v>
      </c>
      <c r="O159" s="6" t="n">
        <v>2</v>
      </c>
      <c r="P159" s="6" t="n">
        <v>7600</v>
      </c>
      <c r="Q159" s="6" t="n">
        <v>1</v>
      </c>
      <c r="R159">
        <f>M159+IF(MAX(N159-1,0)&gt;0,IF(ISBLANK(O159),5*MAX(N159-1,0),IF(ISNUMBER(O159),O159*MAX(N159-1,0),SUM(IFERROR(VALUE(TEXTSPLIT(O159,",")),0)))),0)</f>
        <v/>
      </c>
      <c r="S159">
        <f>IFERROR(L159*MAX(N159,1)/R159*IF(ISBLANK(K157),1,K157),0)</f>
        <v/>
      </c>
      <c r="AB159" s="7" t="inlineStr">
        <is>
          <t>^Warhead_Chemical_Medium, ^Warhead_MissileAP_Medium</t>
        </is>
      </c>
    </row>
    <row r="160">
      <c r="B160" s="7" t="inlineStr">
        <is>
          <t xml:space="preserve">  ↳ MigMissiles_fire</t>
        </is>
      </c>
      <c r="C160" s="7" t="inlineStr">
        <is>
          <t>Armament@fire</t>
        </is>
      </c>
      <c r="L160" s="6" t="n">
        <v>32000</v>
      </c>
      <c r="M160" s="6" t="n">
        <v>50</v>
      </c>
      <c r="N160" s="6" t="n">
        <v>4</v>
      </c>
      <c r="O160" s="6" t="n">
        <v>2</v>
      </c>
      <c r="P160" s="6" t="n">
        <v>7600</v>
      </c>
      <c r="Q160" s="6" t="n">
        <v>1</v>
      </c>
      <c r="R160">
        <f>M160+IF(MAX(N160-1,0)&gt;0,IF(ISBLANK(O160),5*MAX(N160-1,0),IF(ISNUMBER(O160),O160*MAX(N160-1,0),SUM(IFERROR(VALUE(TEXTSPLIT(O160,",")),0)))),0)</f>
        <v/>
      </c>
      <c r="S160">
        <f>IFERROR(L160*MAX(N160,1)/R160*IF(ISBLANK(K157),1,K157),0)</f>
        <v/>
      </c>
      <c r="AB160" s="7" t="inlineStr">
        <is>
          <t>^Warhead_MissileAP_Medium</t>
        </is>
      </c>
    </row>
    <row r="161">
      <c r="B161" s="7" t="inlineStr">
        <is>
          <t xml:space="preserve">  ↳ MigMissiles_tesla</t>
        </is>
      </c>
      <c r="C161" s="7" t="inlineStr">
        <is>
          <t>Armament@tesla</t>
        </is>
      </c>
      <c r="L161" s="6" t="n">
        <v>32000</v>
      </c>
      <c r="M161" s="6" t="n">
        <v>50</v>
      </c>
      <c r="N161" s="6" t="n">
        <v>4</v>
      </c>
      <c r="O161" s="6" t="n">
        <v>2</v>
      </c>
      <c r="P161" s="6" t="n">
        <v>7600</v>
      </c>
      <c r="Q161" s="6" t="n">
        <v>1</v>
      </c>
      <c r="R161">
        <f>M161+IF(MAX(N161-1,0)&gt;0,IF(ISBLANK(O161),5*MAX(N161-1,0),IF(ISNUMBER(O161),O161*MAX(N161-1,0),SUM(IFERROR(VALUE(TEXTSPLIT(O161,",")),0)))),0)</f>
        <v/>
      </c>
      <c r="S161">
        <f>IFERROR(L161*MAX(N161,1)/R161*IF(ISBLANK(K157),1,K157),0)</f>
        <v/>
      </c>
      <c r="AB161" s="7" t="inlineStr">
        <is>
          <t>^Warhead_MissileAP_Medium</t>
        </is>
      </c>
    </row>
    <row r="162">
      <c r="B162" s="7" t="inlineStr">
        <is>
          <t xml:space="preserve">  ↳ MigMissiles_elite</t>
        </is>
      </c>
      <c r="C162" s="7" t="inlineStr">
        <is>
          <t>Armament@PRIMARYELITE</t>
        </is>
      </c>
      <c r="L162" s="6" t="n">
        <v>32000</v>
      </c>
      <c r="M162" s="6" t="n">
        <v>50</v>
      </c>
      <c r="N162" s="6" t="n">
        <v>8</v>
      </c>
      <c r="O162" s="6" t="n">
        <v>2</v>
      </c>
      <c r="P162" s="6" t="n">
        <v>8600</v>
      </c>
      <c r="Q162" s="6" t="n">
        <v>1</v>
      </c>
      <c r="R162">
        <f>M162+IF(MAX(N162-1,0)&gt;0,IF(ISBLANK(O162),5*MAX(N162-1,0),IF(ISNUMBER(O162),O162*MAX(N162-1,0),SUM(IFERROR(VALUE(TEXTSPLIT(O162,",")),0)))),0)</f>
        <v/>
      </c>
      <c r="S162">
        <f>IFERROR(L162*MAX(N162,1)/R162*IF(ISBLANK(K157),1,K157),0)</f>
        <v/>
      </c>
      <c r="AB162" s="7" t="inlineStr">
        <is>
          <t>^Warhead_MissileAP_Medium</t>
        </is>
      </c>
    </row>
    <row r="163">
      <c r="B163" s="7" t="inlineStr">
        <is>
          <t xml:space="preserve">  ↳ MigMissiles_tesla_elite</t>
        </is>
      </c>
      <c r="C163" s="7" t="inlineStr">
        <is>
          <t>Armament@PRIMARYELITERad</t>
        </is>
      </c>
      <c r="L163" s="6" t="n">
        <v>32000</v>
      </c>
      <c r="M163" s="6" t="n">
        <v>50</v>
      </c>
      <c r="N163" s="6" t="n">
        <v>8</v>
      </c>
      <c r="O163" s="6" t="n">
        <v>2</v>
      </c>
      <c r="P163" s="6" t="n">
        <v>8600</v>
      </c>
      <c r="Q163" s="6" t="n">
        <v>1</v>
      </c>
      <c r="R163">
        <f>M163+IF(MAX(N163-1,0)&gt;0,IF(ISBLANK(O163),5*MAX(N163-1,0),IF(ISNUMBER(O163),O163*MAX(N163-1,0),SUM(IFERROR(VALUE(TEXTSPLIT(O163,",")),0)))),0)</f>
        <v/>
      </c>
      <c r="S163">
        <f>IFERROR(L163*MAX(N163,1)/R163*IF(ISBLANK(K157),1,K157),0)</f>
        <v/>
      </c>
      <c r="AB163" s="7" t="inlineStr">
        <is>
          <t>^Warhead_MissileAP_Medium</t>
        </is>
      </c>
    </row>
    <row r="164">
      <c r="B164" s="7" t="inlineStr">
        <is>
          <t xml:space="preserve">  ↳ MigMissiles_AA</t>
        </is>
      </c>
      <c r="C164" s="7" t="inlineStr">
        <is>
          <t>Armament@AA</t>
        </is>
      </c>
      <c r="L164" s="6" t="n">
        <v>32000</v>
      </c>
      <c r="M164" s="6" t="n">
        <v>50</v>
      </c>
      <c r="N164" s="6" t="n">
        <v>4</v>
      </c>
      <c r="O164" s="6" t="n">
        <v>2</v>
      </c>
      <c r="P164" s="6" t="n">
        <v>7600</v>
      </c>
      <c r="Q164" s="6" t="n">
        <v>1</v>
      </c>
      <c r="R164">
        <f>M164+IF(MAX(N164-1,0)&gt;0,IF(ISBLANK(O164),5*MAX(N164-1,0),IF(ISNUMBER(O164),O164*MAX(N164-1,0),SUM(IFERROR(VALUE(TEXTSPLIT(O164,",")),0)))),0)</f>
        <v/>
      </c>
      <c r="S164">
        <f>IFERROR(L164*MAX(N164,1)/R164*IF(ISBLANK(K157),1,K157),0)</f>
        <v/>
      </c>
      <c r="AB164" s="7" t="inlineStr">
        <is>
          <t>^Warhead_MissileAP_Medium</t>
        </is>
      </c>
    </row>
    <row r="165">
      <c r="B165" s="7" t="inlineStr">
        <is>
          <t xml:space="preserve">  ↳ MigMissiles_AA_elite</t>
        </is>
      </c>
      <c r="C165" s="7" t="inlineStr">
        <is>
          <t>Armament@AAELITE</t>
        </is>
      </c>
      <c r="L165" s="6" t="n">
        <v>32000</v>
      </c>
      <c r="M165" s="6" t="n">
        <v>50</v>
      </c>
      <c r="N165" s="6" t="n">
        <v>8</v>
      </c>
      <c r="O165" s="6" t="n">
        <v>2</v>
      </c>
      <c r="P165" s="6" t="n">
        <v>8600</v>
      </c>
      <c r="Q165" s="6" t="n">
        <v>1</v>
      </c>
      <c r="R165">
        <f>M165+IF(MAX(N165-1,0)&gt;0,IF(ISBLANK(O165),5*MAX(N165-1,0),IF(ISNUMBER(O165),O165*MAX(N165-1,0),SUM(IFERROR(VALUE(TEXTSPLIT(O165,",")),0)))),0)</f>
        <v/>
      </c>
      <c r="S165">
        <f>IFERROR(L165*MAX(N165,1)/R165*IF(ISBLANK(K157),1,K157),0)</f>
        <v/>
      </c>
      <c r="AB165" s="7" t="inlineStr">
        <is>
          <t>^Warhead_MissileAP_Medium</t>
        </is>
      </c>
    </row>
    <row r="166">
      <c r="A166" t="inlineStr">
        <is>
          <t>redalert2mod</t>
        </is>
      </c>
      <c r="B166" t="inlineStr">
        <is>
          <t>asianalliance_phoenix</t>
        </is>
      </c>
      <c r="C166" t="inlineStr">
        <is>
          <t>Phoenix</t>
        </is>
      </c>
      <c r="D166" s="6" t="inlineStr">
        <is>
          <t>Bomber</t>
        </is>
      </c>
      <c r="E166" s="6" t="n">
        <v>90000</v>
      </c>
      <c r="F166" s="6" t="n">
        <v>180</v>
      </c>
      <c r="G166" t="inlineStr">
        <is>
          <t>Bomber</t>
        </is>
      </c>
      <c r="H166" s="6" t="n">
        <v>0.5</v>
      </c>
      <c r="I166" s="6" t="n">
        <v>1</v>
      </c>
      <c r="J166" s="6" t="n">
        <v>1</v>
      </c>
      <c r="P166">
        <f>MAX(P167,P168)</f>
        <v/>
      </c>
      <c r="S166">
        <f>S167+S168</f>
        <v/>
      </c>
      <c r="T166">
        <f>(E166/100000+F166/100+(P166/1000)*J166/5+S166/200)*200*I166*H166</f>
        <v/>
      </c>
      <c r="U166">
        <f>((E166*F166/25000)+((P166/1000)*J166*S166/2.5))*I166*H166</f>
        <v/>
      </c>
      <c r="V166">
        <f>(E166*F166*(P166/1000)*J166*S166*I166*H166)/12500000</f>
        <v/>
      </c>
      <c r="W166">
        <f>(T166+U166+V166)/3</f>
        <v/>
      </c>
      <c r="X166" s="6" t="n">
        <v>1800</v>
      </c>
      <c r="Y166">
        <f>IFERROR(W166-X166,"")</f>
        <v/>
      </c>
      <c r="Z166">
        <f>IFERROR(ABS(Y166)/MAX(X166,1),"")</f>
        <v/>
      </c>
      <c r="AA166">
        <f>IFERROR((X166-(((E166/100000+F166/100+S166/200)*200*I166*H166)+((E166*F166/25000)*I166*H166))/3)/(((J166/5)*200*I166*H166)+((J166*S166/2.5)*I166*H166)+((E166*F166*J166*S166*I166*H166)/12500000))/3*1000,"")</f>
        <v/>
      </c>
    </row>
    <row r="167">
      <c r="B167" s="7" t="inlineStr">
        <is>
          <t xml:space="preserve">  ↳ AsianPhoenixRocket</t>
        </is>
      </c>
      <c r="C167" s="7" t="inlineStr">
        <is>
          <t>Armament@PRIMARY</t>
        </is>
      </c>
      <c r="L167" s="6" t="n">
        <v>60000</v>
      </c>
      <c r="M167" s="6" t="n">
        <v>65</v>
      </c>
      <c r="N167" s="6" t="n">
        <v>2</v>
      </c>
      <c r="O167" s="6" t="n">
        <v>2</v>
      </c>
      <c r="P167" s="6" t="n">
        <v>6500</v>
      </c>
      <c r="Q167" s="6" t="n">
        <v>1</v>
      </c>
      <c r="R167">
        <f>M167+IF(MAX(N167-1,0)&gt;0,IF(ISBLANK(O167),5*MAX(N167-1,0),IF(ISNUMBER(O167),O167*MAX(N167-1,0),SUM(IFERROR(VALUE(TEXTSPLIT(O167,",")),0)))),0)</f>
        <v/>
      </c>
      <c r="S167">
        <f>IFERROR(L167*MAX(N167,1)/R167*IF(ISBLANK(K166),1,K166),0)</f>
        <v/>
      </c>
      <c r="AB167" s="7" t="inlineStr">
        <is>
          <t>^Warhead_Flame_Medium, ^Warhead_Demolition_Light, ^Warhead_MissileAP_Heavy</t>
        </is>
      </c>
    </row>
    <row r="168">
      <c r="B168" s="7" t="inlineStr">
        <is>
          <t xml:space="preserve">  ↳ AsianPhoenixRocket_elite</t>
        </is>
      </c>
      <c r="C168" s="7" t="inlineStr">
        <is>
          <t>Armament@PRIMARYELITE</t>
        </is>
      </c>
      <c r="L168" s="6" t="n">
        <v>60000</v>
      </c>
      <c r="M168" s="6" t="n">
        <v>65</v>
      </c>
      <c r="N168" s="6" t="n">
        <v>4</v>
      </c>
      <c r="O168" s="6" t="n">
        <v>2</v>
      </c>
      <c r="P168" s="6" t="n">
        <v>7500</v>
      </c>
      <c r="Q168" s="6" t="n">
        <v>1</v>
      </c>
      <c r="R168">
        <f>M168+IF(MAX(N168-1,0)&gt;0,IF(ISBLANK(O168),5*MAX(N168-1,0),IF(ISNUMBER(O168),O168*MAX(N168-1,0),SUM(IFERROR(VALUE(TEXTSPLIT(O168,",")),0)))),0)</f>
        <v/>
      </c>
      <c r="S168">
        <f>IFERROR(L168*MAX(N168,1)/R168*IF(ISBLANK(K166),1,K166),0)</f>
        <v/>
      </c>
      <c r="AB168" s="7" t="inlineStr">
        <is>
          <t>^Warhead_Flame_Medium, ^Warhead_Demolition_Light, ^Warhead_MissileAP_Heavy</t>
        </is>
      </c>
    </row>
    <row r="169">
      <c r="A169" t="inlineStr">
        <is>
          <t>redalert2mod</t>
        </is>
      </c>
      <c r="B169" t="inlineStr">
        <is>
          <t>kami.asian</t>
        </is>
      </c>
      <c r="C169" t="inlineStr">
        <is>
          <t>Kamikaze</t>
        </is>
      </c>
      <c r="D169" s="6" t="inlineStr">
        <is>
          <t>Bomber</t>
        </is>
      </c>
      <c r="E169" s="6" t="n">
        <v>7500</v>
      </c>
      <c r="F169" s="6" t="n">
        <v>160</v>
      </c>
      <c r="G169" t="inlineStr">
        <is>
          <t>Bomber</t>
        </is>
      </c>
      <c r="H169" s="6" t="n">
        <v>1</v>
      </c>
      <c r="I169" s="6" t="n">
        <v>1</v>
      </c>
      <c r="J169" s="6" t="n">
        <v>1</v>
      </c>
      <c r="X169" s="6" t="n">
        <v>90</v>
      </c>
    </row>
    <row r="170">
      <c r="B170" s="7" t="inlineStr">
        <is>
          <t xml:space="preserve">  ↳ AsianKamikazeImpactTargeting</t>
        </is>
      </c>
      <c r="C170" s="7" t="inlineStr">
        <is>
          <t>Armament@PRIMARY</t>
        </is>
      </c>
      <c r="M170" s="6" t="n">
        <v>25</v>
      </c>
      <c r="N170" s="6" t="n">
        <v>1</v>
      </c>
      <c r="O170" s="6" t="n"/>
      <c r="P170" s="6" t="n">
        <v>7500</v>
      </c>
      <c r="Q170" s="6" t="n">
        <v>1</v>
      </c>
      <c r="R170">
        <f>M170+IF(MAX(N170-1,0)&gt;0,IF(ISBLANK(O170),5*MAX(N170-1,0),IF(ISNUMBER(O170),O170*MAX(N170-1,0),SUM(IFERROR(VALUE(TEXTSPLIT(O170,",")),0)))),0)</f>
        <v/>
      </c>
      <c r="S170">
        <f>IFERROR(L170*MAX(N170,1)/R170*IF(ISBLANK(K169),1,K169),0)</f>
        <v/>
      </c>
      <c r="AB170" s="7" t="inlineStr"/>
    </row>
    <row r="171">
      <c r="A171" t="inlineStr">
        <is>
          <t>redalert2mod</t>
        </is>
      </c>
      <c r="B171" t="inlineStr">
        <is>
          <t>kami_asdf.asian</t>
        </is>
      </c>
      <c r="C171" t="inlineStr">
        <is>
          <t>Airstrike Kamikaze</t>
        </is>
      </c>
      <c r="D171" s="6" t="inlineStr">
        <is>
          <t>Bomber</t>
        </is>
      </c>
      <c r="E171" s="6" t="n">
        <v>7500</v>
      </c>
      <c r="F171" s="6" t="n">
        <v>160</v>
      </c>
      <c r="G171" t="inlineStr">
        <is>
          <t>Bomber</t>
        </is>
      </c>
      <c r="H171" s="6" t="n">
        <v>1</v>
      </c>
      <c r="I171" s="6" t="n">
        <v>1</v>
      </c>
      <c r="J171" s="6" t="n">
        <v>1</v>
      </c>
      <c r="X171" s="6" t="n">
        <v>50</v>
      </c>
    </row>
    <row r="172">
      <c r="B172" s="7" t="inlineStr">
        <is>
          <t xml:space="preserve">  ↳ AsianKamikazeImpactTargeting</t>
        </is>
      </c>
      <c r="C172" s="7" t="inlineStr">
        <is>
          <t>Armament@PRIMARY</t>
        </is>
      </c>
      <c r="M172" s="6" t="n">
        <v>25</v>
      </c>
      <c r="N172" s="6" t="n">
        <v>1</v>
      </c>
      <c r="O172" s="6" t="n"/>
      <c r="P172" s="6" t="n">
        <v>7500</v>
      </c>
      <c r="Q172" s="6" t="n">
        <v>1</v>
      </c>
      <c r="R172">
        <f>M172+IF(MAX(N172-1,0)&gt;0,IF(ISBLANK(O172),5*MAX(N172-1,0),IF(ISNUMBER(O172),O172*MAX(N172-1,0),SUM(IFERROR(VALUE(TEXTSPLIT(O172,",")),0)))),0)</f>
        <v/>
      </c>
      <c r="S172">
        <f>IFERROR(L172*MAX(N172,1)/R172*IF(ISBLANK(K171),1,K171),0)</f>
        <v/>
      </c>
      <c r="AB172" s="7" t="inlineStr"/>
    </row>
    <row r="173">
      <c r="A173" t="inlineStr">
        <is>
          <t>redalert2mod</t>
        </is>
      </c>
      <c r="B173" t="inlineStr">
        <is>
          <t>kami_chemical.asian</t>
        </is>
      </c>
      <c r="C173" t="inlineStr">
        <is>
          <t>Chemical Attack Plane</t>
        </is>
      </c>
      <c r="D173" s="6" t="inlineStr">
        <is>
          <t>Bomber</t>
        </is>
      </c>
      <c r="E173" s="6" t="n">
        <v>15000</v>
      </c>
      <c r="F173" s="6" t="n">
        <v>160</v>
      </c>
      <c r="G173" t="inlineStr">
        <is>
          <t>Bomber</t>
        </is>
      </c>
      <c r="H173" s="6" t="n">
        <v>1</v>
      </c>
      <c r="I173" s="6" t="n">
        <v>1</v>
      </c>
      <c r="J173" s="6" t="n">
        <v>1</v>
      </c>
      <c r="P173">
        <f>MAX(P174,P175)</f>
        <v/>
      </c>
      <c r="S173">
        <f>S174+S175</f>
        <v/>
      </c>
      <c r="T173">
        <f>(E173/100000+F173/100+(P173/1000)*J173/5+S173/200)*200*I173*H173</f>
        <v/>
      </c>
      <c r="U173">
        <f>((E173*F173/25000)+((P173/1000)*J173*S173/2.5))*I173*H173</f>
        <v/>
      </c>
      <c r="V173">
        <f>(E173*F173*(P173/1000)*J173*S173*I173*H173)/12500000</f>
        <v/>
      </c>
      <c r="W173">
        <f>(T173+U173+V173)/3</f>
        <v/>
      </c>
      <c r="X173" s="6" t="n">
        <v>225</v>
      </c>
      <c r="Y173">
        <f>IFERROR(W173-X173,"")</f>
        <v/>
      </c>
      <c r="Z173">
        <f>IFERROR(ABS(Y173)/MAX(X173,1),"")</f>
        <v/>
      </c>
      <c r="AA173">
        <f>IFERROR((X173-(((E173/100000+F173/100+S173/200)*200*I173*H173)+((E173*F173/25000)*I173*H173))/3)/(((J173/5)*200*I173*H173)+((J173*S173/2.5)*I173*H173)+((E173*F173*J173*S173*I173*H173)/12500000))/3*1000,"")</f>
        <v/>
      </c>
    </row>
    <row r="174">
      <c r="B174" s="7" t="inlineStr">
        <is>
          <t xml:space="preserve">  ↳ AsianKamikazeChaingun</t>
        </is>
      </c>
      <c r="C174" s="7" t="inlineStr">
        <is>
          <t>Armament@PRIMARY</t>
        </is>
      </c>
      <c r="L174" s="6" t="n">
        <v>4000</v>
      </c>
      <c r="M174" s="6" t="n">
        <v>12</v>
      </c>
      <c r="N174" s="6" t="n">
        <v>3</v>
      </c>
      <c r="O174" s="6" t="n">
        <v>2</v>
      </c>
      <c r="P174" s="6" t="n">
        <v>7000</v>
      </c>
      <c r="Q174" s="6" t="n">
        <v>0.875</v>
      </c>
      <c r="R174">
        <f>M174+IF(MAX(N174-1,0)&gt;0,IF(ISBLANK(O174),5*MAX(N174-1,0),IF(ISNUMBER(O174),O174*MAX(N174-1,0),SUM(IFERROR(VALUE(TEXTSPLIT(O174,",")),0)))),0)</f>
        <v/>
      </c>
      <c r="S174">
        <f>IFERROR(L174*MAX(N174,1)/R174*IF(ISBLANK(K173),1,K173),0)</f>
        <v/>
      </c>
      <c r="AB174" s="7" t="inlineStr">
        <is>
          <t>^Warhead_Bullet_Light, ^Warhead_Bullet_Medium</t>
        </is>
      </c>
    </row>
    <row r="175">
      <c r="B175" s="7" t="inlineStr">
        <is>
          <t xml:space="preserve">  ↳ AsianChemicalBombs</t>
        </is>
      </c>
      <c r="C175" s="7" t="inlineStr">
        <is>
          <t>Armament@Secondary</t>
        </is>
      </c>
      <c r="L175" s="6" t="n">
        <v>4000</v>
      </c>
      <c r="M175" s="6" t="n">
        <v>8</v>
      </c>
      <c r="N175" s="6" t="n">
        <v>1</v>
      </c>
      <c r="O175" s="6" t="n"/>
      <c r="P175" s="6" t="n">
        <v>3000</v>
      </c>
      <c r="Q175" s="6" t="n">
        <v>1.125</v>
      </c>
      <c r="R175">
        <f>M175+IF(MAX(N175-1,0)&gt;0,IF(ISBLANK(O175),5*MAX(N175-1,0),IF(ISNUMBER(O175),O175*MAX(N175-1,0),SUM(IFERROR(VALUE(TEXTSPLIT(O175,",")),0)))),0)</f>
        <v/>
      </c>
      <c r="S175">
        <f>IFERROR(L175*MAX(N175,1)/R175*IF(ISBLANK(K173),1,K173),0)</f>
        <v/>
      </c>
      <c r="AB175" s="7" t="inlineStr">
        <is>
          <t>^Warhead_Chemical_Heavy, ^Warhead_CannonHE_Medium</t>
        </is>
      </c>
    </row>
    <row r="176">
      <c r="A176" t="inlineStr">
        <is>
          <t>redalert2mod</t>
        </is>
      </c>
      <c r="B176" t="inlineStr">
        <is>
          <t>cruiser_f.steel</t>
        </is>
      </c>
      <c r="C176" t="inlineStr">
        <is>
          <t>Cruiser Fighter</t>
        </is>
      </c>
      <c r="D176" s="6" t="inlineStr">
        <is>
          <t>Bomber</t>
        </is>
      </c>
      <c r="E176" s="6" t="n">
        <v>37500</v>
      </c>
      <c r="F176" s="6" t="n">
        <v>225</v>
      </c>
      <c r="G176" t="inlineStr">
        <is>
          <t>Bomber</t>
        </is>
      </c>
      <c r="H176" s="6" t="n">
        <v>1</v>
      </c>
      <c r="I176" s="6" t="n">
        <v>1</v>
      </c>
      <c r="J176" s="6" t="n">
        <v>1</v>
      </c>
      <c r="K176" t="n">
        <v>0.001</v>
      </c>
      <c r="P176">
        <f>MAX(P177,P178)</f>
        <v/>
      </c>
      <c r="S176">
        <f>S177+S178</f>
        <v/>
      </c>
      <c r="T176">
        <f>(E176/100000+F176/100+(P176/1000)*J176/5+S176/200)*200*I176*H176</f>
        <v/>
      </c>
      <c r="U176">
        <f>((E176*F176/25000)+((P176/1000)*J176*S176/2.5))*I176*H176</f>
        <v/>
      </c>
      <c r="V176">
        <f>(E176*F176*(P176/1000)*J176*S176*I176*H176)/12500000</f>
        <v/>
      </c>
      <c r="W176">
        <f>(T176+U176+V176)/3</f>
        <v/>
      </c>
      <c r="X176" s="6" t="n">
        <v>125</v>
      </c>
      <c r="Y176">
        <f>IFERROR(W176-X176,"")</f>
        <v/>
      </c>
      <c r="Z176">
        <f>IFERROR(ABS(Y176)/MAX(X176,1),"")</f>
        <v/>
      </c>
      <c r="AA176">
        <f>IFERROR((X176-(((E176/100000+F176/100+S176/200)*200*I176*H176)+((E176*F176/25000)*I176*H176))/3)/(((J176/5)*200*I176*H176)+((J176*S176/2.5)*I176*H176)+((E176*F176*J176*S176*I176*H176)/12500000))/3*1000,"")</f>
        <v/>
      </c>
    </row>
    <row r="177">
      <c r="B177" s="7" t="inlineStr">
        <is>
          <t xml:space="preserve">  ↳ SteelFighterRailgun</t>
        </is>
      </c>
      <c r="C177" s="7" t="inlineStr">
        <is>
          <t>Armament@PRIMARY</t>
        </is>
      </c>
      <c r="L177" s="6" t="n">
        <v>10000</v>
      </c>
      <c r="M177" s="6" t="n">
        <v>80</v>
      </c>
      <c r="N177" s="6" t="n">
        <v>2</v>
      </c>
      <c r="O177" s="6" t="n">
        <v>0</v>
      </c>
      <c r="P177" s="6" t="n">
        <v>7000</v>
      </c>
      <c r="Q177" s="6" t="n">
        <v>1</v>
      </c>
      <c r="R177">
        <f>M177+IF(MAX(N177-1,0)&gt;0,IF(ISBLANK(O177),5*MAX(N177-1,0),IF(ISNUMBER(O177),O177*MAX(N177-1,0),SUM(IFERROR(VALUE(TEXTSPLIT(O177,",")),0)))),0)</f>
        <v/>
      </c>
      <c r="S177">
        <f>IFERROR(L177*MAX(N177,1)/R177*IF(ISBLANK(K176),1,K176),0)</f>
        <v/>
      </c>
      <c r="AB177" s="7" t="inlineStr">
        <is>
          <t>^Warhead_Railgun_Heavy, ^Warhead_CannonHE_Medium, ^Warhead_MissileAP_Light</t>
        </is>
      </c>
    </row>
    <row r="178">
      <c r="B178" s="7" t="inlineStr">
        <is>
          <t xml:space="preserve">  ↳ SteelMakoGun_EMP</t>
        </is>
      </c>
      <c r="C178" s="7" t="inlineStr">
        <is>
          <t>Armament@Secondary</t>
        </is>
      </c>
      <c r="L178" s="6" t="n">
        <v>12000</v>
      </c>
      <c r="M178" s="6" t="n">
        <v>25</v>
      </c>
      <c r="N178" s="6" t="n">
        <v>1</v>
      </c>
      <c r="O178" s="6" t="n"/>
      <c r="P178" s="6" t="n">
        <v>6050</v>
      </c>
      <c r="Q178" s="6" t="n">
        <v>1</v>
      </c>
      <c r="R178">
        <f>M178+IF(MAX(N178-1,0)&gt;0,IF(ISBLANK(O178),5*MAX(N178-1,0),IF(ISNUMBER(O178),O178*MAX(N178-1,0),SUM(IFERROR(VALUE(TEXTSPLIT(O178,",")),0)))),0)</f>
        <v/>
      </c>
      <c r="S178">
        <f>IFERROR(L178*MAX(N178,1)/R178*IF(ISBLANK(K176),1,K176),0)</f>
        <v/>
      </c>
      <c r="AB178" s="7" t="inlineStr">
        <is>
          <t>^Warhead_Demolition_Light, ^Warhead_Railgun_Heavy, ^Warhead_CannonHE_Medium</t>
        </is>
      </c>
    </row>
    <row r="179">
      <c r="A179" t="inlineStr">
        <is>
          <t>redalert2mod</t>
        </is>
      </c>
      <c r="B179" t="inlineStr">
        <is>
          <t>latinsyndicate_mig21</t>
        </is>
      </c>
      <c r="C179" t="inlineStr">
        <is>
          <t>MiG-21</t>
        </is>
      </c>
      <c r="D179" s="6" t="inlineStr">
        <is>
          <t>Bomber</t>
        </is>
      </c>
      <c r="E179" s="6" t="n">
        <v>50000</v>
      </c>
      <c r="F179" s="6" t="n">
        <v>190</v>
      </c>
      <c r="G179" t="inlineStr">
        <is>
          <t>Bomber</t>
        </is>
      </c>
      <c r="H179" s="6" t="n">
        <v>0.75</v>
      </c>
      <c r="I179" s="6" t="n">
        <v>1</v>
      </c>
      <c r="J179" s="6" t="n">
        <v>1</v>
      </c>
      <c r="P179">
        <f>MAX(P180,P181,P182,P183)</f>
        <v/>
      </c>
      <c r="S179">
        <f>S180+S181+S182+S183</f>
        <v/>
      </c>
      <c r="T179">
        <f>(E179/100000+F179/100+(P179/1000)*J179/5+S179/200)*200*I179*H179</f>
        <v/>
      </c>
      <c r="U179">
        <f>((E179*F179/25000)+((P179/1000)*J179*S179/2.5))*I179*H179</f>
        <v/>
      </c>
      <c r="V179">
        <f>(E179*F179*(P179/1000)*J179*S179*I179*H179)/12500000</f>
        <v/>
      </c>
      <c r="W179">
        <f>(T179+U179+V179)/3</f>
        <v/>
      </c>
      <c r="X179" s="6" t="n">
        <v>1000</v>
      </c>
      <c r="Y179">
        <f>IFERROR(W179-X179,"")</f>
        <v/>
      </c>
      <c r="Z179">
        <f>IFERROR(ABS(Y179)/MAX(X179,1),"")</f>
        <v/>
      </c>
      <c r="AA179">
        <f>IFERROR((X179-(((E179/100000+F179/100+S179/200)*200*I179*H179)+((E179*F179/25000)*I179*H179))/3)/(((J179/5)*200*I179*H179)+((J179*S179/2.5)*I179*H179)+((E179*F179*J179*S179*I179*H179)/12500000))/3*1000,"")</f>
        <v/>
      </c>
    </row>
    <row r="180">
      <c r="B180" s="7" t="inlineStr">
        <is>
          <t xml:space="preserve">  ↳ MigMissiles</t>
        </is>
      </c>
      <c r="C180" s="7" t="inlineStr">
        <is>
          <t>Armament</t>
        </is>
      </c>
      <c r="L180" s="6" t="n">
        <v>32000</v>
      </c>
      <c r="M180" s="6" t="n">
        <v>50</v>
      </c>
      <c r="N180" s="6" t="n">
        <v>4</v>
      </c>
      <c r="O180" s="6" t="n">
        <v>2</v>
      </c>
      <c r="P180" s="6" t="n">
        <v>7600</v>
      </c>
      <c r="Q180" s="6" t="n">
        <v>1</v>
      </c>
      <c r="R180">
        <f>M180+IF(MAX(N180-1,0)&gt;0,IF(ISBLANK(O180),5*MAX(N180-1,0),IF(ISNUMBER(O180),O180*MAX(N180-1,0),SUM(IFERROR(VALUE(TEXTSPLIT(O180,",")),0)))),0)</f>
        <v/>
      </c>
      <c r="S180">
        <f>IFERROR(L180*MAX(N180,1)/R180*IF(ISBLANK(K179),1,K179),0)</f>
        <v/>
      </c>
      <c r="AB180" s="7" t="inlineStr">
        <is>
          <t>^Warhead_MissileAP_Medium</t>
        </is>
      </c>
    </row>
    <row r="181">
      <c r="B181" s="7" t="inlineStr">
        <is>
          <t xml:space="preserve">  ↳ MigMissiles_elite</t>
        </is>
      </c>
      <c r="C181" s="7" t="inlineStr">
        <is>
          <t>Armament@PRIMARYELITE</t>
        </is>
      </c>
      <c r="L181" s="6" t="n">
        <v>32000</v>
      </c>
      <c r="M181" s="6" t="n">
        <v>50</v>
      </c>
      <c r="N181" s="6" t="n">
        <v>8</v>
      </c>
      <c r="O181" s="6" t="n">
        <v>2</v>
      </c>
      <c r="P181" s="6" t="n">
        <v>8600</v>
      </c>
      <c r="Q181" s="6" t="n">
        <v>1</v>
      </c>
      <c r="R181">
        <f>M181+IF(MAX(N181-1,0)&gt;0,IF(ISBLANK(O181),5*MAX(N181-1,0),IF(ISNUMBER(O181),O181*MAX(N181-1,0),SUM(IFERROR(VALUE(TEXTSPLIT(O181,",")),0)))),0)</f>
        <v/>
      </c>
      <c r="S181">
        <f>IFERROR(L181*MAX(N181,1)/R181*IF(ISBLANK(K179),1,K179),0)</f>
        <v/>
      </c>
      <c r="AB181" s="7" t="inlineStr">
        <is>
          <t>^Warhead_MissileAP_Medium</t>
        </is>
      </c>
    </row>
    <row r="182">
      <c r="B182" s="7" t="inlineStr">
        <is>
          <t xml:space="preserve">  ↳ MigMissiles_AA</t>
        </is>
      </c>
      <c r="C182" s="7" t="inlineStr">
        <is>
          <t>Armament@AA</t>
        </is>
      </c>
      <c r="L182" s="6" t="n">
        <v>32000</v>
      </c>
      <c r="M182" s="6" t="n">
        <v>50</v>
      </c>
      <c r="N182" s="6" t="n">
        <v>4</v>
      </c>
      <c r="O182" s="6" t="n">
        <v>2</v>
      </c>
      <c r="P182" s="6" t="n">
        <v>7600</v>
      </c>
      <c r="Q182" s="6" t="n">
        <v>1</v>
      </c>
      <c r="R182">
        <f>M182+IF(MAX(N182-1,0)&gt;0,IF(ISBLANK(O182),5*MAX(N182-1,0),IF(ISNUMBER(O182),O182*MAX(N182-1,0),SUM(IFERROR(VALUE(TEXTSPLIT(O182,",")),0)))),0)</f>
        <v/>
      </c>
      <c r="S182">
        <f>IFERROR(L182*MAX(N182,1)/R182*IF(ISBLANK(K179),1,K179),0)</f>
        <v/>
      </c>
      <c r="AB182" s="7" t="inlineStr">
        <is>
          <t>^Warhead_MissileAP_Medium</t>
        </is>
      </c>
    </row>
    <row r="183">
      <c r="B183" s="7" t="inlineStr">
        <is>
          <t xml:space="preserve">  ↳ MigMissiles_AA_elite</t>
        </is>
      </c>
      <c r="C183" s="7" t="inlineStr">
        <is>
          <t>Armament@AAELITE</t>
        </is>
      </c>
      <c r="L183" s="6" t="n">
        <v>32000</v>
      </c>
      <c r="M183" s="6" t="n">
        <v>50</v>
      </c>
      <c r="N183" s="6" t="n">
        <v>8</v>
      </c>
      <c r="O183" s="6" t="n">
        <v>2</v>
      </c>
      <c r="P183" s="6" t="n">
        <v>8600</v>
      </c>
      <c r="Q183" s="6" t="n">
        <v>1</v>
      </c>
      <c r="R183">
        <f>M183+IF(MAX(N183-1,0)&gt;0,IF(ISBLANK(O183),5*MAX(N183-1,0),IF(ISNUMBER(O183),O183*MAX(N183-1,0),SUM(IFERROR(VALUE(TEXTSPLIT(O183,",")),0)))),0)</f>
        <v/>
      </c>
      <c r="S183">
        <f>IFERROR(L183*MAX(N183,1)/R183*IF(ISBLANK(K179),1,K179),0)</f>
        <v/>
      </c>
      <c r="AB183" s="7" t="inlineStr">
        <is>
          <t>^Warhead_MissileAP_Medium</t>
        </is>
      </c>
    </row>
    <row r="184">
      <c r="A184" t="inlineStr">
        <is>
          <t>redalert2mod</t>
        </is>
      </c>
      <c r="B184" t="inlineStr">
        <is>
          <t>landcarr_drone.futu</t>
        </is>
      </c>
      <c r="C184" t="inlineStr">
        <is>
          <t>Hornet</t>
        </is>
      </c>
      <c r="D184" s="6" t="inlineStr">
        <is>
          <t>Bomber</t>
        </is>
      </c>
      <c r="E184" s="6" t="n">
        <v>10000</v>
      </c>
      <c r="F184" s="6" t="n">
        <v>225</v>
      </c>
      <c r="G184" t="inlineStr">
        <is>
          <t>Bomber</t>
        </is>
      </c>
      <c r="H184" s="6" t="n">
        <v>1</v>
      </c>
      <c r="I184" s="6" t="n">
        <v>1</v>
      </c>
      <c r="J184" s="6" t="n">
        <v>1</v>
      </c>
      <c r="K184" t="n">
        <v>0.005</v>
      </c>
      <c r="P184">
        <f>MAX(P185)</f>
        <v/>
      </c>
      <c r="S184">
        <f>S185</f>
        <v/>
      </c>
      <c r="T184">
        <f>(E184/100000+F184/100+(P184/1000)*J184/5+S184/200)*200*I184*H184</f>
        <v/>
      </c>
      <c r="U184">
        <f>((E184*F184/25000)+((P184/1000)*J184*S184/2.5))*I184*H184</f>
        <v/>
      </c>
      <c r="V184">
        <f>(E184*F184*(P184/1000)*J184*S184*I184*H184)/12500000</f>
        <v/>
      </c>
      <c r="W184">
        <f>(T184+U184+V184)/3</f>
        <v/>
      </c>
      <c r="X184" s="6" t="n">
        <v>140</v>
      </c>
      <c r="Y184">
        <f>IFERROR(W184-X184,"")</f>
        <v/>
      </c>
      <c r="Z184">
        <f>IFERROR(ABS(Y184)/MAX(X184,1),"")</f>
        <v/>
      </c>
      <c r="AA184">
        <f>IFERROR((X184-(((E184/100000+F184/100+S184/200)*200*I184*H184)+((E184*F184/25000)*I184*H184))/3)/(((J184/5)*200*I184*H184)+((J184*S184/2.5)*I184*H184)+((E184*F184*J184*S184*I184*H184)/12500000))/3*1000,"")</f>
        <v/>
      </c>
    </row>
    <row r="185">
      <c r="B185" s="7" t="inlineStr">
        <is>
          <t xml:space="preserve">  ↳ RA2HornetMissile</t>
        </is>
      </c>
      <c r="C185" s="7" t="inlineStr">
        <is>
          <t>Armament@PRIMARY</t>
        </is>
      </c>
      <c r="L185" s="6" t="n">
        <v>6000</v>
      </c>
      <c r="M185" s="6" t="n">
        <v>3</v>
      </c>
      <c r="N185" s="6" t="n">
        <v>1</v>
      </c>
      <c r="O185" s="6" t="n"/>
      <c r="P185" s="6" t="n">
        <v>5000</v>
      </c>
      <c r="Q185" s="6" t="n">
        <v>1</v>
      </c>
      <c r="R185">
        <f>M185+IF(MAX(N185-1,0)&gt;0,IF(ISBLANK(O185),5*MAX(N185-1,0),IF(ISNUMBER(O185),O185*MAX(N185-1,0),SUM(IFERROR(VALUE(TEXTSPLIT(O185,",")),0)))),0)</f>
        <v/>
      </c>
      <c r="S185">
        <f>IFERROR(L185*MAX(N185,1)/R185*IF(ISBLANK(K184),1,K184),0)</f>
        <v/>
      </c>
      <c r="AB185" s="7" t="inlineStr">
        <is>
          <t>^Warhead_Demolition_Light, ^Warhead_Demolition_Heavy, ^Warhead_MissileAP_Medium</t>
        </is>
      </c>
    </row>
    <row r="186">
      <c r="A186" t="inlineStr">
        <is>
          <t>redalert2mod</t>
        </is>
      </c>
      <c r="B186" t="inlineStr">
        <is>
          <t>tkm_viper</t>
        </is>
      </c>
      <c r="C186" t="inlineStr">
        <is>
          <t>Viper</t>
        </is>
      </c>
      <c r="D186" s="6" t="inlineStr">
        <is>
          <t>Bomber</t>
        </is>
      </c>
      <c r="E186" s="6" t="n">
        <v>100000</v>
      </c>
      <c r="F186" s="6" t="n">
        <v>150</v>
      </c>
      <c r="G186" t="inlineStr">
        <is>
          <t>Bomber</t>
        </is>
      </c>
      <c r="H186" s="6" t="n">
        <v>0.4424</v>
      </c>
      <c r="I186" s="6" t="n">
        <v>1</v>
      </c>
      <c r="J186" s="6" t="n">
        <v>1</v>
      </c>
      <c r="P186">
        <f>MAX(P187,P188,P189,P190)</f>
        <v/>
      </c>
      <c r="S186">
        <f>S187+S188+S189+S190</f>
        <v/>
      </c>
      <c r="T186">
        <f>(E186/100000+F186/100+(P186/1000)*J186/5+S186/200)*200*I186*H186</f>
        <v/>
      </c>
      <c r="U186">
        <f>((E186*F186/25000)+((P186/1000)*J186*S186/2.5))*I186*H186</f>
        <v/>
      </c>
      <c r="V186">
        <f>(E186*F186*(P186/1000)*J186*S186*I186*H186)/12500000</f>
        <v/>
      </c>
      <c r="W186">
        <f>(T186+U186+V186)/3</f>
        <v/>
      </c>
      <c r="X186" s="6" t="n">
        <v>1750</v>
      </c>
      <c r="Y186">
        <f>IFERROR(W186-X186,"")</f>
        <v/>
      </c>
      <c r="Z186">
        <f>IFERROR(ABS(Y186)/MAX(X186,1),"")</f>
        <v/>
      </c>
      <c r="AA186">
        <f>IFERROR((X186-(((E186/100000+F186/100+S186/200)*200*I186*H186)+((E186*F186/25000)*I186*H186))/3)/(((J186/5)*200*I186*H186)+((J186*S186/2.5)*I186*H186)+((E186*F186*J186*S186*I186*H186)/12500000))/3*1000,"")</f>
        <v/>
      </c>
    </row>
    <row r="187">
      <c r="B187" s="7" t="inlineStr">
        <is>
          <t xml:space="preserve">  ↳ ViperMissiles</t>
        </is>
      </c>
      <c r="C187" s="7" t="inlineStr">
        <is>
          <t>Armament@BOMBS</t>
        </is>
      </c>
      <c r="L187" s="6" t="n">
        <v>32000</v>
      </c>
      <c r="M187" s="6" t="n">
        <v>50</v>
      </c>
      <c r="N187" s="6" t="n">
        <v>4</v>
      </c>
      <c r="O187" s="6" t="n">
        <v>2</v>
      </c>
      <c r="P187" s="6" t="n">
        <v>6271</v>
      </c>
      <c r="Q187" s="6" t="n">
        <v>1</v>
      </c>
      <c r="R187">
        <f>M187+IF(MAX(N187-1,0)&gt;0,IF(ISBLANK(O187),5*MAX(N187-1,0),IF(ISNUMBER(O187),O187*MAX(N187-1,0),SUM(IFERROR(VALUE(TEXTSPLIT(O187,",")),0)))),0)</f>
        <v/>
      </c>
      <c r="S187">
        <f>IFERROR(L187*MAX(N187,1)/R187*IF(ISBLANK(K186),1,K186),0)</f>
        <v/>
      </c>
      <c r="AB187" s="7" t="inlineStr">
        <is>
          <t>^Warhead_Concussion_Medium, ^Warhead_MissileAP_Medium</t>
        </is>
      </c>
    </row>
    <row r="188">
      <c r="B188" s="7" t="inlineStr">
        <is>
          <t xml:space="preserve">  ↳ ViperMissilesCryo</t>
        </is>
      </c>
      <c r="C188" s="7" t="inlineStr">
        <is>
          <t>Armament@PRIMARYNATO</t>
        </is>
      </c>
      <c r="L188" s="6" t="n">
        <v>32000</v>
      </c>
      <c r="M188" s="6" t="n">
        <v>50</v>
      </c>
      <c r="N188" s="6" t="n">
        <v>4</v>
      </c>
      <c r="O188" s="6" t="n">
        <v>2</v>
      </c>
      <c r="P188" s="6" t="n">
        <v>6271</v>
      </c>
      <c r="Q188" s="6" t="n">
        <v>1</v>
      </c>
      <c r="R188">
        <f>M188+IF(MAX(N188-1,0)&gt;0,IF(ISBLANK(O188),5*MAX(N188-1,0),IF(ISNUMBER(O188),O188*MAX(N188-1,0),SUM(IFERROR(VALUE(TEXTSPLIT(O188,",")),0)))),0)</f>
        <v/>
      </c>
      <c r="S188">
        <f>IFERROR(L188*MAX(N188,1)/R188*IF(ISBLANK(K186),1,K186),0)</f>
        <v/>
      </c>
      <c r="AB188" s="7" t="inlineStr">
        <is>
          <t>^Warhead_Concussion_Medium, ^Warhead_MissileAP_Medium</t>
        </is>
      </c>
    </row>
    <row r="189">
      <c r="B189" s="7" t="inlineStr">
        <is>
          <t xml:space="preserve">  ↳ ViperMissilesTwin</t>
        </is>
      </c>
      <c r="C189" s="7" t="inlineStr">
        <is>
          <t>Armament@PRIMARYBEREZKA</t>
        </is>
      </c>
      <c r="L189" s="6" t="n">
        <v>32000</v>
      </c>
      <c r="M189" s="6" t="n">
        <v>50</v>
      </c>
      <c r="N189" s="6" t="n">
        <v>8</v>
      </c>
      <c r="O189" s="6" t="n">
        <v>2</v>
      </c>
      <c r="P189" s="6" t="n">
        <v>6271</v>
      </c>
      <c r="Q189" s="6" t="n">
        <v>1</v>
      </c>
      <c r="R189">
        <f>M189+IF(MAX(N189-1,0)&gt;0,IF(ISBLANK(O189),5*MAX(N189-1,0),IF(ISNUMBER(O189),O189*MAX(N189-1,0),SUM(IFERROR(VALUE(TEXTSPLIT(O189,",")),0)))),0)</f>
        <v/>
      </c>
      <c r="S189">
        <f>IFERROR(L189*MAX(N189,1)/R189*IF(ISBLANK(K186),1,K186),0)</f>
        <v/>
      </c>
      <c r="AB189" s="7" t="inlineStr">
        <is>
          <t>^Warhead_Concussion_Medium, ^Warhead_MissileAP_Medium</t>
        </is>
      </c>
    </row>
    <row r="190">
      <c r="B190" s="7" t="inlineStr">
        <is>
          <t xml:space="preserve">  ↳ ViperMissilesFire</t>
        </is>
      </c>
      <c r="C190" s="7" t="inlineStr">
        <is>
          <t>Armament@PRIMARYTITAN</t>
        </is>
      </c>
      <c r="L190" s="6" t="n">
        <v>40000</v>
      </c>
      <c r="M190" s="6" t="n">
        <v>50</v>
      </c>
      <c r="N190" s="6" t="n">
        <v>4</v>
      </c>
      <c r="O190" s="6" t="n">
        <v>2</v>
      </c>
      <c r="P190" s="6" t="n">
        <v>6271</v>
      </c>
      <c r="Q190" s="6" t="n">
        <v>1</v>
      </c>
      <c r="R190">
        <f>M190+IF(MAX(N190-1,0)&gt;0,IF(ISBLANK(O190),5*MAX(N190-1,0),IF(ISNUMBER(O190),O190*MAX(N190-1,0),SUM(IFERROR(VALUE(TEXTSPLIT(O190,",")),0)))),0)</f>
        <v/>
      </c>
      <c r="S190">
        <f>IFERROR(L190*MAX(N190,1)/R190*IF(ISBLANK(K186),1,K186),0)</f>
        <v/>
      </c>
      <c r="AB190" s="7" t="inlineStr">
        <is>
          <t>^Warhead_MissileAP_Light, ^Warhead_Flame_Light, ^Warhead_Concussion_Medium, ^Warhead_MissileAP_Medium</t>
        </is>
      </c>
    </row>
    <row r="191">
      <c r="A191" t="inlineStr">
        <is>
          <t>redalert2mod</t>
        </is>
      </c>
      <c r="B191" t="inlineStr">
        <is>
          <t>tkmsuicidedrone</t>
        </is>
      </c>
      <c r="C191" t="inlineStr">
        <is>
          <t>Wraith Drone</t>
        </is>
      </c>
      <c r="D191" s="6" t="inlineStr">
        <is>
          <t>Bomber</t>
        </is>
      </c>
      <c r="E191" s="6" t="n">
        <v>25000</v>
      </c>
      <c r="F191" s="6" t="n">
        <v>200</v>
      </c>
      <c r="G191" t="inlineStr">
        <is>
          <t>Bomber</t>
        </is>
      </c>
      <c r="H191" s="6" t="n">
        <v>1</v>
      </c>
      <c r="I191" s="6" t="n">
        <v>1</v>
      </c>
      <c r="J191" s="6" t="n">
        <v>1</v>
      </c>
      <c r="P191">
        <f>MAX(P192)</f>
        <v/>
      </c>
      <c r="S191">
        <f>S192</f>
        <v/>
      </c>
      <c r="T191">
        <f>(E191/100000+F191/100+(P191/1000)*J191/5+S191/200)*200*I191*H191</f>
        <v/>
      </c>
      <c r="U191">
        <f>((E191*F191/25000)+((P191/1000)*J191*S191/2.5))*I191*H191</f>
        <v/>
      </c>
      <c r="V191">
        <f>(E191*F191*(P191/1000)*J191*S191*I191*H191)/12500000</f>
        <v/>
      </c>
      <c r="W191">
        <f>(T191+U191+V191)/3</f>
        <v/>
      </c>
      <c r="X191" s="6" t="n">
        <v>100</v>
      </c>
      <c r="Y191">
        <f>IFERROR(W191-X191,"")</f>
        <v/>
      </c>
      <c r="Z191">
        <f>IFERROR(ABS(Y191)/MAX(X191,1),"")</f>
        <v/>
      </c>
      <c r="AA191">
        <f>IFERROR((X191-(((E191/100000+F191/100+S191/200)*200*I191*H191)+((E191*F191/25000)*I191*H191))/3)/(((J191/5)*200*I191*H191)+((J191*S191/2.5)*I191*H191)+((E191*F191*J191*S191*I191*H191)/12500000))/3*1000,"")</f>
        <v/>
      </c>
    </row>
    <row r="192">
      <c r="B192" s="7" t="inlineStr">
        <is>
          <t xml:space="preserve">  ↳ TKMDroneExplosion</t>
        </is>
      </c>
      <c r="C192" s="7" t="inlineStr">
        <is>
          <t>Armament@PRIMARY</t>
        </is>
      </c>
      <c r="L192" s="6" t="n">
        <v>40000</v>
      </c>
      <c r="M192" s="6" t="n">
        <v>25</v>
      </c>
      <c r="N192" s="6" t="n">
        <v>1</v>
      </c>
      <c r="O192" s="6" t="n"/>
      <c r="P192" s="6" t="n">
        <v>2000</v>
      </c>
      <c r="Q192" s="6" t="n">
        <v>1</v>
      </c>
      <c r="R192">
        <f>M192+IF(MAX(N192-1,0)&gt;0,IF(ISBLANK(O192),5*MAX(N192-1,0),IF(ISNUMBER(O192),O192*MAX(N192-1,0),SUM(IFERROR(VALUE(TEXTSPLIT(O192,",")),0)))),0)</f>
        <v/>
      </c>
      <c r="S192">
        <f>IFERROR(L192*MAX(N192,1)/R192*IF(ISBLANK(K191),1,K191),0)</f>
        <v/>
      </c>
      <c r="AB192" s="7" t="inlineStr">
        <is>
          <t>^Warhead_Concussion_Medium</t>
        </is>
      </c>
    </row>
    <row r="193">
      <c r="A193" t="inlineStr">
        <is>
          <t>d2k</t>
        </is>
      </c>
      <c r="B193" t="inlineStr">
        <is>
          <t>ordos_airmine</t>
        </is>
      </c>
      <c r="C193" t="inlineStr">
        <is>
          <t>Air Mine</t>
        </is>
      </c>
      <c r="D193" s="6" t="inlineStr">
        <is>
          <t>Bomber</t>
        </is>
      </c>
      <c r="E193" s="6" t="n">
        <v>25000</v>
      </c>
      <c r="F193" s="6" t="n">
        <v>35</v>
      </c>
      <c r="G193" t="inlineStr">
        <is>
          <t>Light</t>
        </is>
      </c>
      <c r="H193" s="6" t="n">
        <v>0.7333</v>
      </c>
      <c r="I193" s="6" t="n">
        <v>1</v>
      </c>
      <c r="J193" s="6" t="n">
        <v>1</v>
      </c>
      <c r="P193">
        <f>MAX(P194)</f>
        <v/>
      </c>
      <c r="S193">
        <f>S194</f>
        <v/>
      </c>
      <c r="T193">
        <f>(E193/100000+F193/100+(P193/1000)*J193/5+S193/200)*200*I193*H193</f>
        <v/>
      </c>
      <c r="U193">
        <f>((E193*F193/25000)+((P193/1000)*J193*S193/2.5))*I193*H193</f>
        <v/>
      </c>
      <c r="V193">
        <f>(E193*F193*(P193/1000)*J193*S193*I193*H193)/12500000</f>
        <v/>
      </c>
      <c r="W193">
        <f>(T193+U193+V193)/3</f>
        <v/>
      </c>
      <c r="X193" s="6" t="n">
        <v>500</v>
      </c>
      <c r="Y193">
        <f>IFERROR(W193-X193,"")</f>
        <v/>
      </c>
      <c r="Z193">
        <f>IFERROR(ABS(Y193)/MAX(X193,1),"")</f>
        <v/>
      </c>
      <c r="AA193">
        <f>IFERROR((X193-(((E193/100000+F193/100+S193/200)*200*I193*H193)+((E193*F193/25000)*I193*H193))/3)/(((J193/5)*200*I193*H193)+((J193*S193/2.5)*I193*H193)+((E193*F193*J193*S193*I193*H193)/12500000))/3*1000,"")</f>
        <v/>
      </c>
    </row>
    <row r="194">
      <c r="B194" s="7" t="inlineStr">
        <is>
          <t xml:space="preserve">  ↳ ordos_airmine</t>
        </is>
      </c>
      <c r="C194" s="7" t="inlineStr">
        <is>
          <t>Armament@PRIMARY</t>
        </is>
      </c>
      <c r="L194" s="6" t="n">
        <v>22000</v>
      </c>
      <c r="M194" s="6" t="n">
        <v>132</v>
      </c>
      <c r="N194" s="6" t="n">
        <v>15</v>
      </c>
      <c r="O194" s="6" t="n">
        <v>0</v>
      </c>
      <c r="P194" s="6" t="n">
        <v>2048</v>
      </c>
      <c r="Q194" s="6" t="n">
        <v>1.25</v>
      </c>
      <c r="R194">
        <f>M194+IF(MAX(N194-1,0)&gt;0,IF(ISBLANK(O194),5*MAX(N194-1,0),IF(ISNUMBER(O194),O194*MAX(N194-1,0),SUM(IFERROR(VALUE(TEXTSPLIT(O194,",")),0)))),0)</f>
        <v/>
      </c>
      <c r="S194">
        <f>IFERROR(L194*MAX(N194,1)/R194*IF(ISBLANK(K193),1,K193),0)</f>
        <v/>
      </c>
      <c r="AB194" s="7" t="inlineStr">
        <is>
          <t>^Warhead_MissileAP_Heavy</t>
        </is>
      </c>
    </row>
    <row r="195">
      <c r="A195" t="inlineStr">
        <is>
          <t>d2k</t>
        </is>
      </c>
      <c r="B195" t="inlineStr">
        <is>
          <t>ordos_eyeinthesky</t>
        </is>
      </c>
      <c r="C195" t="inlineStr">
        <is>
          <t>Eye In The Sky</t>
        </is>
      </c>
      <c r="D195" s="6" t="inlineStr">
        <is>
          <t>Bomber</t>
        </is>
      </c>
      <c r="E195" s="6" t="n">
        <v>150000</v>
      </c>
      <c r="F195" s="6" t="n">
        <v>180</v>
      </c>
      <c r="G195" t="inlineStr">
        <is>
          <t>Bomber</t>
        </is>
      </c>
      <c r="H195" s="6" t="n">
        <v>0.75</v>
      </c>
      <c r="I195" s="6" t="n">
        <v>1</v>
      </c>
      <c r="J195" s="6" t="n">
        <v>1</v>
      </c>
      <c r="P195">
        <f>MAX(P196)</f>
        <v/>
      </c>
      <c r="S195">
        <f>S196</f>
        <v/>
      </c>
      <c r="T195">
        <f>(E195/100000+F195/100+(P195/1000)*J195/5+S195/200)*200*I195*H195</f>
        <v/>
      </c>
      <c r="U195">
        <f>((E195*F195/25000)+((P195/1000)*J195*S195/2.5))*I195*H195</f>
        <v/>
      </c>
      <c r="V195">
        <f>(E195*F195*(P195/1000)*J195*S195*I195*H195)/12500000</f>
        <v/>
      </c>
      <c r="W195">
        <f>(T195+U195+V195)/3</f>
        <v/>
      </c>
      <c r="X195" s="6" t="n">
        <v>2500</v>
      </c>
      <c r="Y195">
        <f>IFERROR(W195-X195,"")</f>
        <v/>
      </c>
      <c r="Z195">
        <f>IFERROR(ABS(Y195)/MAX(X195,1),"")</f>
        <v/>
      </c>
      <c r="AA195">
        <f>IFERROR((X195-(((E195/100000+F195/100+S195/200)*200*I195*H195)+((E195*F195/25000)*I195*H195))/3)/(((J195/5)*200*I195*H195)+((J195*S195/2.5)*I195*H195)+((E195*F195*J195*S195*I195*H195)/12500000))/3*1000,"")</f>
        <v/>
      </c>
    </row>
    <row r="196">
      <c r="B196" s="7" t="inlineStr">
        <is>
          <t xml:space="preserve">  ↳ eye_bomberguy</t>
        </is>
      </c>
      <c r="C196" s="7" t="inlineStr">
        <is>
          <t>Armament@PRIMARY</t>
        </is>
      </c>
      <c r="L196" s="6" t="n">
        <v>100000</v>
      </c>
      <c r="M196" s="6" t="n">
        <v>125</v>
      </c>
      <c r="N196" s="6" t="n">
        <v>1</v>
      </c>
      <c r="O196" s="6" t="n"/>
      <c r="P196" s="6" t="n">
        <v>3905</v>
      </c>
      <c r="Q196" s="6" t="n">
        <v>1</v>
      </c>
      <c r="R196">
        <f>M196+IF(MAX(N196-1,0)&gt;0,IF(ISBLANK(O196),5*MAX(N196-1,0),IF(ISNUMBER(O196),O196*MAX(N196-1,0),SUM(IFERROR(VALUE(TEXTSPLIT(O196,",")),0)))),0)</f>
        <v/>
      </c>
      <c r="S196">
        <f>IFERROR(L196*MAX(N196,1)/R196*IF(ISBLANK(K195),1,K195),0)</f>
        <v/>
      </c>
      <c r="AB196" s="7" t="inlineStr">
        <is>
          <t>^Grenade, ^MediumChemicalWeapon, ^MediumFlameWeapon, ^ShrapnelWeapon, ^HeavyBomb</t>
        </is>
      </c>
    </row>
    <row r="197">
      <c r="A197" t="inlineStr">
        <is>
          <t>d2k</t>
        </is>
      </c>
      <c r="B197" t="inlineStr">
        <is>
          <t>farasha_drone_ixian</t>
        </is>
      </c>
      <c r="C197" t="inlineStr">
        <is>
          <t>Alfayrus</t>
        </is>
      </c>
      <c r="D197" s="6" t="inlineStr">
        <is>
          <t>Bomber</t>
        </is>
      </c>
      <c r="E197" s="6" t="n">
        <v>25000</v>
      </c>
      <c r="F197" s="6" t="n">
        <v>215</v>
      </c>
      <c r="G197" t="inlineStr">
        <is>
          <t>Bomber</t>
        </is>
      </c>
      <c r="H197" s="6" t="n">
        <v>1</v>
      </c>
      <c r="I197" s="6" t="n">
        <v>1</v>
      </c>
      <c r="J197" s="6" t="n">
        <v>1</v>
      </c>
      <c r="P197">
        <f>MAX(P198)</f>
        <v/>
      </c>
      <c r="S197">
        <f>S198</f>
        <v/>
      </c>
      <c r="T197">
        <f>(E197/100000+F197/100+(P197/1000)*J197/5+S197/200)*200*I197*H197</f>
        <v/>
      </c>
      <c r="U197">
        <f>((E197*F197/25000)+((P197/1000)*J197*S197/2.5))*I197*H197</f>
        <v/>
      </c>
      <c r="V197">
        <f>(E197*F197*(P197/1000)*J197*S197*I197*H197)/12500000</f>
        <v/>
      </c>
      <c r="W197">
        <f>(T197+U197+V197)/3</f>
        <v/>
      </c>
      <c r="X197" s="6" t="n">
        <v>240</v>
      </c>
      <c r="Y197">
        <f>IFERROR(W197-X197,"")</f>
        <v/>
      </c>
      <c r="Z197">
        <f>IFERROR(ABS(Y197)/MAX(X197,1),"")</f>
        <v/>
      </c>
      <c r="AA197">
        <f>IFERROR((X197-(((E197/100000+F197/100+S197/200)*200*I197*H197)+((E197*F197/25000)*I197*H197))/3)/(((J197/5)*200*I197*H197)+((J197*S197/2.5)*I197*H197)+((E197*F197*J197*S197*I197*H197)/12500000))/3*1000,"")</f>
        <v/>
      </c>
    </row>
    <row r="198">
      <c r="B198" s="7" t="inlineStr">
        <is>
          <t xml:space="preserve">  ↳ farasha_drone_ixian</t>
        </is>
      </c>
      <c r="C198" s="7" t="inlineStr">
        <is>
          <t>Armament@PRIMARY</t>
        </is>
      </c>
      <c r="L198" s="6" t="n">
        <v>6000</v>
      </c>
      <c r="M198" s="6" t="n">
        <v>25</v>
      </c>
      <c r="N198" s="6" t="n">
        <v>1</v>
      </c>
      <c r="O198" s="6" t="n"/>
      <c r="P198" s="6" t="n">
        <v>2500</v>
      </c>
      <c r="Q198" s="6" t="n">
        <v>0.75</v>
      </c>
      <c r="R198">
        <f>M198+IF(MAX(N198-1,0)&gt;0,IF(ISBLANK(O198),5*MAX(N198-1,0),IF(ISNUMBER(O198),O198*MAX(N198-1,0),SUM(IFERROR(VALUE(TEXTSPLIT(O198,",")),0)))),0)</f>
        <v/>
      </c>
      <c r="S198">
        <f>IFERROR(L198*MAX(N198,1)/R198*IF(ISBLANK(K197),1,K197),0)</f>
        <v/>
      </c>
      <c r="AB198" s="7" t="inlineStr">
        <is>
          <t>^Warhead_Inferno_Light</t>
        </is>
      </c>
    </row>
    <row r="199">
      <c r="A199" t="inlineStr">
        <is>
          <t>d2k</t>
        </is>
      </c>
      <c r="B199" t="inlineStr">
        <is>
          <t>ixian_airdrone</t>
        </is>
      </c>
      <c r="C199" t="inlineStr">
        <is>
          <t>Ixian Air Drone</t>
        </is>
      </c>
      <c r="D199" s="6" t="inlineStr">
        <is>
          <t>Bomber</t>
        </is>
      </c>
      <c r="E199" s="6" t="n">
        <v>62500</v>
      </c>
      <c r="F199" s="6" t="n">
        <v>165</v>
      </c>
      <c r="G199" t="inlineStr">
        <is>
          <t>Bomber</t>
        </is>
      </c>
      <c r="H199" s="6" t="n">
        <v>1</v>
      </c>
      <c r="I199" s="6" t="n">
        <v>1</v>
      </c>
      <c r="J199" s="6" t="n">
        <v>1.25</v>
      </c>
      <c r="P199">
        <f>MAX(P200,P201,P202)</f>
        <v/>
      </c>
      <c r="S199">
        <f>S200+S201+S202</f>
        <v/>
      </c>
      <c r="T199">
        <f>(E199/100000+F199/100+(P199/1000)*J199/5+S199/200)*200*I199*H199</f>
        <v/>
      </c>
      <c r="U199">
        <f>((E199*F199/25000)+((P199/1000)*J199*S199/2.5))*I199*H199</f>
        <v/>
      </c>
      <c r="V199">
        <f>(E199*F199*(P199/1000)*J199*S199*I199*H199)/12500000</f>
        <v/>
      </c>
      <c r="W199">
        <f>(T199+U199+V199)/3</f>
        <v/>
      </c>
      <c r="X199" s="6" t="n">
        <v>1800</v>
      </c>
      <c r="Y199">
        <f>IFERROR(W199-X199,"")</f>
        <v/>
      </c>
      <c r="Z199">
        <f>IFERROR(ABS(Y199)/MAX(X199,1),"")</f>
        <v/>
      </c>
      <c r="AA199">
        <f>IFERROR((X199-(((E199/100000+F199/100+S199/200)*200*I199*H199)+((E199*F199/25000)*I199*H199))/3)/(((J199/5)*200*I199*H199)+((J199*S199/2.5)*I199*H199)+((E199*F199*J199*S199*I199*H199)/12500000))/3*1000,"")</f>
        <v/>
      </c>
    </row>
    <row r="200">
      <c r="B200" s="7" t="inlineStr">
        <is>
          <t xml:space="preserve">  ↳ ixian_airdrone</t>
        </is>
      </c>
      <c r="C200" s="7" t="inlineStr">
        <is>
          <t>Armament</t>
        </is>
      </c>
      <c r="L200" s="6" t="n">
        <v>12000</v>
      </c>
      <c r="M200" s="6" t="n">
        <v>132</v>
      </c>
      <c r="N200" s="6" t="n">
        <v>4</v>
      </c>
      <c r="O200" s="6" t="n">
        <v>5</v>
      </c>
      <c r="P200" s="6" t="n">
        <v>6500</v>
      </c>
      <c r="Q200" s="6" t="n">
        <v>1.25</v>
      </c>
      <c r="R200">
        <f>M200+IF(MAX(N200-1,0)&gt;0,IF(ISBLANK(O200),5*MAX(N200-1,0),IF(ISNUMBER(O200),O200*MAX(N200-1,0),SUM(IFERROR(VALUE(TEXTSPLIT(O200,",")),0)))),0)</f>
        <v/>
      </c>
      <c r="S200">
        <f>IFERROR(L200*MAX(N200,1)/R200*IF(ISBLANK(K199),1,K199),0)</f>
        <v/>
      </c>
      <c r="AB200" s="7" t="inlineStr">
        <is>
          <t>^Warhead_MissileAP_Heavy</t>
        </is>
      </c>
    </row>
    <row r="201">
      <c r="B201" s="7" t="inlineStr">
        <is>
          <t xml:space="preserve">  ↳ d2k_air_drone_guns</t>
        </is>
      </c>
      <c r="C201" s="7" t="inlineStr">
        <is>
          <t>Armament@PRIMARY</t>
        </is>
      </c>
      <c r="L201" s="6" t="n">
        <v>12000</v>
      </c>
      <c r="M201" s="6" t="n">
        <v>28</v>
      </c>
      <c r="N201" s="6" t="n">
        <v>4</v>
      </c>
      <c r="O201" s="6" t="n">
        <v>2</v>
      </c>
      <c r="P201" s="6" t="n">
        <v>6500</v>
      </c>
      <c r="Q201" s="6" t="n">
        <v>1</v>
      </c>
      <c r="R201">
        <f>M201+IF(MAX(N201-1,0)&gt;0,IF(ISBLANK(O201),5*MAX(N201-1,0),IF(ISNUMBER(O201),O201*MAX(N201-1,0),SUM(IFERROR(VALUE(TEXTSPLIT(O201,",")),0)))),0)</f>
        <v/>
      </c>
      <c r="S201">
        <f>IFERROR(L201*MAX(N201,1)/R201*IF(ISBLANK(K199),1,K199),0)</f>
        <v/>
      </c>
      <c r="AB201" s="7" t="inlineStr">
        <is>
          <t>^Warhead_MissileAP_Heavy, ^Warhead_Bullet_Light, ^Warhead_Bullet_Medium</t>
        </is>
      </c>
    </row>
    <row r="202">
      <c r="B202" s="7" t="inlineStr">
        <is>
          <t xml:space="preserve">  ↳ d2k_air_drone_guns_upgrade</t>
        </is>
      </c>
      <c r="C202" s="7" t="inlineStr">
        <is>
          <t>Armament@Upgrade</t>
        </is>
      </c>
      <c r="L202" s="6" t="n">
        <v>10000</v>
      </c>
      <c r="M202" s="6" t="n">
        <v>28</v>
      </c>
      <c r="N202" s="6" t="n">
        <v>4</v>
      </c>
      <c r="O202" s="6" t="n">
        <v>2</v>
      </c>
      <c r="P202" s="6" t="n">
        <v>6500</v>
      </c>
      <c r="Q202" s="6" t="n">
        <v>1</v>
      </c>
      <c r="R202">
        <f>M202+IF(MAX(N202-1,0)&gt;0,IF(ISBLANK(O202),5*MAX(N202-1,0),IF(ISNUMBER(O202),O202*MAX(N202-1,0),SUM(IFERROR(VALUE(TEXTSPLIT(O202,",")),0)))),0)</f>
        <v/>
      </c>
      <c r="S202">
        <f>IFERROR(L202*MAX(N202,1)/R202*IF(ISBLANK(K199),1,K199),0)</f>
        <v/>
      </c>
      <c r="AB202" s="7" t="inlineStr">
        <is>
          <t>^Warhead_CannonHE_Heavy, ^Warhead_MissileAP_Heavy, ^Warhead_Bullet_Light, ^Warhead_Bullet_Medium</t>
        </is>
      </c>
    </row>
    <row r="203">
      <c r="A203" t="inlineStr">
        <is>
          <t>d2k</t>
        </is>
      </c>
      <c r="B203" t="inlineStr">
        <is>
          <t>ixian_empbomber</t>
        </is>
      </c>
      <c r="C203" t="inlineStr">
        <is>
          <t>Ixian EMP Bomber</t>
        </is>
      </c>
      <c r="D203" s="6" t="inlineStr">
        <is>
          <t>Bomber</t>
        </is>
      </c>
      <c r="E203" s="6" t="n">
        <v>111000</v>
      </c>
      <c r="F203" s="6" t="n">
        <v>145</v>
      </c>
      <c r="G203" t="inlineStr">
        <is>
          <t>Bomber</t>
        </is>
      </c>
      <c r="H203" s="6" t="n">
        <v>0.75</v>
      </c>
      <c r="I203" s="6" t="n">
        <v>1</v>
      </c>
      <c r="J203" s="6" t="n">
        <v>2</v>
      </c>
      <c r="P203">
        <f>MAX(P204)</f>
        <v/>
      </c>
      <c r="S203">
        <f>S204</f>
        <v/>
      </c>
      <c r="T203">
        <f>(E203/100000+F203/100+(P203/1000)*J203/5+S203/200)*200*I203*H203</f>
        <v/>
      </c>
      <c r="U203">
        <f>((E203*F203/25000)+((P203/1000)*J203*S203/2.5))*I203*H203</f>
        <v/>
      </c>
      <c r="V203">
        <f>(E203*F203*(P203/1000)*J203*S203*I203*H203)/12500000</f>
        <v/>
      </c>
      <c r="W203">
        <f>(T203+U203+V203)/3</f>
        <v/>
      </c>
      <c r="X203" s="6" t="n">
        <v>2400</v>
      </c>
      <c r="Y203">
        <f>IFERROR(W203-X203,"")</f>
        <v/>
      </c>
      <c r="Z203">
        <f>IFERROR(ABS(Y203)/MAX(X203,1),"")</f>
        <v/>
      </c>
      <c r="AA203">
        <f>IFERROR((X203-(((E203/100000+F203/100+S203/200)*200*I203*H203)+((E203*F203/25000)*I203*H203))/3)/(((J203/5)*200*I203*H203)+((J203*S203/2.5)*I203*H203)+((E203*F203*J203*S203*I203*H203)/12500000))/3*1000,"")</f>
        <v/>
      </c>
    </row>
    <row r="204">
      <c r="B204" s="7" t="inlineStr">
        <is>
          <t xml:space="preserve">  ↳ IxianBomb_EMP</t>
        </is>
      </c>
      <c r="C204" s="7" t="inlineStr">
        <is>
          <t>Armament@PRIMARY</t>
        </is>
      </c>
      <c r="L204" s="6" t="n">
        <v>90000</v>
      </c>
      <c r="M204" s="6" t="n">
        <v>250</v>
      </c>
      <c r="N204" s="6" t="n">
        <v>1</v>
      </c>
      <c r="O204" s="6" t="n"/>
      <c r="P204" s="6" t="n">
        <v>1250</v>
      </c>
      <c r="Q204" s="6" t="n">
        <v>1</v>
      </c>
      <c r="R204">
        <f>M204+IF(MAX(N204-1,0)&gt;0,IF(ISBLANK(O204),5*MAX(N204-1,0),IF(ISNUMBER(O204),O204*MAX(N204-1,0),SUM(IFERROR(VALUE(TEXTSPLIT(O204,",")),0)))),0)</f>
        <v/>
      </c>
      <c r="S204">
        <f>IFERROR(L204*MAX(N204,1)/R204*IF(ISBLANK(K203),1,K203),0)</f>
        <v/>
      </c>
      <c r="AB204" s="7" t="inlineStr">
        <is>
          <t>^MediumFlameWeapon, ^HeavyBomb, ^TeslaChargedWeapon</t>
        </is>
      </c>
    </row>
    <row r="205">
      <c r="A205" s="4" t="inlineStr">
        <is>
          <t>Helicopter</t>
        </is>
      </c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</row>
    <row r="206">
      <c r="A206" t="inlineStr">
        <is>
          <t>tiberiandawn</t>
        </is>
      </c>
      <c r="B206" t="inlineStr">
        <is>
          <t>td_gdi_orca</t>
        </is>
      </c>
      <c r="C206" t="inlineStr">
        <is>
          <t>Orca</t>
        </is>
      </c>
      <c r="D206" s="6" t="inlineStr">
        <is>
          <t>Helicopter</t>
        </is>
      </c>
      <c r="E206" s="6" t="n">
        <v>32500</v>
      </c>
      <c r="F206" s="6" t="n">
        <v>175</v>
      </c>
      <c r="G206" t="inlineStr">
        <is>
          <t>Helicopter</t>
        </is>
      </c>
      <c r="H206" s="6" t="n">
        <v>1</v>
      </c>
      <c r="I206" s="6" t="n">
        <v>1</v>
      </c>
      <c r="J206" s="6" t="n">
        <v>1</v>
      </c>
      <c r="P206">
        <f>MAX(P207,P208)</f>
        <v/>
      </c>
      <c r="S206">
        <f>S207+S208</f>
        <v/>
      </c>
      <c r="T206">
        <f>(E206/100000+F206/100+(P206/1000)*J206/5+S206/200)*200*I206*H206</f>
        <v/>
      </c>
      <c r="U206">
        <f>((E206*F206/25000)+((P206/1000)*J206*S206/2.5))*I206*H206</f>
        <v/>
      </c>
      <c r="V206">
        <f>(E206*F206*(P206/1000)*J206*S206*I206*H206)/12500000</f>
        <v/>
      </c>
      <c r="W206">
        <f>(T206+U206+V206)/3</f>
        <v/>
      </c>
      <c r="X206" s="6" t="n">
        <v>1700</v>
      </c>
      <c r="Y206">
        <f>IFERROR(W206-X206,"")</f>
        <v/>
      </c>
      <c r="Z206">
        <f>IFERROR(ABS(Y206)/MAX(X206,1),"")</f>
        <v/>
      </c>
      <c r="AA206">
        <f>IFERROR((X206-(((E206/100000+F206/100+S206/200)*200*I206*H206)+((E206*F206/25000)*I206*H206))/3)/(((J206/5)*200*I206*H206)+((J206*S206/2.5)*I206*H206)+((E206*F206*J206*S206*I206*H206)/12500000))/3*1000,"")</f>
        <v/>
      </c>
    </row>
    <row r="207">
      <c r="B207" s="7" t="inlineStr">
        <is>
          <t xml:space="preserve">  ↳ OrcaMissiles</t>
        </is>
      </c>
      <c r="C207" s="7" t="inlineStr">
        <is>
          <t>Armament@PRIMARY</t>
        </is>
      </c>
      <c r="L207" s="6" t="n">
        <v>12000</v>
      </c>
      <c r="M207" s="6" t="n">
        <v>16</v>
      </c>
      <c r="N207" s="6" t="n">
        <v>1</v>
      </c>
      <c r="O207" s="6" t="n"/>
      <c r="P207" s="6" t="n">
        <v>5442</v>
      </c>
      <c r="Q207" s="6" t="n">
        <v>1</v>
      </c>
      <c r="R207">
        <f>M207+IF(MAX(N207-1,0)&gt;0,IF(ISBLANK(O207),5*MAX(N207-1,0),IF(ISNUMBER(O207),O207*MAX(N207-1,0),SUM(IFERROR(VALUE(TEXTSPLIT(O207,",")),0)))),0)</f>
        <v/>
      </c>
      <c r="S207">
        <f>IFERROR(L207*MAX(N207,1)/R207*IF(ISBLANK(K206),1,K206),0)</f>
        <v/>
      </c>
      <c r="AB207" s="7" t="inlineStr">
        <is>
          <t>^HeavyCannon, ^TankDestroyerCannon, ^ShrapnelWeapon, ^Grenade, ^HeavyMissile, ^MediumMissile</t>
        </is>
      </c>
    </row>
    <row r="208">
      <c r="B208" s="7" t="inlineStr">
        <is>
          <t xml:space="preserve">  ↳ OrcaMissilesAMT</t>
        </is>
      </c>
      <c r="C208" s="7" t="inlineStr">
        <is>
          <t>Armament@AdvancedMissileTargeting</t>
        </is>
      </c>
      <c r="L208" s="6" t="n">
        <v>12000</v>
      </c>
      <c r="M208" s="6" t="n">
        <v>16</v>
      </c>
      <c r="N208" s="6" t="n">
        <v>1</v>
      </c>
      <c r="O208" s="6" t="n"/>
      <c r="P208" s="6" t="n">
        <v>5442</v>
      </c>
      <c r="Q208" s="6" t="n">
        <v>1</v>
      </c>
      <c r="R208">
        <f>M208+IF(MAX(N208-1,0)&gt;0,IF(ISBLANK(O208),5*MAX(N208-1,0),IF(ISNUMBER(O208),O208*MAX(N208-1,0),SUM(IFERROR(VALUE(TEXTSPLIT(O208,",")),0)))),0)</f>
        <v/>
      </c>
      <c r="S208">
        <f>IFERROR(L208*MAX(N208,1)/R208*IF(ISBLANK(K206),1,K206),0)</f>
        <v/>
      </c>
      <c r="AB208" s="7" t="inlineStr">
        <is>
          <t>OrcaMissiles, ^AMTProjectile</t>
        </is>
      </c>
    </row>
    <row r="209">
      <c r="A209" t="inlineStr">
        <is>
          <t>tiberiandawn</t>
        </is>
      </c>
      <c r="B209" t="inlineStr">
        <is>
          <t>td_nod_apacheattackhelicopter</t>
        </is>
      </c>
      <c r="C209" t="inlineStr">
        <is>
          <t>Apache Attack Helicopter</t>
        </is>
      </c>
      <c r="D209" s="6" t="inlineStr">
        <is>
          <t>Helicopter</t>
        </is>
      </c>
      <c r="E209" s="6" t="n">
        <v>45000</v>
      </c>
      <c r="F209" s="6" t="n">
        <v>160</v>
      </c>
      <c r="G209" t="inlineStr">
        <is>
          <t>Helicopter</t>
        </is>
      </c>
      <c r="H209" s="6" t="n">
        <v>0.7333</v>
      </c>
      <c r="I209" s="6" t="n">
        <v>1</v>
      </c>
      <c r="J209" s="6" t="n">
        <v>1</v>
      </c>
      <c r="P209">
        <f>MAX(P210,P211)</f>
        <v/>
      </c>
      <c r="S209">
        <f>S210+S211</f>
        <v/>
      </c>
      <c r="T209">
        <f>(E209/100000+F209/100+(P209/1000)*J209/5+S209/200)*200*I209*H209</f>
        <v/>
      </c>
      <c r="U209">
        <f>((E209*F209/25000)+((P209/1000)*J209*S209/2.5))*I209*H209</f>
        <v/>
      </c>
      <c r="V209">
        <f>(E209*F209*(P209/1000)*J209*S209*I209*H209)/12500000</f>
        <v/>
      </c>
      <c r="W209">
        <f>(T209+U209+V209)/3</f>
        <v/>
      </c>
      <c r="X209" s="6" t="n">
        <v>1600</v>
      </c>
      <c r="Y209">
        <f>IFERROR(W209-X209,"")</f>
        <v/>
      </c>
      <c r="Z209">
        <f>IFERROR(ABS(Y209)/MAX(X209,1),"")</f>
        <v/>
      </c>
      <c r="AA209">
        <f>IFERROR((X209-(((E209/100000+F209/100+S209/200)*200*I209*H209)+((E209*F209/25000)*I209*H209))/3)/(((J209/5)*200*I209*H209)+((J209*S209/2.5)*I209*H209)+((E209*F209*J209*S209*I209*H209)/12500000))/3*1000,"")</f>
        <v/>
      </c>
    </row>
    <row r="210">
      <c r="B210" s="7" t="inlineStr">
        <is>
          <t xml:space="preserve">  ↳ HeliGun</t>
        </is>
      </c>
      <c r="C210" s="7" t="inlineStr">
        <is>
          <t>Armament@PRIMARY</t>
        </is>
      </c>
      <c r="L210" s="6" t="n">
        <v>4000</v>
      </c>
      <c r="M210" s="6" t="n">
        <v>16</v>
      </c>
      <c r="N210" s="6" t="n">
        <v>4</v>
      </c>
      <c r="O210" s="6" t="n">
        <v>2</v>
      </c>
      <c r="P210" s="6" t="n">
        <v>4501</v>
      </c>
      <c r="Q210" s="6" t="n">
        <v>1</v>
      </c>
      <c r="R210">
        <f>M210+IF(MAX(N210-1,0)&gt;0,IF(ISBLANK(O210),5*MAX(N210-1,0),IF(ISNUMBER(O210),O210*MAX(N210-1,0),SUM(IFERROR(VALUE(TEXTSPLIT(O210,",")),0)))),0)</f>
        <v/>
      </c>
      <c r="S210">
        <f>IFERROR(L210*MAX(N210,1)/R210*IF(ISBLANK(K209),1,K209),0)</f>
        <v/>
      </c>
      <c r="AB210" s="7" t="inlineStr">
        <is>
          <t>^Warhead_Bullet_Medium</t>
        </is>
      </c>
    </row>
    <row r="211">
      <c r="B211" s="7" t="inlineStr">
        <is>
          <t xml:space="preserve">  ↳ HeliMissiles</t>
        </is>
      </c>
      <c r="C211" s="7" t="inlineStr">
        <is>
          <t>Armament@Upgrade</t>
        </is>
      </c>
      <c r="L211" s="6" t="n">
        <v>2000</v>
      </c>
      <c r="M211" s="6" t="n">
        <v>16</v>
      </c>
      <c r="N211" s="6" t="n">
        <v>4</v>
      </c>
      <c r="O211" s="6" t="n">
        <v>2</v>
      </c>
      <c r="P211" s="6" t="n">
        <v>4501</v>
      </c>
      <c r="Q211" s="6" t="n">
        <v>1</v>
      </c>
      <c r="R211">
        <f>M211+IF(MAX(N211-1,0)&gt;0,IF(ISBLANK(O211),5*MAX(N211-1,0),IF(ISNUMBER(O211),O211*MAX(N211-1,0),SUM(IFERROR(VALUE(TEXTSPLIT(O211,",")),0)))),0)</f>
        <v/>
      </c>
      <c r="S211">
        <f>IFERROR(L211*MAX(N211,1)/R211*IF(ISBLANK(K209),1,K209),0)</f>
        <v/>
      </c>
      <c r="AB211" s="7" t="inlineStr">
        <is>
          <t>^Warhead_MissileAP_Medium</t>
        </is>
      </c>
    </row>
    <row r="212">
      <c r="A212" t="inlineStr">
        <is>
          <t>tiberiandawn</t>
        </is>
      </c>
      <c r="B212" t="inlineStr">
        <is>
          <t>td_nod_venom</t>
        </is>
      </c>
      <c r="C212" t="inlineStr">
        <is>
          <t>Venom</t>
        </is>
      </c>
      <c r="D212" s="6" t="inlineStr">
        <is>
          <t>Helicopter</t>
        </is>
      </c>
      <c r="E212" s="6" t="n">
        <v>27500</v>
      </c>
      <c r="F212" s="6" t="n">
        <v>200</v>
      </c>
      <c r="G212" t="inlineStr">
        <is>
          <t>Helicopter</t>
        </is>
      </c>
      <c r="H212" s="6" t="n">
        <v>0.75</v>
      </c>
      <c r="I212" s="6" t="n">
        <v>1</v>
      </c>
      <c r="J212" s="6" t="n">
        <v>1.5</v>
      </c>
      <c r="P212">
        <f>MAX(P213,P214,P215)</f>
        <v/>
      </c>
      <c r="S212">
        <f>S213+S214+S215</f>
        <v/>
      </c>
      <c r="T212">
        <f>(E212/100000+F212/100+(P212/1000)*J212/5+S212/200)*200*I212*H212</f>
        <v/>
      </c>
      <c r="U212">
        <f>((E212*F212/25000)+((P212/1000)*J212*S212/2.5))*I212*H212</f>
        <v/>
      </c>
      <c r="V212">
        <f>(E212*F212*(P212/1000)*J212*S212*I212*H212)/12500000</f>
        <v/>
      </c>
      <c r="W212">
        <f>(T212+U212+V212)/3</f>
        <v/>
      </c>
      <c r="X212" s="6" t="n">
        <v>900</v>
      </c>
      <c r="Y212">
        <f>IFERROR(W212-X212,"")</f>
        <v/>
      </c>
      <c r="Z212">
        <f>IFERROR(ABS(Y212)/MAX(X212,1),"")</f>
        <v/>
      </c>
      <c r="AA212">
        <f>IFERROR((X212-(((E212/100000+F212/100+S212/200)*200*I212*H212)+((E212*F212/25000)*I212*H212))/3)/(((J212/5)*200*I212*H212)+((J212*S212/2.5)*I212*H212)+((E212*F212*J212*S212*I212*H212)/12500000))/3*1000,"")</f>
        <v/>
      </c>
    </row>
    <row r="213">
      <c r="B213" s="7" t="inlineStr">
        <is>
          <t xml:space="preserve">  ↳ VenomLaser</t>
        </is>
      </c>
      <c r="C213" s="7" t="inlineStr">
        <is>
          <t>Armament@Base</t>
        </is>
      </c>
      <c r="L213" s="6" t="n">
        <v>8000</v>
      </c>
      <c r="M213" s="6" t="n">
        <v>18</v>
      </c>
      <c r="N213" s="6" t="n">
        <v>1</v>
      </c>
      <c r="O213" s="6" t="n"/>
      <c r="P213" s="6" t="n">
        <v>4000</v>
      </c>
      <c r="Q213" s="6" t="n">
        <v>1</v>
      </c>
      <c r="R213">
        <f>M213+IF(MAX(N213-1,0)&gt;0,IF(ISBLANK(O213),5*MAX(N213-1,0),IF(ISNUMBER(O213),O213*MAX(N213-1,0),SUM(IFERROR(VALUE(TEXTSPLIT(O213,",")),0)))),0)</f>
        <v/>
      </c>
      <c r="S213">
        <f>IFERROR(L213*MAX(N213,1)/R213*IF(ISBLANK(K212),1,K212),0)</f>
        <v/>
      </c>
      <c r="AB213" s="7" t="inlineStr">
        <is>
          <t>^Warhead_Laser_Medium</t>
        </is>
      </c>
    </row>
    <row r="214">
      <c r="B214" s="7" t="inlineStr">
        <is>
          <t xml:space="preserve">  ↳ VenomLaserInferno</t>
        </is>
      </c>
      <c r="C214" s="7" t="inlineStr">
        <is>
          <t>Armament@Elite</t>
        </is>
      </c>
      <c r="L214" s="6" t="n">
        <v>8000</v>
      </c>
      <c r="M214" s="6" t="n">
        <v>18</v>
      </c>
      <c r="N214" s="6" t="n">
        <v>1</v>
      </c>
      <c r="O214" s="6" t="n"/>
      <c r="P214" s="6" t="n">
        <v>4000</v>
      </c>
      <c r="Q214" s="6" t="n">
        <v>1</v>
      </c>
      <c r="R214">
        <f>M214+IF(MAX(N214-1,0)&gt;0,IF(ISBLANK(O214),5*MAX(N214-1,0),IF(ISNUMBER(O214),O214*MAX(N214-1,0),SUM(IFERROR(VALUE(TEXTSPLIT(O214,",")),0)))),0)</f>
        <v/>
      </c>
      <c r="S214">
        <f>IFERROR(L214*MAX(N214,1)/R214*IF(ISBLANK(K212),1,K212),0)</f>
        <v/>
      </c>
      <c r="AB214" s="7" t="inlineStr">
        <is>
          <t>^Warhead_Inferno_Medium</t>
        </is>
      </c>
    </row>
    <row r="215">
      <c r="B215" s="7" t="inlineStr">
        <is>
          <t xml:space="preserve">  ↳ VenomLaserBurning</t>
        </is>
      </c>
      <c r="C215" s="7" t="inlineStr">
        <is>
          <t>Armament@Burning</t>
        </is>
      </c>
      <c r="L215" s="6" t="n">
        <v>8000</v>
      </c>
      <c r="M215" s="6" t="n">
        <v>18</v>
      </c>
      <c r="N215" s="6" t="n">
        <v>10</v>
      </c>
      <c r="O215" s="6" t="n">
        <v>1</v>
      </c>
      <c r="P215" s="6" t="n">
        <v>4000</v>
      </c>
      <c r="Q215" s="6" t="n">
        <v>1</v>
      </c>
      <c r="R215">
        <f>M215+IF(MAX(N215-1,0)&gt;0,IF(ISBLANK(O215),5*MAX(N215-1,0),IF(ISNUMBER(O215),O215*MAX(N215-1,0),SUM(IFERROR(VALUE(TEXTSPLIT(O215,",")),0)))),0)</f>
        <v/>
      </c>
      <c r="S215">
        <f>IFERROR(L215*MAX(N215,1)/R215*IF(ISBLANK(K212),1,K212),0)</f>
        <v/>
      </c>
      <c r="AB215" s="7" t="inlineStr">
        <is>
          <t>^Warhead_Inferno_Medium</t>
        </is>
      </c>
    </row>
    <row r="216">
      <c r="A216" t="inlineStr">
        <is>
          <t>redalert</t>
        </is>
      </c>
      <c r="B216" t="inlineStr">
        <is>
          <t>japan_skyhawk</t>
        </is>
      </c>
      <c r="C216" t="inlineStr">
        <is>
          <t>Sky Hawk</t>
        </is>
      </c>
      <c r="D216" s="6" t="inlineStr">
        <is>
          <t>Helicopter</t>
        </is>
      </c>
      <c r="E216" s="6" t="n">
        <v>75000</v>
      </c>
      <c r="F216" s="6" t="n">
        <v>125</v>
      </c>
      <c r="G216" t="inlineStr">
        <is>
          <t>Helicopter</t>
        </is>
      </c>
      <c r="H216" s="6" t="n">
        <v>0.75</v>
      </c>
      <c r="I216" s="6" t="n">
        <v>1</v>
      </c>
      <c r="J216" s="6" t="n">
        <v>1.25</v>
      </c>
      <c r="P216">
        <f>MAX(P217,P218,P219,P220,P221,P222)</f>
        <v/>
      </c>
      <c r="S216">
        <f>S217+S218+S219+S220+S221+S222</f>
        <v/>
      </c>
      <c r="T216">
        <f>(E216/100000+F216/100+(P216/1000)*J216/5+S216/200)*200*I216*H216</f>
        <v/>
      </c>
      <c r="U216">
        <f>((E216*F216/25000)+((P216/1000)*J216*S216/2.5))*I216*H216</f>
        <v/>
      </c>
      <c r="V216">
        <f>(E216*F216*(P216/1000)*J216*S216*I216*H216)/12500000</f>
        <v/>
      </c>
      <c r="W216">
        <f>(T216+U216+V216)/3</f>
        <v/>
      </c>
      <c r="X216" s="6" t="n">
        <v>2000</v>
      </c>
      <c r="Y216">
        <f>IFERROR(W216-X216,"")</f>
        <v/>
      </c>
      <c r="Z216">
        <f>IFERROR(ABS(Y216)/MAX(X216,1),"")</f>
        <v/>
      </c>
      <c r="AA216">
        <f>IFERROR((X216-(((E216/100000+F216/100+S216/200)*200*I216*H216)+((E216*F216/25000)*I216*H216))/3)/(((J216/5)*200*I216*H216)+((J216*S216/2.5)*I216*H216)+((E216*F216*J216*S216*I216*H216)/12500000))/3*1000,"")</f>
        <v/>
      </c>
    </row>
    <row r="217">
      <c r="B217" s="7" t="inlineStr">
        <is>
          <t xml:space="preserve">  ↳ SkyHawkArrows</t>
        </is>
      </c>
      <c r="C217" s="7" t="inlineStr">
        <is>
          <t>Armament@Missiles</t>
        </is>
      </c>
      <c r="L217" s="6" t="n">
        <v>64000</v>
      </c>
      <c r="M217" s="6" t="n">
        <v>128</v>
      </c>
      <c r="N217" s="6" t="n">
        <v>1</v>
      </c>
      <c r="O217" s="6" t="n"/>
      <c r="P217" s="6" t="n">
        <v>3053</v>
      </c>
      <c r="Q217" s="6" t="n">
        <v>0.875</v>
      </c>
      <c r="R217">
        <f>M217+IF(MAX(N217-1,0)&gt;0,IF(ISBLANK(O217),5*MAX(N217-1,0),IF(ISNUMBER(O217),O217*MAX(N217-1,0),SUM(IFERROR(VALUE(TEXTSPLIT(O217,",")),0)))),0)</f>
        <v/>
      </c>
      <c r="S217">
        <f>IFERROR(L217*MAX(N217,1)/R217*IF(ISBLANK(K216),1,K216),0)</f>
        <v/>
      </c>
      <c r="AB217" s="7" t="inlineStr">
        <is>
          <t>^Warhead_MissileHE_Medium, ^Warhead_Arrow_Light</t>
        </is>
      </c>
    </row>
    <row r="218">
      <c r="B218" s="7" t="inlineStr">
        <is>
          <t xml:space="preserve">  ↳ SkyHawkArrowsEnergized</t>
        </is>
      </c>
      <c r="C218" s="7" t="inlineStr">
        <is>
          <t>Armament@MissilesUpgrade</t>
        </is>
      </c>
      <c r="L218" s="6" t="n">
        <v>64000</v>
      </c>
      <c r="M218" s="6" t="n">
        <v>128</v>
      </c>
      <c r="N218" s="6" t="n">
        <v>1</v>
      </c>
      <c r="O218" s="6" t="n"/>
      <c r="P218" s="6" t="n">
        <v>3053</v>
      </c>
      <c r="Q218" s="6" t="n">
        <v>0.875</v>
      </c>
      <c r="R218">
        <f>M218+IF(MAX(N218-1,0)&gt;0,IF(ISBLANK(O218),5*MAX(N218-1,0),IF(ISNUMBER(O218),O218*MAX(N218-1,0),SUM(IFERROR(VALUE(TEXTSPLIT(O218,",")),0)))),0)</f>
        <v/>
      </c>
      <c r="S218">
        <f>IFERROR(L218*MAX(N218,1)/R218*IF(ISBLANK(K216),1,K216),0)</f>
        <v/>
      </c>
      <c r="AB218" s="7" t="inlineStr">
        <is>
          <t>^Warhead_MissileHE_Medium, ^Warhead_Arrow_Light</t>
        </is>
      </c>
    </row>
    <row r="219">
      <c r="B219" s="7" t="inlineStr">
        <is>
          <t xml:space="preserve">  ↳ SkyHawkCannon</t>
        </is>
      </c>
      <c r="C219" s="7" t="inlineStr">
        <is>
          <t>Armament@Cannon</t>
        </is>
      </c>
      <c r="L219" s="6" t="n">
        <v>16000</v>
      </c>
      <c r="M219" s="6" t="n">
        <v>32</v>
      </c>
      <c r="N219" s="6" t="n">
        <v>1</v>
      </c>
      <c r="O219" s="6" t="n"/>
      <c r="P219" s="6" t="n">
        <v>3053</v>
      </c>
      <c r="Q219" s="6" t="n">
        <v>0.875</v>
      </c>
      <c r="R219">
        <f>M219+IF(MAX(N219-1,0)&gt;0,IF(ISBLANK(O219),5*MAX(N219-1,0),IF(ISNUMBER(O219),O219*MAX(N219-1,0),SUM(IFERROR(VALUE(TEXTSPLIT(O219,",")),0)))),0)</f>
        <v/>
      </c>
      <c r="S219">
        <f>IFERROR(L219*MAX(N219,1)/R219*IF(ISBLANK(K216),1,K216),0)</f>
        <v/>
      </c>
      <c r="AB219" s="7" t="inlineStr">
        <is>
          <t>^Warhead_Concussion_Medium, ^Warhead_CannonAP_Light</t>
        </is>
      </c>
    </row>
    <row r="220">
      <c r="B220" s="7" t="inlineStr">
        <is>
          <t xml:space="preserve">  ↳ SkyHawkPlasmaCannon</t>
        </is>
      </c>
      <c r="C220" s="7" t="inlineStr">
        <is>
          <t>Armament@CannonUpgrade</t>
        </is>
      </c>
      <c r="L220" s="6" t="n">
        <v>16000</v>
      </c>
      <c r="M220" s="6" t="n">
        <v>32</v>
      </c>
      <c r="N220" s="6" t="n">
        <v>1</v>
      </c>
      <c r="O220" s="6" t="n"/>
      <c r="P220" s="6" t="n">
        <v>3053</v>
      </c>
      <c r="Q220" s="6" t="n">
        <v>1</v>
      </c>
      <c r="R220">
        <f>M220+IF(MAX(N220-1,0)&gt;0,IF(ISBLANK(O220),5*MAX(N220-1,0),IF(ISNUMBER(O220),O220*MAX(N220-1,0),SUM(IFERROR(VALUE(TEXTSPLIT(O220,",")),0)))),0)</f>
        <v/>
      </c>
      <c r="S220">
        <f>IFERROR(L220*MAX(N220,1)/R220*IF(ISBLANK(K216),1,K216),0)</f>
        <v/>
      </c>
      <c r="AB220" s="7" t="inlineStr">
        <is>
          <t>^Warhead_Tesla_Heavy, ^Warhead_MissileAP_Medium, ^Warhead_Concussion_Medium, ^Warhead_CannonAP_Light</t>
        </is>
      </c>
    </row>
    <row r="221">
      <c r="B221" s="7" t="inlineStr">
        <is>
          <t xml:space="preserve">  ↳ SkyHawkChainGun</t>
        </is>
      </c>
      <c r="C221" s="7" t="inlineStr">
        <is>
          <t>Armament@ChainGun</t>
        </is>
      </c>
      <c r="L221" s="6" t="n">
        <v>4000</v>
      </c>
      <c r="M221" s="6" t="n">
        <v>8</v>
      </c>
      <c r="N221" s="6" t="n">
        <v>1</v>
      </c>
      <c r="O221" s="6" t="n"/>
      <c r="P221" s="6" t="n">
        <v>3053</v>
      </c>
      <c r="Q221" s="6" t="n">
        <v>0.875</v>
      </c>
      <c r="R221">
        <f>M221+IF(MAX(N221-1,0)&gt;0,IF(ISBLANK(O221),5*MAX(N221-1,0),IF(ISNUMBER(O221),O221*MAX(N221-1,0),SUM(IFERROR(VALUE(TEXTSPLIT(O221,",")),0)))),0)</f>
        <v/>
      </c>
      <c r="S221">
        <f>IFERROR(L221*MAX(N221,1)/R221*IF(ISBLANK(K216),1,K216),0)</f>
        <v/>
      </c>
      <c r="AB221" s="7" t="inlineStr">
        <is>
          <t>^Warhead_Demolition_Light, ^Warhead_Bullet_Medium</t>
        </is>
      </c>
    </row>
    <row r="222">
      <c r="B222" s="7" t="inlineStr">
        <is>
          <t xml:space="preserve">  ↳ SkyHawkChainGunWaveforce</t>
        </is>
      </c>
      <c r="C222" s="7" t="inlineStr">
        <is>
          <t>Armament@ChainGunUpgrade</t>
        </is>
      </c>
      <c r="L222" s="6" t="n">
        <v>6000</v>
      </c>
      <c r="M222" s="6" t="n">
        <v>8</v>
      </c>
      <c r="N222" s="6" t="n">
        <v>1</v>
      </c>
      <c r="O222" s="6" t="n"/>
      <c r="P222" s="6" t="n">
        <v>3053</v>
      </c>
      <c r="Q222" s="6" t="n">
        <v>1</v>
      </c>
      <c r="R222">
        <f>M222+IF(MAX(N222-1,0)&gt;0,IF(ISBLANK(O222),5*MAX(N222-1,0),IF(ISNUMBER(O222),O222*MAX(N222-1,0),SUM(IFERROR(VALUE(TEXTSPLIT(O222,",")),0)))),0)</f>
        <v/>
      </c>
      <c r="S222">
        <f>IFERROR(L222*MAX(N222,1)/R222*IF(ISBLANK(K216),1,K216),0)</f>
        <v/>
      </c>
      <c r="AB222" s="7" t="inlineStr">
        <is>
          <t>^Warhead_Railgun_Heavy, ^Warhead_Demolition_Light, ^Warhead_Bullet_Medium</t>
        </is>
      </c>
    </row>
    <row r="223">
      <c r="A223" t="inlineStr">
        <is>
          <t>redalert</t>
        </is>
      </c>
      <c r="B223" t="inlineStr">
        <is>
          <t>ra1_soviets_hindattackhelicopter</t>
        </is>
      </c>
      <c r="C223" t="inlineStr">
        <is>
          <t>Hind Attack Helicopter</t>
        </is>
      </c>
      <c r="D223" s="6" t="inlineStr">
        <is>
          <t>Helicopter</t>
        </is>
      </c>
      <c r="E223" s="6" t="n">
        <v>100000</v>
      </c>
      <c r="F223" s="6" t="n">
        <v>120</v>
      </c>
      <c r="G223" t="inlineStr">
        <is>
          <t>Helicopter</t>
        </is>
      </c>
      <c r="H223" s="6" t="n">
        <v>0.7333</v>
      </c>
      <c r="I223" s="6" t="n">
        <v>1</v>
      </c>
      <c r="J223" s="6" t="n">
        <v>1</v>
      </c>
      <c r="K223" t="n">
        <v>0.005</v>
      </c>
      <c r="P223">
        <f>MAX(P224,P225,P226,P227,P228,P229,P230,P231,P232,P233,P234,P235,P236)</f>
        <v/>
      </c>
      <c r="S223">
        <f>S224+S225+S226+S227+S228+S229+S230+S231+S232+S233+S234+S235+S236</f>
        <v/>
      </c>
      <c r="T223">
        <f>(E223/100000+F223/100+(P223/1000)*J223/5+S223/200)*200*I223*H223</f>
        <v/>
      </c>
      <c r="U223">
        <f>((E223*F223/25000)+((P223/1000)*J223*S223/2.5))*I223*H223</f>
        <v/>
      </c>
      <c r="V223">
        <f>(E223*F223*(P223/1000)*J223*S223*I223*H223)/12500000</f>
        <v/>
      </c>
      <c r="W223">
        <f>(T223+U223+V223)/3</f>
        <v/>
      </c>
      <c r="X223" s="6" t="n">
        <v>1800</v>
      </c>
      <c r="Y223">
        <f>IFERROR(W223-X223,"")</f>
        <v/>
      </c>
      <c r="Z223">
        <f>IFERROR(ABS(Y223)/MAX(X223,1),"")</f>
        <v/>
      </c>
      <c r="AA223">
        <f>IFERROR((X223-(((E223/100000+F223/100+S223/200)*200*I223*H223)+((E223*F223/25000)*I223*H223))/3)/(((J223/5)*200*I223*H223)+((J223*S223/2.5)*I223*H223)+((E223*F223*J223*S223*I223*H223)/12500000))/3*1000,"")</f>
        <v/>
      </c>
    </row>
    <row r="224">
      <c r="B224" s="7" t="inlineStr">
        <is>
          <t xml:space="preserve">  ↳ HindMissiles</t>
        </is>
      </c>
      <c r="C224" s="7" t="inlineStr">
        <is>
          <t>Armament@Missiles</t>
        </is>
      </c>
      <c r="L224" s="6" t="n">
        <v>6000</v>
      </c>
      <c r="M224" s="6" t="n">
        <v>16</v>
      </c>
      <c r="N224" s="6" t="n">
        <v>1</v>
      </c>
      <c r="O224" s="6" t="n"/>
      <c r="P224" s="6" t="n">
        <v>5528</v>
      </c>
      <c r="Q224" s="6" t="n">
        <v>1</v>
      </c>
      <c r="R224">
        <f>M224+IF(MAX(N224-1,0)&gt;0,IF(ISBLANK(O224),5*MAX(N224-1,0),IF(ISNUMBER(O224),O224*MAX(N224-1,0),SUM(IFERROR(VALUE(TEXTSPLIT(O224,",")),0)))),0)</f>
        <v/>
      </c>
      <c r="S224">
        <f>IFERROR(L224*MAX(N224,1)/R224*IF(ISBLANK(K223),1,K223),0)</f>
        <v/>
      </c>
      <c r="AB224" s="7" t="inlineStr">
        <is>
          <t>^Warhead_Demolition_Light, ^Warhead_MissileAP_Medium, ^Warhead_Concussion_Medium</t>
        </is>
      </c>
    </row>
    <row r="225">
      <c r="B225" s="7" t="inlineStr">
        <is>
          <t xml:space="preserve">  ↳ HindMissiles</t>
        </is>
      </c>
      <c r="C225" s="7" t="inlineStr">
        <is>
          <t>Armament@MissilesRocketPod1</t>
        </is>
      </c>
      <c r="L225" s="6" t="n">
        <v>6000</v>
      </c>
      <c r="M225" s="6" t="n">
        <v>16</v>
      </c>
      <c r="N225" s="6" t="n">
        <v>1</v>
      </c>
      <c r="O225" s="6" t="n"/>
      <c r="P225" s="6" t="n">
        <v>5528</v>
      </c>
      <c r="Q225" s="6" t="n">
        <v>1</v>
      </c>
      <c r="R225">
        <f>M225+IF(MAX(N225-1,0)&gt;0,IF(ISBLANK(O225),5*MAX(N225-1,0),IF(ISNUMBER(O225),O225*MAX(N225-1,0),SUM(IFERROR(VALUE(TEXTSPLIT(O225,",")),0)))),0)</f>
        <v/>
      </c>
      <c r="S225">
        <f>IFERROR(L225*MAX(N225,1)/R225*IF(ISBLANK(K223),1,K223),0)</f>
        <v/>
      </c>
      <c r="AB225" s="7" t="inlineStr">
        <is>
          <t>^Warhead_Demolition_Light, ^Warhead_MissileAP_Medium, ^Warhead_Concussion_Medium</t>
        </is>
      </c>
    </row>
    <row r="226">
      <c r="B226" s="7" t="inlineStr">
        <is>
          <t xml:space="preserve">  ↳ HindMissiles</t>
        </is>
      </c>
      <c r="C226" s="7" t="inlineStr">
        <is>
          <t>Armament@MissilesRocketPod2</t>
        </is>
      </c>
      <c r="L226" s="6" t="n">
        <v>6000</v>
      </c>
      <c r="M226" s="6" t="n">
        <v>16</v>
      </c>
      <c r="N226" s="6" t="n">
        <v>1</v>
      </c>
      <c r="O226" s="6" t="n"/>
      <c r="P226" s="6" t="n">
        <v>5528</v>
      </c>
      <c r="Q226" s="6" t="n">
        <v>1</v>
      </c>
      <c r="R226">
        <f>M226+IF(MAX(N226-1,0)&gt;0,IF(ISBLANK(O226),5*MAX(N226-1,0),IF(ISNUMBER(O226),O226*MAX(N226-1,0),SUM(IFERROR(VALUE(TEXTSPLIT(O226,",")),0)))),0)</f>
        <v/>
      </c>
      <c r="S226">
        <f>IFERROR(L226*MAX(N226,1)/R226*IF(ISBLANK(K223),1,K223),0)</f>
        <v/>
      </c>
      <c r="AB226" s="7" t="inlineStr">
        <is>
          <t>^Warhead_Demolition_Light, ^Warhead_MissileAP_Medium, ^Warhead_Concussion_Medium</t>
        </is>
      </c>
    </row>
    <row r="227">
      <c r="B227" s="7" t="inlineStr">
        <is>
          <t xml:space="preserve">  ↳ HindMissilesThermobaric</t>
        </is>
      </c>
      <c r="C227" s="7" t="inlineStr">
        <is>
          <t>Armament@MissilesHE</t>
        </is>
      </c>
      <c r="L227" s="6" t="n">
        <v>10000</v>
      </c>
      <c r="M227" s="6" t="n">
        <v>16</v>
      </c>
      <c r="N227" s="6" t="n">
        <v>1</v>
      </c>
      <c r="O227" s="6" t="n"/>
      <c r="P227" s="6" t="n">
        <v>5528</v>
      </c>
      <c r="Q227" s="6" t="n">
        <v>1.25</v>
      </c>
      <c r="R227">
        <f>M227+IF(MAX(N227-1,0)&gt;0,IF(ISBLANK(O227),5*MAX(N227-1,0),IF(ISNUMBER(O227),O227*MAX(N227-1,0),SUM(IFERROR(VALUE(TEXTSPLIT(O227,",")),0)))),0)</f>
        <v/>
      </c>
      <c r="S227">
        <f>IFERROR(L227*MAX(N227,1)/R227*IF(ISBLANK(K223),1,K223),0)</f>
        <v/>
      </c>
      <c r="AB227" s="7" t="inlineStr">
        <is>
          <t>^Warhead_CannonHE_Heavy</t>
        </is>
      </c>
    </row>
    <row r="228">
      <c r="B228" s="7" t="inlineStr">
        <is>
          <t xml:space="preserve">  ↳ HindMissilesThermobaric</t>
        </is>
      </c>
      <c r="C228" s="7" t="inlineStr">
        <is>
          <t>Armament@MissilesHERocketPod1</t>
        </is>
      </c>
      <c r="L228" s="6" t="n">
        <v>10000</v>
      </c>
      <c r="M228" s="6" t="n">
        <v>16</v>
      </c>
      <c r="N228" s="6" t="n">
        <v>1</v>
      </c>
      <c r="O228" s="6" t="n"/>
      <c r="P228" s="6" t="n">
        <v>5528</v>
      </c>
      <c r="Q228" s="6" t="n">
        <v>1.25</v>
      </c>
      <c r="R228">
        <f>M228+IF(MAX(N228-1,0)&gt;0,IF(ISBLANK(O228),5*MAX(N228-1,0),IF(ISNUMBER(O228),O228*MAX(N228-1,0),SUM(IFERROR(VALUE(TEXTSPLIT(O228,",")),0)))),0)</f>
        <v/>
      </c>
      <c r="S228">
        <f>IFERROR(L228*MAX(N228,1)/R228*IF(ISBLANK(K223),1,K223),0)</f>
        <v/>
      </c>
      <c r="AB228" s="7" t="inlineStr">
        <is>
          <t>^Warhead_CannonHE_Heavy</t>
        </is>
      </c>
    </row>
    <row r="229">
      <c r="B229" s="7" t="inlineStr">
        <is>
          <t xml:space="preserve">  ↳ HindMissilesThermobaric</t>
        </is>
      </c>
      <c r="C229" s="7" t="inlineStr">
        <is>
          <t>Armament@MissilesHERocketPod2</t>
        </is>
      </c>
      <c r="L229" s="6" t="n">
        <v>10000</v>
      </c>
      <c r="M229" s="6" t="n">
        <v>16</v>
      </c>
      <c r="N229" s="6" t="n">
        <v>1</v>
      </c>
      <c r="O229" s="6" t="n"/>
      <c r="P229" s="6" t="n">
        <v>5528</v>
      </c>
      <c r="Q229" s="6" t="n">
        <v>1.25</v>
      </c>
      <c r="R229">
        <f>M229+IF(MAX(N229-1,0)&gt;0,IF(ISBLANK(O229),5*MAX(N229-1,0),IF(ISNUMBER(O229),O229*MAX(N229-1,0),SUM(IFERROR(VALUE(TEXTSPLIT(O229,",")),0)))),0)</f>
        <v/>
      </c>
      <c r="S229">
        <f>IFERROR(L229*MAX(N229,1)/R229*IF(ISBLANK(K223),1,K223),0)</f>
        <v/>
      </c>
      <c r="AB229" s="7" t="inlineStr">
        <is>
          <t>^Warhead_CannonHE_Heavy</t>
        </is>
      </c>
    </row>
    <row r="230">
      <c r="B230" s="7" t="inlineStr">
        <is>
          <t xml:space="preserve">  ↳ HindMissilesNuclear</t>
        </is>
      </c>
      <c r="C230" s="7" t="inlineStr">
        <is>
          <t>Armament@MissilesNuke</t>
        </is>
      </c>
      <c r="L230" s="6" t="n">
        <v>8000</v>
      </c>
      <c r="M230" s="6" t="n">
        <v>16</v>
      </c>
      <c r="N230" s="6" t="n">
        <v>1</v>
      </c>
      <c r="O230" s="6" t="n"/>
      <c r="P230" s="6" t="n">
        <v>5528</v>
      </c>
      <c r="Q230" s="6" t="n">
        <v>1</v>
      </c>
      <c r="R230">
        <f>M230+IF(MAX(N230-1,0)&gt;0,IF(ISBLANK(O230),5*MAX(N230-1,0),IF(ISNUMBER(O230),O230*MAX(N230-1,0),SUM(IFERROR(VALUE(TEXTSPLIT(O230,",")),0)))),0)</f>
        <v/>
      </c>
      <c r="S230">
        <f>IFERROR(L230*MAX(N230,1)/R230*IF(ISBLANK(K223),1,K223),0)</f>
        <v/>
      </c>
      <c r="AB230" s="7" t="inlineStr">
        <is>
          <t>^TankDestroyerCannon, ^MediumFlameWeapon, ^NuclearWarhead, ^MediumMissile</t>
        </is>
      </c>
    </row>
    <row r="231">
      <c r="B231" s="7" t="inlineStr">
        <is>
          <t xml:space="preserve">  ↳ HindMissilesNuclear</t>
        </is>
      </c>
      <c r="C231" s="7" t="inlineStr">
        <is>
          <t>Armament@MissilesNukeRocketPod1</t>
        </is>
      </c>
      <c r="L231" s="6" t="n">
        <v>8000</v>
      </c>
      <c r="M231" s="6" t="n">
        <v>16</v>
      </c>
      <c r="N231" s="6" t="n">
        <v>1</v>
      </c>
      <c r="O231" s="6" t="n"/>
      <c r="P231" s="6" t="n">
        <v>5528</v>
      </c>
      <c r="Q231" s="6" t="n">
        <v>1</v>
      </c>
      <c r="R231">
        <f>M231+IF(MAX(N231-1,0)&gt;0,IF(ISBLANK(O231),5*MAX(N231-1,0),IF(ISNUMBER(O231),O231*MAX(N231-1,0),SUM(IFERROR(VALUE(TEXTSPLIT(O231,",")),0)))),0)</f>
        <v/>
      </c>
      <c r="S231">
        <f>IFERROR(L231*MAX(N231,1)/R231*IF(ISBLANK(K223),1,K223),0)</f>
        <v/>
      </c>
      <c r="AB231" s="7" t="inlineStr">
        <is>
          <t>^TankDestroyerCannon, ^MediumFlameWeapon, ^NuclearWarhead, ^MediumMissile</t>
        </is>
      </c>
    </row>
    <row r="232">
      <c r="B232" s="7" t="inlineStr">
        <is>
          <t xml:space="preserve">  ↳ HindMissilesNuclear</t>
        </is>
      </c>
      <c r="C232" s="7" t="inlineStr">
        <is>
          <t>Armament@MissilesNukeRocketPod2</t>
        </is>
      </c>
      <c r="L232" s="6" t="n">
        <v>8000</v>
      </c>
      <c r="M232" s="6" t="n">
        <v>16</v>
      </c>
      <c r="N232" s="6" t="n">
        <v>1</v>
      </c>
      <c r="O232" s="6" t="n"/>
      <c r="P232" s="6" t="n">
        <v>5528</v>
      </c>
      <c r="Q232" s="6" t="n">
        <v>1</v>
      </c>
      <c r="R232">
        <f>M232+IF(MAX(N232-1,0)&gt;0,IF(ISBLANK(O232),5*MAX(N232-1,0),IF(ISNUMBER(O232),O232*MAX(N232-1,0),SUM(IFERROR(VALUE(TEXTSPLIT(O232,",")),0)))),0)</f>
        <v/>
      </c>
      <c r="S232">
        <f>IFERROR(L232*MAX(N232,1)/R232*IF(ISBLANK(K223),1,K223),0)</f>
        <v/>
      </c>
      <c r="AB232" s="7" t="inlineStr">
        <is>
          <t>^TankDestroyerCannon, ^MediumFlameWeapon, ^NuclearWarhead, ^MediumMissile</t>
        </is>
      </c>
    </row>
    <row r="233">
      <c r="B233" s="7" t="inlineStr">
        <is>
          <t xml:space="preserve">  ↳ ChainGun</t>
        </is>
      </c>
      <c r="C233" s="7" t="inlineStr">
        <is>
          <t>Armament@PRIMARY</t>
        </is>
      </c>
      <c r="L233" s="6" t="n">
        <v>2000</v>
      </c>
      <c r="M233" s="6" t="n">
        <v>8</v>
      </c>
      <c r="N233" s="6" t="n">
        <v>1</v>
      </c>
      <c r="O233" s="6" t="n"/>
      <c r="P233" s="6" t="n">
        <v>5528</v>
      </c>
      <c r="Q233" s="6" t="n">
        <v>1</v>
      </c>
      <c r="R233">
        <f>M233+IF(MAX(N233-1,0)&gt;0,IF(ISBLANK(O233),5*MAX(N233-1,0),IF(ISNUMBER(O233),O233*MAX(N233-1,0),SUM(IFERROR(VALUE(TEXTSPLIT(O233,",")),0)))),0)</f>
        <v/>
      </c>
      <c r="S233">
        <f>IFERROR(L233*MAX(N233,1)/R233*IF(ISBLANK(K223),1,K223),0)</f>
        <v/>
      </c>
      <c r="AB233" s="7" t="inlineStr">
        <is>
          <t>^Warhead_Bullet_Medium</t>
        </is>
      </c>
    </row>
    <row r="234">
      <c r="B234" s="7" t="inlineStr">
        <is>
          <t xml:space="preserve">  ↳ ChainGun</t>
        </is>
      </c>
      <c r="C234" s="7" t="inlineStr">
        <is>
          <t>Armament@SECONDARY</t>
        </is>
      </c>
      <c r="L234" s="6" t="n">
        <v>2000</v>
      </c>
      <c r="M234" s="6" t="n">
        <v>8</v>
      </c>
      <c r="N234" s="6" t="n">
        <v>1</v>
      </c>
      <c r="O234" s="6" t="n"/>
      <c r="P234" s="6" t="n">
        <v>5528</v>
      </c>
      <c r="Q234" s="6" t="n">
        <v>1</v>
      </c>
      <c r="R234">
        <f>M234+IF(MAX(N234-1,0)&gt;0,IF(ISBLANK(O234),5*MAX(N234-1,0),IF(ISNUMBER(O234),O234*MAX(N234-1,0),SUM(IFERROR(VALUE(TEXTSPLIT(O234,",")),0)))),0)</f>
        <v/>
      </c>
      <c r="S234">
        <f>IFERROR(L234*MAX(N234,1)/R234*IF(ISBLANK(K223),1,K223),0)</f>
        <v/>
      </c>
      <c r="AB234" s="7" t="inlineStr">
        <is>
          <t>^Warhead_Bullet_Medium</t>
        </is>
      </c>
    </row>
    <row r="235">
      <c r="B235" s="7" t="inlineStr">
        <is>
          <t xml:space="preserve">  ↳ IncendiaryChainGun</t>
        </is>
      </c>
      <c r="C235" s="7" t="inlineStr">
        <is>
          <t>Armament@Upgrade1</t>
        </is>
      </c>
      <c r="L235" s="6" t="n">
        <v>4000</v>
      </c>
      <c r="M235" s="6" t="n">
        <v>8</v>
      </c>
      <c r="N235" s="6" t="n">
        <v>1</v>
      </c>
      <c r="O235" s="6" t="n"/>
      <c r="P235" s="6" t="n">
        <v>5528</v>
      </c>
      <c r="Q235" s="6" t="n">
        <v>0.875</v>
      </c>
      <c r="R235">
        <f>M235+IF(MAX(N235-1,0)&gt;0,IF(ISBLANK(O235),5*MAX(N235-1,0),IF(ISNUMBER(O235),O235*MAX(N235-1,0),SUM(IFERROR(VALUE(TEXTSPLIT(O235,",")),0)))),0)</f>
        <v/>
      </c>
      <c r="S235">
        <f>IFERROR(L235*MAX(N235,1)/R235*IF(ISBLANK(K223),1,K223),0)</f>
        <v/>
      </c>
      <c r="AB235" s="7" t="inlineStr">
        <is>
          <t>^Warhead_Flame_Light, ^Warhead_Bullet_Medium</t>
        </is>
      </c>
    </row>
    <row r="236">
      <c r="B236" s="7" t="inlineStr">
        <is>
          <t xml:space="preserve">  ↳ IncendiaryChainGun</t>
        </is>
      </c>
      <c r="C236" s="7" t="inlineStr">
        <is>
          <t>Armament@Upgrade2</t>
        </is>
      </c>
      <c r="L236" s="6" t="n">
        <v>4000</v>
      </c>
      <c r="M236" s="6" t="n">
        <v>8</v>
      </c>
      <c r="N236" s="6" t="n">
        <v>1</v>
      </c>
      <c r="O236" s="6" t="n"/>
      <c r="P236" s="6" t="n">
        <v>5528</v>
      </c>
      <c r="Q236" s="6" t="n">
        <v>0.875</v>
      </c>
      <c r="R236">
        <f>M236+IF(MAX(N236-1,0)&gt;0,IF(ISBLANK(O236),5*MAX(N236-1,0),IF(ISNUMBER(O236),O236*MAX(N236-1,0),SUM(IFERROR(VALUE(TEXTSPLIT(O236,",")),0)))),0)</f>
        <v/>
      </c>
      <c r="S236">
        <f>IFERROR(L236*MAX(N236,1)/R236*IF(ISBLANK(K223),1,K223),0)</f>
        <v/>
      </c>
      <c r="AB236" s="7" t="inlineStr">
        <is>
          <t>^Warhead_Flame_Light, ^Warhead_Bullet_Medium</t>
        </is>
      </c>
    </row>
    <row r="237">
      <c r="A237" t="inlineStr">
        <is>
          <t>redalert</t>
        </is>
      </c>
      <c r="B237" t="inlineStr">
        <is>
          <t>ra1_soviets_kamovattackhelicopter</t>
        </is>
      </c>
      <c r="C237" t="inlineStr">
        <is>
          <t>Kamov Attack Helicopter</t>
        </is>
      </c>
      <c r="D237" s="6" t="inlineStr">
        <is>
          <t>Helicopter</t>
        </is>
      </c>
      <c r="E237" s="6" t="n">
        <v>122500</v>
      </c>
      <c r="F237" s="6" t="n">
        <v>125</v>
      </c>
      <c r="G237" t="inlineStr">
        <is>
          <t>Helicopter</t>
        </is>
      </c>
      <c r="H237" s="6" t="n">
        <v>0.7333</v>
      </c>
      <c r="I237" s="6" t="n">
        <v>1</v>
      </c>
      <c r="J237" s="6" t="n">
        <v>1</v>
      </c>
      <c r="K237" t="n">
        <v>0.0025</v>
      </c>
      <c r="P237">
        <f>MAX(P238,P239,P240,P241,P242,P243,P244,P245,P246,P247,P248,P249)</f>
        <v/>
      </c>
      <c r="S237">
        <f>S238+S239+S240+S241+S242+S243+S244+S245+S246+S247+S248+S249</f>
        <v/>
      </c>
      <c r="T237">
        <f>(E237/100000+F237/100+(P237/1000)*J237/5+S237/200)*200*I237*H237</f>
        <v/>
      </c>
      <c r="U237">
        <f>((E237*F237/25000)+((P237/1000)*J237*S237/2.5))*I237*H237</f>
        <v/>
      </c>
      <c r="V237">
        <f>(E237*F237*(P237/1000)*J237*S237*I237*H237)/12500000</f>
        <v/>
      </c>
      <c r="W237">
        <f>(T237+U237+V237)/3</f>
        <v/>
      </c>
      <c r="X237" s="6" t="n">
        <v>2100</v>
      </c>
      <c r="Y237">
        <f>IFERROR(W237-X237,"")</f>
        <v/>
      </c>
      <c r="Z237">
        <f>IFERROR(ABS(Y237)/MAX(X237,1),"")</f>
        <v/>
      </c>
      <c r="AA237">
        <f>IFERROR((X237-(((E237/100000+F237/100+S237/200)*200*I237*H237)+((E237*F237/25000)*I237*H237))/3)/(((J237/5)*200*I237*H237)+((J237*S237/2.5)*I237*H237)+((E237*F237*J237*S237*I237*H237)/12500000))/3*1000,"")</f>
        <v/>
      </c>
    </row>
    <row r="238">
      <c r="B238" s="7" t="inlineStr">
        <is>
          <t xml:space="preserve">  ↳ KamovTesla</t>
        </is>
      </c>
      <c r="C238" s="7" t="inlineStr">
        <is>
          <t>Armament@Tesla</t>
        </is>
      </c>
      <c r="L238" s="6" t="n">
        <v>32000</v>
      </c>
      <c r="M238" s="6" t="n">
        <v>32</v>
      </c>
      <c r="N238" s="6" t="n">
        <v>1</v>
      </c>
      <c r="O238" s="6" t="n"/>
      <c r="P238" s="6" t="n">
        <v>5528</v>
      </c>
      <c r="Q238" s="6" t="n">
        <v>1</v>
      </c>
      <c r="R238">
        <f>M238+IF(MAX(N238-1,0)&gt;0,IF(ISBLANK(O238),5*MAX(N238-1,0),IF(ISNUMBER(O238),O238*MAX(N238-1,0),SUM(IFERROR(VALUE(TEXTSPLIT(O238,",")),0)))),0)</f>
        <v/>
      </c>
      <c r="S238">
        <f>IFERROR(L238*MAX(N238,1)/R238*IF(ISBLANK(K237),1,K237),0)</f>
        <v/>
      </c>
      <c r="AB238" s="7" t="inlineStr">
        <is>
          <t>^Warhead_MissileAP_Light, ^Warhead_Tesla_Heavy</t>
        </is>
      </c>
    </row>
    <row r="239">
      <c r="B239" s="7" t="inlineStr">
        <is>
          <t xml:space="preserve">  ↳ KamovTeslaArc</t>
        </is>
      </c>
      <c r="C239" s="7" t="inlineStr">
        <is>
          <t>Armament@Arcing</t>
        </is>
      </c>
      <c r="L239" s="6" t="n">
        <v>32000</v>
      </c>
      <c r="M239" s="6" t="n">
        <v>32</v>
      </c>
      <c r="N239" s="6" t="n">
        <v>1</v>
      </c>
      <c r="O239" s="6" t="n"/>
      <c r="P239" s="6" t="n">
        <v>5528</v>
      </c>
      <c r="Q239" s="6" t="n">
        <v>1</v>
      </c>
      <c r="R239">
        <f>M239+IF(MAX(N239-1,0)&gt;0,IF(ISBLANK(O239),5*MAX(N239-1,0),IF(ISNUMBER(O239),O239*MAX(N239-1,0),SUM(IFERROR(VALUE(TEXTSPLIT(O239,",")),0)))),0)</f>
        <v/>
      </c>
      <c r="S239">
        <f>IFERROR(L239*MAX(N239,1)/R239*IF(ISBLANK(K237),1,K237),0)</f>
        <v/>
      </c>
      <c r="AB239" s="7" t="inlineStr">
        <is>
          <t>^Warhead_MissileAP_Light, ^Warhead_Tesla_Heavy</t>
        </is>
      </c>
    </row>
    <row r="240">
      <c r="B240" s="7" t="inlineStr">
        <is>
          <t xml:space="preserve">  ↳ HindMissiles</t>
        </is>
      </c>
      <c r="C240" s="7" t="inlineStr">
        <is>
          <t>Armament@Missiles</t>
        </is>
      </c>
      <c r="L240" s="6" t="n">
        <v>6000</v>
      </c>
      <c r="M240" s="6" t="n">
        <v>16</v>
      </c>
      <c r="N240" s="6" t="n">
        <v>1</v>
      </c>
      <c r="O240" s="6" t="n"/>
      <c r="P240" s="6" t="n">
        <v>5528</v>
      </c>
      <c r="Q240" s="6" t="n">
        <v>1</v>
      </c>
      <c r="R240">
        <f>M240+IF(MAX(N240-1,0)&gt;0,IF(ISBLANK(O240),5*MAX(N240-1,0),IF(ISNUMBER(O240),O240*MAX(N240-1,0),SUM(IFERROR(VALUE(TEXTSPLIT(O240,",")),0)))),0)</f>
        <v/>
      </c>
      <c r="S240">
        <f>IFERROR(L240*MAX(N240,1)/R240*IF(ISBLANK(K237),1,K237),0)</f>
        <v/>
      </c>
      <c r="AB240" s="7" t="inlineStr">
        <is>
          <t>^Warhead_Demolition_Light, ^Warhead_MissileAP_Medium, ^Warhead_Concussion_Medium</t>
        </is>
      </c>
    </row>
    <row r="241">
      <c r="B241" s="7" t="inlineStr">
        <is>
          <t xml:space="preserve">  ↳ HindMissiles</t>
        </is>
      </c>
      <c r="C241" s="7" t="inlineStr">
        <is>
          <t>Armament@MissilesRocketPod1</t>
        </is>
      </c>
      <c r="L241" s="6" t="n">
        <v>6000</v>
      </c>
      <c r="M241" s="6" t="n">
        <v>16</v>
      </c>
      <c r="N241" s="6" t="n">
        <v>1</v>
      </c>
      <c r="O241" s="6" t="n"/>
      <c r="P241" s="6" t="n">
        <v>5528</v>
      </c>
      <c r="Q241" s="6" t="n">
        <v>1</v>
      </c>
      <c r="R241">
        <f>M241+IF(MAX(N241-1,0)&gt;0,IF(ISBLANK(O241),5*MAX(N241-1,0),IF(ISNUMBER(O241),O241*MAX(N241-1,0),SUM(IFERROR(VALUE(TEXTSPLIT(O241,",")),0)))),0)</f>
        <v/>
      </c>
      <c r="S241">
        <f>IFERROR(L241*MAX(N241,1)/R241*IF(ISBLANK(K237),1,K237),0)</f>
        <v/>
      </c>
      <c r="AB241" s="7" t="inlineStr">
        <is>
          <t>^Warhead_Demolition_Light, ^Warhead_MissileAP_Medium, ^Warhead_Concussion_Medium</t>
        </is>
      </c>
    </row>
    <row r="242">
      <c r="B242" s="7" t="inlineStr">
        <is>
          <t xml:space="preserve">  ↳ HindMissiles</t>
        </is>
      </c>
      <c r="C242" s="7" t="inlineStr">
        <is>
          <t>Armament@MissilesRocketPod2</t>
        </is>
      </c>
      <c r="L242" s="6" t="n">
        <v>6000</v>
      </c>
      <c r="M242" s="6" t="n">
        <v>16</v>
      </c>
      <c r="N242" s="6" t="n">
        <v>1</v>
      </c>
      <c r="O242" s="6" t="n"/>
      <c r="P242" s="6" t="n">
        <v>5528</v>
      </c>
      <c r="Q242" s="6" t="n">
        <v>1</v>
      </c>
      <c r="R242">
        <f>M242+IF(MAX(N242-1,0)&gt;0,IF(ISBLANK(O242),5*MAX(N242-1,0),IF(ISNUMBER(O242),O242*MAX(N242-1,0),SUM(IFERROR(VALUE(TEXTSPLIT(O242,",")),0)))),0)</f>
        <v/>
      </c>
      <c r="S242">
        <f>IFERROR(L242*MAX(N242,1)/R242*IF(ISBLANK(K237),1,K237),0)</f>
        <v/>
      </c>
      <c r="AB242" s="7" t="inlineStr">
        <is>
          <t>^Warhead_Demolition_Light, ^Warhead_MissileAP_Medium, ^Warhead_Concussion_Medium</t>
        </is>
      </c>
    </row>
    <row r="243">
      <c r="B243" s="7" t="inlineStr">
        <is>
          <t xml:space="preserve">  ↳ KamovMissilesTesla</t>
        </is>
      </c>
      <c r="C243" s="7" t="inlineStr">
        <is>
          <t>Armament@MissilesUpgrade</t>
        </is>
      </c>
      <c r="L243" s="6" t="n">
        <v>10000</v>
      </c>
      <c r="M243" s="6" t="n">
        <v>16</v>
      </c>
      <c r="N243" s="6" t="n">
        <v>1</v>
      </c>
      <c r="O243" s="6" t="n"/>
      <c r="P243" s="6" t="n">
        <v>5528</v>
      </c>
      <c r="Q243" s="6" t="n">
        <v>1</v>
      </c>
      <c r="R243">
        <f>M243+IF(MAX(N243-1,0)&gt;0,IF(ISBLANK(O243),5*MAX(N243-1,0),IF(ISNUMBER(O243),O243*MAX(N243-1,0),SUM(IFERROR(VALUE(TEXTSPLIT(O243,",")),0)))),0)</f>
        <v/>
      </c>
      <c r="S243">
        <f>IFERROR(L243*MAX(N243,1)/R243*IF(ISBLANK(K237),1,K237),0)</f>
        <v/>
      </c>
      <c r="AB243" s="7" t="inlineStr">
        <is>
          <t>^Grenade, ^ShrapnelWeapon, ^MediumFlameWeapon, ^TeslaWeapon, ^MediumMissile, ^Effect_Tesla_Impact_RA2</t>
        </is>
      </c>
    </row>
    <row r="244">
      <c r="B244" s="7" t="inlineStr">
        <is>
          <t xml:space="preserve">  ↳ KamovMissilesTesla</t>
        </is>
      </c>
      <c r="C244" s="7" t="inlineStr">
        <is>
          <t>Armament@MissilesUpgradeRocketPod1</t>
        </is>
      </c>
      <c r="L244" s="6" t="n">
        <v>10000</v>
      </c>
      <c r="M244" s="6" t="n">
        <v>16</v>
      </c>
      <c r="N244" s="6" t="n">
        <v>1</v>
      </c>
      <c r="O244" s="6" t="n"/>
      <c r="P244" s="6" t="n">
        <v>5528</v>
      </c>
      <c r="Q244" s="6" t="n">
        <v>1</v>
      </c>
      <c r="R244">
        <f>M244+IF(MAX(N244-1,0)&gt;0,IF(ISBLANK(O244),5*MAX(N244-1,0),IF(ISNUMBER(O244),O244*MAX(N244-1,0),SUM(IFERROR(VALUE(TEXTSPLIT(O244,",")),0)))),0)</f>
        <v/>
      </c>
      <c r="S244">
        <f>IFERROR(L244*MAX(N244,1)/R244*IF(ISBLANK(K237),1,K237),0)</f>
        <v/>
      </c>
      <c r="AB244" s="7" t="inlineStr">
        <is>
          <t>^Grenade, ^ShrapnelWeapon, ^MediumFlameWeapon, ^TeslaWeapon, ^MediumMissile, ^Effect_Tesla_Impact_RA2</t>
        </is>
      </c>
    </row>
    <row r="245">
      <c r="B245" s="7" t="inlineStr">
        <is>
          <t xml:space="preserve">  ↳ KamovMissilesTesla</t>
        </is>
      </c>
      <c r="C245" s="7" t="inlineStr">
        <is>
          <t>Armament@MissilesUpgradeRocketPod2</t>
        </is>
      </c>
      <c r="L245" s="6" t="n">
        <v>10000</v>
      </c>
      <c r="M245" s="6" t="n">
        <v>16</v>
      </c>
      <c r="N245" s="6" t="n">
        <v>1</v>
      </c>
      <c r="O245" s="6" t="n"/>
      <c r="P245" s="6" t="n">
        <v>5528</v>
      </c>
      <c r="Q245" s="6" t="n">
        <v>1</v>
      </c>
      <c r="R245">
        <f>M245+IF(MAX(N245-1,0)&gt;0,IF(ISBLANK(O245),5*MAX(N245-1,0),IF(ISNUMBER(O245),O245*MAX(N245-1,0),SUM(IFERROR(VALUE(TEXTSPLIT(O245,",")),0)))),0)</f>
        <v/>
      </c>
      <c r="S245">
        <f>IFERROR(L245*MAX(N245,1)/R245*IF(ISBLANK(K237),1,K237),0)</f>
        <v/>
      </c>
      <c r="AB245" s="7" t="inlineStr">
        <is>
          <t>^Grenade, ^ShrapnelWeapon, ^MediumFlameWeapon, ^TeslaWeapon, ^MediumMissile, ^Effect_Tesla_Impact_RA2</t>
        </is>
      </c>
    </row>
    <row r="246">
      <c r="B246" s="7" t="inlineStr">
        <is>
          <t xml:space="preserve">  ↳ ChainGun</t>
        </is>
      </c>
      <c r="C246" s="7" t="inlineStr">
        <is>
          <t>Armament@PRIMARY</t>
        </is>
      </c>
      <c r="L246" s="6" t="n">
        <v>2000</v>
      </c>
      <c r="M246" s="6" t="n">
        <v>8</v>
      </c>
      <c r="N246" s="6" t="n">
        <v>1</v>
      </c>
      <c r="O246" s="6" t="n"/>
      <c r="P246" s="6" t="n">
        <v>5528</v>
      </c>
      <c r="Q246" s="6" t="n">
        <v>1</v>
      </c>
      <c r="R246">
        <f>M246+IF(MAX(N246-1,0)&gt;0,IF(ISBLANK(O246),5*MAX(N246-1,0),IF(ISNUMBER(O246),O246*MAX(N246-1,0),SUM(IFERROR(VALUE(TEXTSPLIT(O246,",")),0)))),0)</f>
        <v/>
      </c>
      <c r="S246">
        <f>IFERROR(L246*MAX(N246,1)/R246*IF(ISBLANK(K237),1,K237),0)</f>
        <v/>
      </c>
      <c r="AB246" s="7" t="inlineStr">
        <is>
          <t>^Warhead_Bullet_Medium</t>
        </is>
      </c>
    </row>
    <row r="247">
      <c r="B247" s="7" t="inlineStr">
        <is>
          <t xml:space="preserve">  ↳ ChainGun</t>
        </is>
      </c>
      <c r="C247" s="7" t="inlineStr">
        <is>
          <t>Armament@SECONDARY</t>
        </is>
      </c>
      <c r="L247" s="6" t="n">
        <v>2000</v>
      </c>
      <c r="M247" s="6" t="n">
        <v>8</v>
      </c>
      <c r="N247" s="6" t="n">
        <v>1</v>
      </c>
      <c r="O247" s="6" t="n"/>
      <c r="P247" s="6" t="n">
        <v>5528</v>
      </c>
      <c r="Q247" s="6" t="n">
        <v>1</v>
      </c>
      <c r="R247">
        <f>M247+IF(MAX(N247-1,0)&gt;0,IF(ISBLANK(O247),5*MAX(N247-1,0),IF(ISNUMBER(O247),O247*MAX(N247-1,0),SUM(IFERROR(VALUE(TEXTSPLIT(O247,",")),0)))),0)</f>
        <v/>
      </c>
      <c r="S247">
        <f>IFERROR(L247*MAX(N247,1)/R247*IF(ISBLANK(K237),1,K237),0)</f>
        <v/>
      </c>
      <c r="AB247" s="7" t="inlineStr">
        <is>
          <t>^Warhead_Bullet_Medium</t>
        </is>
      </c>
    </row>
    <row r="248">
      <c r="B248" s="7" t="inlineStr">
        <is>
          <t xml:space="preserve">  ↳ IncendiaryChainGun</t>
        </is>
      </c>
      <c r="C248" s="7" t="inlineStr">
        <is>
          <t>Armament@Upgrade1</t>
        </is>
      </c>
      <c r="L248" s="6" t="n">
        <v>4000</v>
      </c>
      <c r="M248" s="6" t="n">
        <v>8</v>
      </c>
      <c r="N248" s="6" t="n">
        <v>1</v>
      </c>
      <c r="O248" s="6" t="n"/>
      <c r="P248" s="6" t="n">
        <v>5528</v>
      </c>
      <c r="Q248" s="6" t="n">
        <v>0.875</v>
      </c>
      <c r="R248">
        <f>M248+IF(MAX(N248-1,0)&gt;0,IF(ISBLANK(O248),5*MAX(N248-1,0),IF(ISNUMBER(O248),O248*MAX(N248-1,0),SUM(IFERROR(VALUE(TEXTSPLIT(O248,",")),0)))),0)</f>
        <v/>
      </c>
      <c r="S248">
        <f>IFERROR(L248*MAX(N248,1)/R248*IF(ISBLANK(K237),1,K237),0)</f>
        <v/>
      </c>
      <c r="AB248" s="7" t="inlineStr">
        <is>
          <t>^Warhead_Flame_Light, ^Warhead_Bullet_Medium</t>
        </is>
      </c>
    </row>
    <row r="249">
      <c r="B249" s="7" t="inlineStr">
        <is>
          <t xml:space="preserve">  ↳ IncendiaryChainGun</t>
        </is>
      </c>
      <c r="C249" s="7" t="inlineStr">
        <is>
          <t>Armament@Upgrade2</t>
        </is>
      </c>
      <c r="L249" s="6" t="n">
        <v>4000</v>
      </c>
      <c r="M249" s="6" t="n">
        <v>8</v>
      </c>
      <c r="N249" s="6" t="n">
        <v>1</v>
      </c>
      <c r="O249" s="6" t="n"/>
      <c r="P249" s="6" t="n">
        <v>5528</v>
      </c>
      <c r="Q249" s="6" t="n">
        <v>0.875</v>
      </c>
      <c r="R249">
        <f>M249+IF(MAX(N249-1,0)&gt;0,IF(ISBLANK(O249),5*MAX(N249-1,0),IF(ISNUMBER(O249),O249*MAX(N249-1,0),SUM(IFERROR(VALUE(TEXTSPLIT(O249,",")),0)))),0)</f>
        <v/>
      </c>
      <c r="S249">
        <f>IFERROR(L249*MAX(N249,1)/R249*IF(ISBLANK(K237),1,K237),0)</f>
        <v/>
      </c>
      <c r="AB249" s="7" t="inlineStr">
        <is>
          <t>^Warhead_Flame_Light, ^Warhead_Bullet_Medium</t>
        </is>
      </c>
    </row>
    <row r="250">
      <c r="A250" t="inlineStr">
        <is>
          <t>redalert</t>
        </is>
      </c>
      <c r="B250" t="inlineStr">
        <is>
          <t>ra1_allies_blackhawk</t>
        </is>
      </c>
      <c r="C250" t="inlineStr">
        <is>
          <t>Black Hawk</t>
        </is>
      </c>
      <c r="D250" s="6" t="inlineStr">
        <is>
          <t>Helicopter</t>
        </is>
      </c>
      <c r="E250" s="6" t="n">
        <v>50000</v>
      </c>
      <c r="F250" s="6" t="n">
        <v>130</v>
      </c>
      <c r="G250" t="inlineStr">
        <is>
          <t>Helicopter</t>
        </is>
      </c>
      <c r="H250" s="6" t="n">
        <v>1</v>
      </c>
      <c r="I250" s="6" t="n">
        <v>1</v>
      </c>
      <c r="J250" s="6" t="n">
        <v>1</v>
      </c>
      <c r="K250" t="n">
        <v>0.0025</v>
      </c>
      <c r="P250">
        <f>MAX(P251,P252,P253,P254)</f>
        <v/>
      </c>
      <c r="S250">
        <f>S251+S252+S253+S254</f>
        <v/>
      </c>
      <c r="T250">
        <f>(E250/100000+F250/100+(P250/1000)*J250/5+S250/200)*200*I250*H250</f>
        <v/>
      </c>
      <c r="U250">
        <f>((E250*F250/25000)+((P250/1000)*J250*S250/2.5))*I250*H250</f>
        <v/>
      </c>
      <c r="V250">
        <f>(E250*F250*(P250/1000)*J250*S250*I250*H250)/12500000</f>
        <v/>
      </c>
      <c r="W250">
        <f>(T250+U250+V250)/3</f>
        <v/>
      </c>
      <c r="X250" s="6" t="n">
        <v>1000</v>
      </c>
      <c r="Y250">
        <f>IFERROR(W250-X250,"")</f>
        <v/>
      </c>
      <c r="Z250">
        <f>IFERROR(ABS(Y250)/MAX(X250,1),"")</f>
        <v/>
      </c>
      <c r="AA250">
        <f>IFERROR((X250-(((E250/100000+F250/100+S250/200)*200*I250*H250)+((E250*F250/25000)*I250*H250))/3)/(((J250/5)*200*I250*H250)+((J250*S250/2.5)*I250*H250)+((E250*F250*J250*S250*I250*H250)/12500000))/3*1000,"")</f>
        <v/>
      </c>
    </row>
    <row r="251">
      <c r="B251" s="7" t="inlineStr">
        <is>
          <t xml:space="preserve">  ↳ ChainGunMH60</t>
        </is>
      </c>
      <c r="C251" s="7" t="inlineStr">
        <is>
          <t>Armament@PRIMARY</t>
        </is>
      </c>
      <c r="L251" s="6" t="n">
        <v>8000</v>
      </c>
      <c r="M251" s="6" t="n">
        <v>6</v>
      </c>
      <c r="N251" s="6" t="n">
        <v>1</v>
      </c>
      <c r="O251" s="6" t="n"/>
      <c r="P251" s="6" t="n">
        <v>3375</v>
      </c>
      <c r="Q251" s="6" t="n">
        <v>1</v>
      </c>
      <c r="R251">
        <f>M251+IF(MAX(N251-1,0)&gt;0,IF(ISBLANK(O251),5*MAX(N251-1,0),IF(ISNUMBER(O251),O251*MAX(N251-1,0),SUM(IFERROR(VALUE(TEXTSPLIT(O251,",")),0)))),0)</f>
        <v/>
      </c>
      <c r="S251">
        <f>IFERROR(L251*MAX(N251,1)/R251*IF(ISBLANK(K250),1,K250),0)</f>
        <v/>
      </c>
      <c r="AB251" s="7" t="inlineStr">
        <is>
          <t>^Warhead_Bullet_Medium</t>
        </is>
      </c>
    </row>
    <row r="252">
      <c r="B252" s="7" t="inlineStr">
        <is>
          <t xml:space="preserve">  ↳ ChainGunMH60</t>
        </is>
      </c>
      <c r="C252" s="7" t="inlineStr">
        <is>
          <t>Armament@SECONDARY</t>
        </is>
      </c>
      <c r="L252" s="6" t="n">
        <v>8000</v>
      </c>
      <c r="M252" s="6" t="n">
        <v>6</v>
      </c>
      <c r="N252" s="6" t="n">
        <v>1</v>
      </c>
      <c r="O252" s="6" t="n"/>
      <c r="P252" s="6" t="n">
        <v>3375</v>
      </c>
      <c r="Q252" s="6" t="n">
        <v>1</v>
      </c>
      <c r="R252">
        <f>M252+IF(MAX(N252-1,0)&gt;0,IF(ISBLANK(O252),5*MAX(N252-1,0),IF(ISNUMBER(O252),O252*MAX(N252-1,0),SUM(IFERROR(VALUE(TEXTSPLIT(O252,",")),0)))),0)</f>
        <v/>
      </c>
      <c r="S252">
        <f>IFERROR(L252*MAX(N252,1)/R252*IF(ISBLANK(K250),1,K250),0)</f>
        <v/>
      </c>
      <c r="AB252" s="7" t="inlineStr">
        <is>
          <t>^Warhead_Bullet_Medium</t>
        </is>
      </c>
    </row>
    <row r="253">
      <c r="B253" s="7" t="inlineStr">
        <is>
          <t xml:space="preserve">  ↳ ChainGunMH60Cryo</t>
        </is>
      </c>
      <c r="C253" s="7" t="inlineStr">
        <is>
          <t>Armament@PRIMARYCryo</t>
        </is>
      </c>
      <c r="L253" s="6" t="n">
        <v>8000</v>
      </c>
      <c r="M253" s="6" t="n">
        <v>6</v>
      </c>
      <c r="N253" s="6" t="n">
        <v>1</v>
      </c>
      <c r="O253" s="6" t="n"/>
      <c r="P253" s="6" t="n">
        <v>3375</v>
      </c>
      <c r="Q253" s="6" t="n">
        <v>1</v>
      </c>
      <c r="R253">
        <f>M253+IF(MAX(N253-1,0)&gt;0,IF(ISBLANK(O253),5*MAX(N253-1,0),IF(ISNUMBER(O253),O253*MAX(N253-1,0),SUM(IFERROR(VALUE(TEXTSPLIT(O253,",")),0)))),0)</f>
        <v/>
      </c>
      <c r="S253">
        <f>IFERROR(L253*MAX(N253,1)/R253*IF(ISBLANK(K250),1,K250),0)</f>
        <v/>
      </c>
      <c r="AB253" s="7" t="inlineStr">
        <is>
          <t>^Warhead_BulletCryo_Medium</t>
        </is>
      </c>
    </row>
    <row r="254">
      <c r="B254" s="7" t="inlineStr">
        <is>
          <t xml:space="preserve">  ↳ ChainGunMH60Cryo</t>
        </is>
      </c>
      <c r="C254" s="7" t="inlineStr">
        <is>
          <t>Armament@SECONDARYCryo</t>
        </is>
      </c>
      <c r="L254" s="6" t="n">
        <v>8000</v>
      </c>
      <c r="M254" s="6" t="n">
        <v>6</v>
      </c>
      <c r="N254" s="6" t="n">
        <v>1</v>
      </c>
      <c r="O254" s="6" t="n"/>
      <c r="P254" s="6" t="n">
        <v>3375</v>
      </c>
      <c r="Q254" s="6" t="n">
        <v>1</v>
      </c>
      <c r="R254">
        <f>M254+IF(MAX(N254-1,0)&gt;0,IF(ISBLANK(O254),5*MAX(N254-1,0),IF(ISNUMBER(O254),O254*MAX(N254-1,0),SUM(IFERROR(VALUE(TEXTSPLIT(O254,",")),0)))),0)</f>
        <v/>
      </c>
      <c r="S254">
        <f>IFERROR(L254*MAX(N254,1)/R254*IF(ISBLANK(K250),1,K250),0)</f>
        <v/>
      </c>
      <c r="AB254" s="7" t="inlineStr">
        <is>
          <t>^Warhead_BulletCryo_Medium</t>
        </is>
      </c>
    </row>
    <row r="255">
      <c r="A255" t="inlineStr">
        <is>
          <t>redalert</t>
        </is>
      </c>
      <c r="B255" t="inlineStr">
        <is>
          <t>ra1_allies_longbow</t>
        </is>
      </c>
      <c r="C255" t="inlineStr">
        <is>
          <t>Longbow</t>
        </is>
      </c>
      <c r="D255" s="6" t="inlineStr">
        <is>
          <t>Helicopter</t>
        </is>
      </c>
      <c r="E255" s="6" t="n">
        <v>35000</v>
      </c>
      <c r="F255" s="6" t="n">
        <v>150</v>
      </c>
      <c r="G255" t="inlineStr">
        <is>
          <t>Helicopter</t>
        </is>
      </c>
      <c r="H255" s="6" t="n">
        <v>0.75</v>
      </c>
      <c r="I255" s="6" t="n">
        <v>1</v>
      </c>
      <c r="J255" s="6" t="n">
        <v>1</v>
      </c>
      <c r="P255">
        <f>MAX(P256,P257)</f>
        <v/>
      </c>
      <c r="S255">
        <f>S256+S257</f>
        <v/>
      </c>
      <c r="T255">
        <f>(E255/100000+F255/100+(P255/1000)*J255/5+S255/200)*200*I255*H255</f>
        <v/>
      </c>
      <c r="U255">
        <f>((E255*F255/25000)+((P255/1000)*J255*S255/2.5))*I255*H255</f>
        <v/>
      </c>
      <c r="V255">
        <f>(E255*F255*(P255/1000)*J255*S255*I255*H255)/12500000</f>
        <v/>
      </c>
      <c r="W255">
        <f>(T255+U255+V255)/3</f>
        <v/>
      </c>
      <c r="X255" s="6" t="n">
        <v>2000</v>
      </c>
      <c r="Y255">
        <f>IFERROR(W255-X255,"")</f>
        <v/>
      </c>
      <c r="Z255">
        <f>IFERROR(ABS(Y255)/MAX(X255,1),"")</f>
        <v/>
      </c>
      <c r="AA255">
        <f>IFERROR((X255-(((E255/100000+F255/100+S255/200)*200*I255*H255)+((E255*F255/25000)*I255*H255))/3)/(((J255/5)*200*I255*H255)+((J255*S255/2.5)*I255*H255)+((E255*F255*J255*S255*I255*H255)/12500000))/3*1000,"")</f>
        <v/>
      </c>
    </row>
    <row r="256">
      <c r="B256" s="7" t="inlineStr">
        <is>
          <t xml:space="preserve">  ↳ Hellfire</t>
        </is>
      </c>
      <c r="C256" s="7" t="inlineStr">
        <is>
          <t>Armament</t>
        </is>
      </c>
      <c r="L256" s="6" t="n">
        <v>16000</v>
      </c>
      <c r="M256" s="6" t="n">
        <v>16</v>
      </c>
      <c r="N256" s="6" t="n">
        <v>1</v>
      </c>
      <c r="O256" s="6" t="n"/>
      <c r="P256" s="6" t="n">
        <v>6540</v>
      </c>
      <c r="Q256" s="6" t="n">
        <v>1.125</v>
      </c>
      <c r="R256">
        <f>M256+IF(MAX(N256-1,0)&gt;0,IF(ISBLANK(O256),5*MAX(N256-1,0),IF(ISNUMBER(O256),O256*MAX(N256-1,0),SUM(IFERROR(VALUE(TEXTSPLIT(O256,",")),0)))),0)</f>
        <v/>
      </c>
      <c r="S256">
        <f>IFERROR(L256*MAX(N256,1)/R256*IF(ISBLANK(K255),1,K255),0)</f>
        <v/>
      </c>
      <c r="AB256" s="7" t="inlineStr">
        <is>
          <t>^Warhead_Concussion_Medium, ^Warhead_MissileHE_Heavy</t>
        </is>
      </c>
    </row>
    <row r="257">
      <c r="B257" s="7" t="inlineStr">
        <is>
          <t xml:space="preserve">  ↳ HellfireCryo</t>
        </is>
      </c>
      <c r="C257" s="7" t="inlineStr">
        <is>
          <t>Armament@Upgrade</t>
        </is>
      </c>
      <c r="L257" s="6" t="n">
        <v>16000</v>
      </c>
      <c r="M257" s="6" t="n">
        <v>16</v>
      </c>
      <c r="N257" s="6" t="n">
        <v>1</v>
      </c>
      <c r="O257" s="6" t="n"/>
      <c r="P257" s="6" t="n">
        <v>6540</v>
      </c>
      <c r="Q257" s="6" t="n">
        <v>1.125</v>
      </c>
      <c r="R257">
        <f>M257+IF(MAX(N257-1,0)&gt;0,IF(ISBLANK(O257),5*MAX(N257-1,0),IF(ISNUMBER(O257),O257*MAX(N257-1,0),SUM(IFERROR(VALUE(TEXTSPLIT(O257,",")),0)))),0)</f>
        <v/>
      </c>
      <c r="S257">
        <f>IFERROR(L257*MAX(N257,1)/R257*IF(ISBLANK(K255),1,K255),0)</f>
        <v/>
      </c>
      <c r="AB257" s="7" t="inlineStr">
        <is>
          <t>^Warhead_CryoBlast_Medium, ^Warhead_MissileCryo_Heavy</t>
        </is>
      </c>
    </row>
    <row r="258">
      <c r="A258" t="inlineStr">
        <is>
          <t>tiberiansun</t>
        </is>
      </c>
      <c r="B258" t="inlineStr">
        <is>
          <t>cabal_hunterkillermk1</t>
        </is>
      </c>
      <c r="C258" t="inlineStr">
        <is>
          <t>Hunter Killer</t>
        </is>
      </c>
      <c r="D258" s="6" t="inlineStr">
        <is>
          <t>Helicopter</t>
        </is>
      </c>
      <c r="E258" s="6" t="n">
        <v>35000</v>
      </c>
      <c r="F258" s="6" t="n">
        <v>160</v>
      </c>
      <c r="G258" t="inlineStr">
        <is>
          <t>Helicopter</t>
        </is>
      </c>
      <c r="H258" s="6" t="n">
        <v>1</v>
      </c>
      <c r="I258" s="6" t="n">
        <v>1</v>
      </c>
      <c r="J258" s="6" t="n">
        <v>1</v>
      </c>
      <c r="P258">
        <f>MAX(P259,P260)</f>
        <v/>
      </c>
      <c r="S258">
        <f>S259+S260</f>
        <v/>
      </c>
      <c r="T258">
        <f>(E258/100000+F258/100+(P258/1000)*J258/5+S258/200)*200*I258*H258</f>
        <v/>
      </c>
      <c r="U258">
        <f>((E258*F258/25000)+((P258/1000)*J258*S258/2.5))*I258*H258</f>
        <v/>
      </c>
      <c r="V258">
        <f>(E258*F258*(P258/1000)*J258*S258*I258*H258)/12500000</f>
        <v/>
      </c>
      <c r="W258">
        <f>(T258+U258+V258)/3</f>
        <v/>
      </c>
      <c r="X258" s="6" t="n">
        <v>1500</v>
      </c>
      <c r="Y258">
        <f>IFERROR(W258-X258,"")</f>
        <v/>
      </c>
      <c r="Z258">
        <f>IFERROR(ABS(Y258)/MAX(X258,1),"")</f>
        <v/>
      </c>
      <c r="AA258">
        <f>IFERROR((X258-(((E258/100000+F258/100+S258/200)*200*I258*H258)+((E258*F258/25000)*I258*H258))/3)/(((J258/5)*200*I258*H258)+((J258*S258/2.5)*I258*H258)+((E258*F258*J258*S258*I258*H258)/12500000))/3*1000,"")</f>
        <v/>
      </c>
    </row>
    <row r="259">
      <c r="B259" s="7" t="inlineStr">
        <is>
          <t xml:space="preserve">  ↳ CabalHunterKillerLasers</t>
        </is>
      </c>
      <c r="C259" s="7" t="inlineStr">
        <is>
          <t>Armament@PRIMARY</t>
        </is>
      </c>
      <c r="L259" s="6" t="n">
        <v>16000</v>
      </c>
      <c r="M259" s="6" t="n">
        <v>24</v>
      </c>
      <c r="N259" s="6" t="n">
        <v>1</v>
      </c>
      <c r="O259" s="6" t="n"/>
      <c r="P259" s="6" t="n">
        <v>5318</v>
      </c>
      <c r="Q259" s="6" t="n">
        <v>1</v>
      </c>
      <c r="R259">
        <f>M259+IF(MAX(N259-1,0)&gt;0,IF(ISBLANK(O259),5*MAX(N259-1,0),IF(ISNUMBER(O259),O259*MAX(N259-1,0),SUM(IFERROR(VALUE(TEXTSPLIT(O259,",")),0)))),0)</f>
        <v/>
      </c>
      <c r="S259">
        <f>IFERROR(L259*MAX(N259,1)/R259*IF(ISBLANK(K258),1,K258),0)</f>
        <v/>
      </c>
      <c r="AB259" s="7" t="inlineStr">
        <is>
          <t>^LaserWeapon, ^MediumMissile</t>
        </is>
      </c>
    </row>
    <row r="260">
      <c r="B260" s="7" t="inlineStr">
        <is>
          <t xml:space="preserve">  ↳ TSHellfireTwin</t>
        </is>
      </c>
      <c r="C260" s="7" t="inlineStr">
        <is>
          <t>Armament@ROCKETS</t>
        </is>
      </c>
      <c r="L260" s="6" t="n">
        <v>24000</v>
      </c>
      <c r="M260" s="6" t="n">
        <v>32</v>
      </c>
      <c r="N260" s="6" t="n">
        <v>2</v>
      </c>
      <c r="O260" s="6" t="n">
        <v>8</v>
      </c>
      <c r="P260" s="6" t="n">
        <v>5740</v>
      </c>
      <c r="Q260" s="6" t="n">
        <v>1</v>
      </c>
      <c r="R260">
        <f>M260+IF(MAX(N260-1,0)&gt;0,IF(ISBLANK(O260),5*MAX(N260-1,0),IF(ISNUMBER(O260),O260*MAX(N260-1,0),SUM(IFERROR(VALUE(TEXTSPLIT(O260,",")),0)))),0)</f>
        <v/>
      </c>
      <c r="S260">
        <f>IFERROR(L260*MAX(N260,1)/R260*IF(ISBLANK(K258),1,K258),0)</f>
        <v/>
      </c>
      <c r="AB260" s="7" t="inlineStr">
        <is>
          <t>^HeavyCannon, ^TankDestroyerCannon, ^ShrapnelWeapon, ^Grenade, ^HeavyMissile, ^MediumMissile</t>
        </is>
      </c>
    </row>
    <row r="261">
      <c r="A261" t="inlineStr">
        <is>
          <t>tiberiansun</t>
        </is>
      </c>
      <c r="B261" t="inlineStr">
        <is>
          <t>cabal_hunterkillermk1_elite</t>
        </is>
      </c>
      <c r="C261" t="inlineStr">
        <is>
          <t>Super Hunter Killer</t>
        </is>
      </c>
      <c r="D261" s="6" t="inlineStr">
        <is>
          <t>Helicopter</t>
        </is>
      </c>
      <c r="E261" s="6" t="n">
        <v>40000</v>
      </c>
      <c r="F261" s="6" t="n">
        <v>170</v>
      </c>
      <c r="G261" t="inlineStr">
        <is>
          <t>Helicopter</t>
        </is>
      </c>
      <c r="H261" s="6" t="n">
        <v>1</v>
      </c>
      <c r="I261" s="6" t="n">
        <v>1</v>
      </c>
      <c r="J261" s="6" t="n">
        <v>1</v>
      </c>
      <c r="P261">
        <f>MAX(P262,P263)</f>
        <v/>
      </c>
      <c r="S261">
        <f>S262+S263</f>
        <v/>
      </c>
      <c r="T261">
        <f>(E261/100000+F261/100+(P261/1000)*J261/5+S261/200)*200*I261*H261</f>
        <v/>
      </c>
      <c r="U261">
        <f>((E261*F261/25000)+((P261/1000)*J261*S261/2.5))*I261*H261</f>
        <v/>
      </c>
      <c r="V261">
        <f>(E261*F261*(P261/1000)*J261*S261*I261*H261)/12500000</f>
        <v/>
      </c>
      <c r="W261">
        <f>(T261+U261+V261)/3</f>
        <v/>
      </c>
      <c r="X261" s="6" t="n">
        <v>3000</v>
      </c>
      <c r="Y261">
        <f>IFERROR(W261-X261,"")</f>
        <v/>
      </c>
      <c r="Z261">
        <f>IFERROR(ABS(Y261)/MAX(X261,1),"")</f>
        <v/>
      </c>
      <c r="AA261">
        <f>IFERROR((X261-(((E261/100000+F261/100+S261/200)*200*I261*H261)+((E261*F261/25000)*I261*H261))/3)/(((J261/5)*200*I261*H261)+((J261*S261/2.5)*I261*H261)+((E261*F261*J261*S261*I261*H261)/12500000))/3*1000,"")</f>
        <v/>
      </c>
    </row>
    <row r="262">
      <c r="B262" s="7" t="inlineStr">
        <is>
          <t xml:space="preserve">  ↳ CabalHunterKillerLasers_elite</t>
        </is>
      </c>
      <c r="C262" s="7" t="inlineStr">
        <is>
          <t>Armament@PRIMARY</t>
        </is>
      </c>
      <c r="L262" s="6" t="n">
        <v>30000</v>
      </c>
      <c r="M262" s="6" t="n">
        <v>20</v>
      </c>
      <c r="N262" s="6" t="n">
        <v>1</v>
      </c>
      <c r="O262" s="6" t="n"/>
      <c r="P262" s="6" t="n">
        <v>6000</v>
      </c>
      <c r="Q262" s="6" t="n">
        <v>1</v>
      </c>
      <c r="R262">
        <f>M262+IF(MAX(N262-1,0)&gt;0,IF(ISBLANK(O262),5*MAX(N262-1,0),IF(ISNUMBER(O262),O262*MAX(N262-1,0),SUM(IFERROR(VALUE(TEXTSPLIT(O262,",")),0)))),0)</f>
        <v/>
      </c>
      <c r="S262">
        <f>IFERROR(L262*MAX(N262,1)/R262*IF(ISBLANK(K261),1,K261),0)</f>
        <v/>
      </c>
      <c r="AB262" s="7" t="inlineStr">
        <is>
          <t>^LaserWeapon, ^RailgunWeapon, ^HeavyMissile</t>
        </is>
      </c>
    </row>
    <row r="263">
      <c r="B263" s="7" t="inlineStr">
        <is>
          <t xml:space="preserve">  ↳ TSHellfireTwin</t>
        </is>
      </c>
      <c r="C263" s="7" t="inlineStr">
        <is>
          <t>Armament@ROCKETS</t>
        </is>
      </c>
      <c r="L263" s="6" t="n">
        <v>24000</v>
      </c>
      <c r="M263" s="6" t="n">
        <v>32</v>
      </c>
      <c r="N263" s="6" t="n">
        <v>2</v>
      </c>
      <c r="O263" s="6" t="n">
        <v>8</v>
      </c>
      <c r="P263" s="6" t="n">
        <v>5740</v>
      </c>
      <c r="Q263" s="6" t="n">
        <v>1</v>
      </c>
      <c r="R263">
        <f>M263+IF(MAX(N263-1,0)&gt;0,IF(ISBLANK(O263),5*MAX(N263-1,0),IF(ISNUMBER(O263),O263*MAX(N263-1,0),SUM(IFERROR(VALUE(TEXTSPLIT(O263,",")),0)))),0)</f>
        <v/>
      </c>
      <c r="S263">
        <f>IFERROR(L263*MAX(N263,1)/R263*IF(ISBLANK(K261),1,K261),0)</f>
        <v/>
      </c>
      <c r="AB263" s="7" t="inlineStr">
        <is>
          <t>^HeavyCannon, ^TankDestroyerCannon, ^ShrapnelWeapon, ^Grenade, ^HeavyMissile, ^MediumMissile</t>
        </is>
      </c>
    </row>
    <row r="264">
      <c r="A264" t="inlineStr">
        <is>
          <t>tiberiansun</t>
        </is>
      </c>
      <c r="B264" t="inlineStr">
        <is>
          <t>cabal_overkillgunship</t>
        </is>
      </c>
      <c r="C264" t="inlineStr">
        <is>
          <t>Overkill Gunship</t>
        </is>
      </c>
      <c r="D264" s="6" t="inlineStr">
        <is>
          <t>Helicopter</t>
        </is>
      </c>
      <c r="E264" s="6" t="n">
        <v>45000</v>
      </c>
      <c r="F264" s="6" t="n">
        <v>150</v>
      </c>
      <c r="G264" t="inlineStr">
        <is>
          <t>Helicopter</t>
        </is>
      </c>
      <c r="H264" s="6" t="n">
        <v>0.782</v>
      </c>
      <c r="I264" s="6" t="n">
        <v>1</v>
      </c>
      <c r="J264" s="6" t="n">
        <v>1</v>
      </c>
      <c r="P264">
        <f>MAX(P265,P266)</f>
        <v/>
      </c>
      <c r="S264">
        <f>S265+S266</f>
        <v/>
      </c>
      <c r="T264">
        <f>(E264/100000+F264/100+(P264/1000)*J264/5+S264/200)*200*I264*H264</f>
        <v/>
      </c>
      <c r="U264">
        <f>((E264*F264/25000)+((P264/1000)*J264*S264/2.5))*I264*H264</f>
        <v/>
      </c>
      <c r="V264">
        <f>(E264*F264*(P264/1000)*J264*S264*I264*H264)/12500000</f>
        <v/>
      </c>
      <c r="W264">
        <f>(T264+U264+V264)/3</f>
        <v/>
      </c>
      <c r="X264" s="6" t="n">
        <v>1000</v>
      </c>
      <c r="Y264">
        <f>IFERROR(W264-X264,"")</f>
        <v/>
      </c>
      <c r="Z264">
        <f>IFERROR(ABS(Y264)/MAX(X264,1),"")</f>
        <v/>
      </c>
      <c r="AA264">
        <f>IFERROR((X264-(((E264/100000+F264/100+S264/200)*200*I264*H264)+((E264*F264/25000)*I264*H264))/3)/(((J264/5)*200*I264*H264)+((J264*S264/2.5)*I264*H264)+((E264*F264*J264*S264*I264*H264)/12500000))/3*1000,"")</f>
        <v/>
      </c>
    </row>
    <row r="265">
      <c r="B265" s="7" t="inlineStr">
        <is>
          <t xml:space="preserve">  ↳ CabalOverkillGunshipLaser</t>
        </is>
      </c>
      <c r="C265" s="7" t="inlineStr">
        <is>
          <t>Armament@LEFT</t>
        </is>
      </c>
      <c r="L265" s="6" t="n">
        <v>12500</v>
      </c>
      <c r="M265" s="6" t="n">
        <v>40</v>
      </c>
      <c r="N265" s="6" t="n">
        <v>1</v>
      </c>
      <c r="O265" s="6" t="n"/>
      <c r="P265" s="6" t="n">
        <v>6000</v>
      </c>
      <c r="Q265" s="6" t="n">
        <v>1.25</v>
      </c>
      <c r="R265">
        <f>M265+IF(MAX(N265-1,0)&gt;0,IF(ISBLANK(O265),5*MAX(N265-1,0),IF(ISNUMBER(O265),O265*MAX(N265-1,0),SUM(IFERROR(VALUE(TEXTSPLIT(O265,",")),0)))),0)</f>
        <v/>
      </c>
      <c r="S265">
        <f>IFERROR(L265*MAX(N265,1)/R265*IF(ISBLANK(K264),1,K264),0)</f>
        <v/>
      </c>
      <c r="AB265" s="7" t="inlineStr">
        <is>
          <t>^Warhead_Laser_Heavy</t>
        </is>
      </c>
    </row>
    <row r="266">
      <c r="B266" s="7" t="inlineStr">
        <is>
          <t xml:space="preserve">  ↳ CabalOverkillGunshipLaser</t>
        </is>
      </c>
      <c r="C266" s="7" t="inlineStr">
        <is>
          <t>Armament@RIGHT</t>
        </is>
      </c>
      <c r="L266" s="6" t="n">
        <v>12500</v>
      </c>
      <c r="M266" s="6" t="n">
        <v>40</v>
      </c>
      <c r="N266" s="6" t="n">
        <v>1</v>
      </c>
      <c r="O266" s="6" t="n"/>
      <c r="P266" s="6" t="n">
        <v>6000</v>
      </c>
      <c r="Q266" s="6" t="n">
        <v>1.25</v>
      </c>
      <c r="R266">
        <f>M266+IF(MAX(N266-1,0)&gt;0,IF(ISBLANK(O266),5*MAX(N266-1,0),IF(ISNUMBER(O266),O266*MAX(N266-1,0),SUM(IFERROR(VALUE(TEXTSPLIT(O266,",")),0)))),0)</f>
        <v/>
      </c>
      <c r="S266">
        <f>IFERROR(L266*MAX(N266,1)/R266*IF(ISBLANK(K264),1,K264),0)</f>
        <v/>
      </c>
      <c r="AB266" s="7" t="inlineStr">
        <is>
          <t>^Warhead_Laser_Heavy</t>
        </is>
      </c>
    </row>
    <row r="267">
      <c r="A267" t="inlineStr">
        <is>
          <t>tiberiansun</t>
        </is>
      </c>
      <c r="B267" t="inlineStr">
        <is>
          <t>cabal_repairdrone</t>
        </is>
      </c>
      <c r="C267" t="inlineStr">
        <is>
          <t>Repair Drone</t>
        </is>
      </c>
      <c r="D267" s="6" t="inlineStr">
        <is>
          <t>Helicopter</t>
        </is>
      </c>
      <c r="E267" s="6" t="n">
        <v>25000</v>
      </c>
      <c r="F267" s="6" t="n">
        <v>140</v>
      </c>
      <c r="G267" t="inlineStr">
        <is>
          <t>Helicopter</t>
        </is>
      </c>
      <c r="H267" s="6" t="n">
        <v>1</v>
      </c>
      <c r="I267" s="6" t="n">
        <v>1</v>
      </c>
      <c r="J267" s="6" t="n">
        <v>1</v>
      </c>
      <c r="P267">
        <f>MAX(P268)</f>
        <v/>
      </c>
      <c r="S267">
        <f>S268</f>
        <v/>
      </c>
      <c r="T267">
        <f>(E267/100000+F267/100+(P267/1000)*J267/5+S267/200)*200*I267*H267</f>
        <v/>
      </c>
      <c r="U267">
        <f>((E267*F267/25000)+((P267/1000)*J267*S267/2.5))*I267*H267</f>
        <v/>
      </c>
      <c r="V267">
        <f>(E267*F267*(P267/1000)*J267*S267*I267*H267)/12500000</f>
        <v/>
      </c>
      <c r="W267">
        <f>(T267+U267+V267)/3</f>
        <v/>
      </c>
      <c r="X267" s="6" t="n">
        <v>1000</v>
      </c>
      <c r="Y267">
        <f>IFERROR(W267-X267,"")</f>
        <v/>
      </c>
      <c r="Z267">
        <f>IFERROR(ABS(Y267)/MAX(X267,1),"")</f>
        <v/>
      </c>
      <c r="AA267">
        <f>IFERROR((X267-(((E267/100000+F267/100+S267/200)*200*I267*H267)+((E267*F267/25000)*I267*H267))/3)/(((J267/5)*200*I267*H267)+((J267*S267/2.5)*I267*H267)+((E267*F267*J267*S267*I267*H267)/12500000))/3*1000,"")</f>
        <v/>
      </c>
    </row>
    <row r="268">
      <c r="B268" s="7" t="inlineStr">
        <is>
          <t xml:space="preserve">  ↳ CabalEngineerRepairBeam</t>
        </is>
      </c>
      <c r="C268" s="7" t="inlineStr">
        <is>
          <t>Armament@PRIMARY</t>
        </is>
      </c>
      <c r="L268" s="6" t="n">
        <v>-2600</v>
      </c>
      <c r="M268" s="6" t="n">
        <v>31</v>
      </c>
      <c r="N268" s="6" t="n">
        <v>10</v>
      </c>
      <c r="O268" s="6" t="n">
        <v>1</v>
      </c>
      <c r="P268" s="6" t="n">
        <v>6128</v>
      </c>
      <c r="Q268" s="6" t="n">
        <v>1</v>
      </c>
      <c r="R268">
        <f>M268+IF(MAX(N268-1,0)&gt;0,IF(ISBLANK(O268),5*MAX(N268-1,0),IF(ISNUMBER(O268),O268*MAX(N268-1,0),SUM(IFERROR(VALUE(TEXTSPLIT(O268,",")),0)))),0)</f>
        <v/>
      </c>
      <c r="S268">
        <f>IFERROR(L268*MAX(N268,1)/R268*IF(ISBLANK(K267),1,K267),0)</f>
        <v/>
      </c>
      <c r="AB268" s="7" t="inlineStr">
        <is>
          <t>^RepairWeapon</t>
        </is>
      </c>
    </row>
    <row r="269">
      <c r="A269" t="inlineStr">
        <is>
          <t>tiberiansun</t>
        </is>
      </c>
      <c r="B269" t="inlineStr">
        <is>
          <t>ts_nod_harpy</t>
        </is>
      </c>
      <c r="C269" t="inlineStr">
        <is>
          <t>Harpy</t>
        </is>
      </c>
      <c r="D269" s="6" t="inlineStr">
        <is>
          <t>Helicopter</t>
        </is>
      </c>
      <c r="E269" s="6" t="n">
        <v>50000</v>
      </c>
      <c r="F269" s="6" t="n">
        <v>140</v>
      </c>
      <c r="G269" t="inlineStr">
        <is>
          <t>Helicopter</t>
        </is>
      </c>
      <c r="H269" s="6" t="n">
        <v>1</v>
      </c>
      <c r="I269" s="6" t="n">
        <v>1</v>
      </c>
      <c r="J269" s="6" t="n">
        <v>1</v>
      </c>
      <c r="P269">
        <f>MAX(P270,P271,P272,P273,P274,P275)</f>
        <v/>
      </c>
      <c r="S269">
        <f>S270+S271+S272+S273+S274+S275</f>
        <v/>
      </c>
      <c r="T269">
        <f>(E269/100000+F269/100+(P269/1000)*J269/5+S269/200)*200*I269*H269</f>
        <v/>
      </c>
      <c r="U269">
        <f>((E269*F269/25000)+((P269/1000)*J269*S269/2.5))*I269*H269</f>
        <v/>
      </c>
      <c r="V269">
        <f>(E269*F269*(P269/1000)*J269*S269*I269*H269)/12500000</f>
        <v/>
      </c>
      <c r="W269">
        <f>(T269+U269+V269)/3</f>
        <v/>
      </c>
      <c r="X269" s="6" t="n">
        <v>1800</v>
      </c>
      <c r="Y269">
        <f>IFERROR(W269-X269,"")</f>
        <v/>
      </c>
      <c r="Z269">
        <f>IFERROR(ABS(Y269)/MAX(X269,1),"")</f>
        <v/>
      </c>
      <c r="AA269">
        <f>IFERROR((X269-(((E269/100000+F269/100+S269/200)*200*I269*H269)+((E269*F269/25000)*I269*H269))/3)/(((J269/5)*200*I269*H269)+((J269*S269/2.5)*I269*H269)+((E269*F269*J269*S269*I269*H269)/12500000))/3*1000,"")</f>
        <v/>
      </c>
    </row>
    <row r="270">
      <c r="B270" s="7" t="inlineStr">
        <is>
          <t xml:space="preserve">  ↳ TSHarpyClaw</t>
        </is>
      </c>
      <c r="C270" s="7" t="inlineStr">
        <is>
          <t>Armament@PRIMARY</t>
        </is>
      </c>
      <c r="L270" s="6" t="n">
        <v>4000</v>
      </c>
      <c r="M270" s="6" t="n">
        <v>24</v>
      </c>
      <c r="N270" s="6" t="n">
        <v>5</v>
      </c>
      <c r="O270" s="6" t="n">
        <v>0</v>
      </c>
      <c r="P270" s="6" t="n">
        <v>4882</v>
      </c>
      <c r="Q270" s="6" t="n">
        <v>1</v>
      </c>
      <c r="R270">
        <f>M270+IF(MAX(N270-1,0)&gt;0,IF(ISBLANK(O270),5*MAX(N270-1,0),IF(ISNUMBER(O270),O270*MAX(N270-1,0),SUM(IFERROR(VALUE(TEXTSPLIT(O270,",")),0)))),0)</f>
        <v/>
      </c>
      <c r="S270">
        <f>IFERROR(L270*MAX(N270,1)/R270*IF(ISBLANK(K269),1,K269),0)</f>
        <v/>
      </c>
      <c r="AB270" s="7" t="inlineStr">
        <is>
          <t>^Warhead_Bullet_Medium</t>
        </is>
      </c>
    </row>
    <row r="271">
      <c r="B271" s="7" t="inlineStr">
        <is>
          <t xml:space="preserve">  ↳ TSHarpyMultiClaw</t>
        </is>
      </c>
      <c r="C271" s="7" t="inlineStr">
        <is>
          <t>Armament@SECONDARY</t>
        </is>
      </c>
      <c r="L271" t="n">
        <v>0</v>
      </c>
      <c r="M271" s="6" t="n">
        <v>24</v>
      </c>
      <c r="N271" s="6" t="n">
        <v>4</v>
      </c>
      <c r="O271" s="6" t="n">
        <v>0</v>
      </c>
      <c r="P271" s="6" t="n">
        <v>4882</v>
      </c>
      <c r="Q271" s="6" t="n">
        <v>1</v>
      </c>
      <c r="R271">
        <f>M271+IF(MAX(N271-1,0)&gt;0,IF(ISBLANK(O271),5*MAX(N271-1,0),IF(ISNUMBER(O271),O271*MAX(N271-1,0),SUM(IFERROR(VALUE(TEXTSPLIT(O271,",")),0)))),0)</f>
        <v/>
      </c>
      <c r="S271">
        <f>IFERROR(L271*MAX(N271,1)/R271*IF(ISBLANK(K269),1,K269),0)</f>
        <v/>
      </c>
      <c r="AB271" s="7" t="inlineStr">
        <is>
          <t>^Warhead_Bullet_Medium</t>
        </is>
      </c>
    </row>
    <row r="272">
      <c r="B272" s="7" t="inlineStr">
        <is>
          <t xml:space="preserve">  ↳ TSHarpyAOEClaw</t>
        </is>
      </c>
      <c r="C272" s="7" t="inlineStr">
        <is>
          <t>Armament@PRIMARYAOE</t>
        </is>
      </c>
      <c r="L272" s="6" t="n">
        <v>4000</v>
      </c>
      <c r="M272" s="6" t="n">
        <v>24</v>
      </c>
      <c r="N272" s="6" t="n">
        <v>5</v>
      </c>
      <c r="O272" s="6" t="n">
        <v>0</v>
      </c>
      <c r="P272" s="6" t="n">
        <v>4882</v>
      </c>
      <c r="Q272" s="6" t="n">
        <v>1</v>
      </c>
      <c r="R272">
        <f>M272+IF(MAX(N272-1,0)&gt;0,IF(ISBLANK(O272),5*MAX(N272-1,0),IF(ISNUMBER(O272),O272*MAX(N272-1,0),SUM(IFERROR(VALUE(TEXTSPLIT(O272,",")),0)))),0)</f>
        <v/>
      </c>
      <c r="S272">
        <f>IFERROR(L272*MAX(N272,1)/R272*IF(ISBLANK(K269),1,K269),0)</f>
        <v/>
      </c>
      <c r="AB272" s="7" t="inlineStr">
        <is>
          <t>^Warhead_Bullet_Medium</t>
        </is>
      </c>
    </row>
    <row r="273">
      <c r="B273" s="7" t="inlineStr">
        <is>
          <t xml:space="preserve">  ↳ TSLaserHarpyClaw</t>
        </is>
      </c>
      <c r="C273" s="7" t="inlineStr">
        <is>
          <t>Armament@UPGRADE</t>
        </is>
      </c>
      <c r="L273" s="6" t="n">
        <v>8000</v>
      </c>
      <c r="M273" s="6" t="n">
        <v>25</v>
      </c>
      <c r="N273" s="6" t="n">
        <v>4</v>
      </c>
      <c r="O273" s="6" t="n">
        <v>0</v>
      </c>
      <c r="P273" s="6" t="n">
        <v>4969</v>
      </c>
      <c r="Q273" s="6" t="n">
        <v>1.125</v>
      </c>
      <c r="R273">
        <f>M273+IF(MAX(N273-1,0)&gt;0,IF(ISBLANK(O273),5*MAX(N273-1,0),IF(ISNUMBER(O273),O273*MAX(N273-1,0),SUM(IFERROR(VALUE(TEXTSPLIT(O273,",")),0)))),0)</f>
        <v/>
      </c>
      <c r="S273">
        <f>IFERROR(L273*MAX(N273,1)/R273*IF(ISBLANK(K269),1,K269),0)</f>
        <v/>
      </c>
      <c r="AB273" s="7" t="inlineStr">
        <is>
          <t>^Warhead_Bullet_Medium, ^Warhead_Laser_Heavy</t>
        </is>
      </c>
    </row>
    <row r="274">
      <c r="B274" s="7" t="inlineStr">
        <is>
          <t xml:space="preserve">  ↳ TSLaserHarpyMultiClaw</t>
        </is>
      </c>
      <c r="C274" s="7" t="inlineStr">
        <is>
          <t>Armament@SECONDARYUPGRADE</t>
        </is>
      </c>
      <c r="L274" s="6" t="n">
        <v>4000</v>
      </c>
      <c r="M274" s="6" t="n">
        <v>25</v>
      </c>
      <c r="N274" s="6" t="n">
        <v>4</v>
      </c>
      <c r="O274" s="6" t="n">
        <v>0</v>
      </c>
      <c r="P274" s="6" t="n">
        <v>4969</v>
      </c>
      <c r="Q274" s="6" t="n">
        <v>1.125</v>
      </c>
      <c r="R274">
        <f>M274+IF(MAX(N274-1,0)&gt;0,IF(ISBLANK(O274),5*MAX(N274-1,0),IF(ISNUMBER(O274),O274*MAX(N274-1,0),SUM(IFERROR(VALUE(TEXTSPLIT(O274,",")),0)))),0)</f>
        <v/>
      </c>
      <c r="S274">
        <f>IFERROR(L274*MAX(N274,1)/R274*IF(ISBLANK(K269),1,K269),0)</f>
        <v/>
      </c>
      <c r="AB274" s="7" t="inlineStr">
        <is>
          <t>^Warhead_Bullet_Medium, ^Warhead_Laser_Heavy</t>
        </is>
      </c>
    </row>
    <row r="275">
      <c r="B275" s="7" t="inlineStr">
        <is>
          <t xml:space="preserve">  ↳ TSLaserHarpyAOEClaw</t>
        </is>
      </c>
      <c r="C275" s="7" t="inlineStr">
        <is>
          <t>Armament@UPGRADEAOE</t>
        </is>
      </c>
      <c r="L275" s="6" t="n">
        <v>8000</v>
      </c>
      <c r="M275" s="6" t="n">
        <v>25</v>
      </c>
      <c r="N275" s="6" t="n">
        <v>4</v>
      </c>
      <c r="O275" s="6" t="n">
        <v>0</v>
      </c>
      <c r="P275" s="6" t="n">
        <v>4969</v>
      </c>
      <c r="Q275" s="6" t="n">
        <v>1.125</v>
      </c>
      <c r="R275">
        <f>M275+IF(MAX(N275-1,0)&gt;0,IF(ISBLANK(O275),5*MAX(N275-1,0),IF(ISNUMBER(O275),O275*MAX(N275-1,0),SUM(IFERROR(VALUE(TEXTSPLIT(O275,",")),0)))),0)</f>
        <v/>
      </c>
      <c r="S275">
        <f>IFERROR(L275*MAX(N275,1)/R275*IF(ISBLANK(K269),1,K269),0)</f>
        <v/>
      </c>
      <c r="AB275" s="7" t="inlineStr">
        <is>
          <t>^Warhead_Bullet_Medium, ^Warhead_Laser_Heavy</t>
        </is>
      </c>
    </row>
    <row r="276">
      <c r="A276" t="inlineStr">
        <is>
          <t>tiberiansun</t>
        </is>
      </c>
      <c r="B276" t="inlineStr">
        <is>
          <t>ts_gdi_hammerhead</t>
        </is>
      </c>
      <c r="C276" t="inlineStr">
        <is>
          <t>Hammerhead</t>
        </is>
      </c>
      <c r="D276" s="6" t="inlineStr">
        <is>
          <t>Helicopter</t>
        </is>
      </c>
      <c r="E276" s="6" t="n">
        <v>80000</v>
      </c>
      <c r="F276" s="6" t="n">
        <v>140</v>
      </c>
      <c r="G276" t="inlineStr">
        <is>
          <t>Helicopter</t>
        </is>
      </c>
      <c r="H276" s="6" t="n">
        <v>1</v>
      </c>
      <c r="I276" s="6" t="n">
        <v>1</v>
      </c>
      <c r="J276" s="6" t="n">
        <v>1</v>
      </c>
      <c r="P276">
        <f>MAX(P277)</f>
        <v/>
      </c>
      <c r="S276">
        <f>S277</f>
        <v/>
      </c>
      <c r="T276">
        <f>(E276/100000+F276/100+(P276/1000)*J276/5+S276/200)*200*I276*H276</f>
        <v/>
      </c>
      <c r="U276">
        <f>((E276*F276/25000)+((P276/1000)*J276*S276/2.5))*I276*H276</f>
        <v/>
      </c>
      <c r="V276">
        <f>(E276*F276*(P276/1000)*J276*S276*I276*H276)/12500000</f>
        <v/>
      </c>
      <c r="W276">
        <f>(T276+U276+V276)/3</f>
        <v/>
      </c>
      <c r="X276" s="6" t="n">
        <v>2400</v>
      </c>
      <c r="Y276">
        <f>IFERROR(W276-X276,"")</f>
        <v/>
      </c>
      <c r="Z276">
        <f>IFERROR(ABS(Y276)/MAX(X276,1),"")</f>
        <v/>
      </c>
      <c r="AA276">
        <f>IFERROR((X276-(((E276/100000+F276/100+S276/200)*200*I276*H276)+((E276*F276/25000)*I276*H276))/3)/(((J276/5)*200*I276*H276)+((J276*S276/2.5)*I276*H276)+((E276*F276*J276*S276*I276*H276)/12500000))/3*1000,"")</f>
        <v/>
      </c>
    </row>
    <row r="277">
      <c r="B277" s="7" t="inlineStr">
        <is>
          <t xml:space="preserve">  ↳ TSHammerheadGun</t>
        </is>
      </c>
      <c r="C277" s="7" t="inlineStr">
        <is>
          <t>Armament@PRIMARY</t>
        </is>
      </c>
      <c r="L277" s="6" t="n">
        <v>4000</v>
      </c>
      <c r="M277" s="6" t="n">
        <v>6</v>
      </c>
      <c r="N277" s="6" t="n">
        <v>1</v>
      </c>
      <c r="O277" s="6" t="n"/>
      <c r="P277" s="6" t="n">
        <v>5451</v>
      </c>
      <c r="Q277" s="6" t="n">
        <v>1</v>
      </c>
      <c r="R277">
        <f>M277+IF(MAX(N277-1,0)&gt;0,IF(ISBLANK(O277),5*MAX(N277-1,0),IF(ISNUMBER(O277),O277*MAX(N277-1,0),SUM(IFERROR(VALUE(TEXTSPLIT(O277,",")),0)))),0)</f>
        <v/>
      </c>
      <c r="S277">
        <f>IFERROR(L277*MAX(N277,1)/R277*IF(ISBLANK(K276),1,K276),0)</f>
        <v/>
      </c>
      <c r="AB277" s="7" t="inlineStr">
        <is>
          <t>^Warhead_Bullet_Medium</t>
        </is>
      </c>
    </row>
    <row r="278">
      <c r="A278" t="inlineStr">
        <is>
          <t>tiberiansun</t>
        </is>
      </c>
      <c r="B278" t="inlineStr">
        <is>
          <t>ts_gdi_orcafighter</t>
        </is>
      </c>
      <c r="C278" t="inlineStr">
        <is>
          <t>Orca Fighter</t>
        </is>
      </c>
      <c r="D278" s="6" t="inlineStr">
        <is>
          <t>Helicopter</t>
        </is>
      </c>
      <c r="E278" s="6" t="n">
        <v>62500</v>
      </c>
      <c r="F278" s="6" t="n">
        <v>145</v>
      </c>
      <c r="G278" t="inlineStr">
        <is>
          <t>Helicopter</t>
        </is>
      </c>
      <c r="H278" s="6" t="n">
        <v>1</v>
      </c>
      <c r="I278" s="6" t="n">
        <v>1</v>
      </c>
      <c r="J278" s="6" t="n">
        <v>1</v>
      </c>
      <c r="P278">
        <f>MAX(P279,P280)</f>
        <v/>
      </c>
      <c r="S278">
        <f>S279+S280</f>
        <v/>
      </c>
      <c r="T278">
        <f>(E278/100000+F278/100+(P278/1000)*J278/5+S278/200)*200*I278*H278</f>
        <v/>
      </c>
      <c r="U278">
        <f>((E278*F278/25000)+((P278/1000)*J278*S278/2.5))*I278*H278</f>
        <v/>
      </c>
      <c r="V278">
        <f>(E278*F278*(P278/1000)*J278*S278*I278*H278)/12500000</f>
        <v/>
      </c>
      <c r="W278">
        <f>(T278+U278+V278)/3</f>
        <v/>
      </c>
      <c r="X278" s="6" t="n">
        <v>2200</v>
      </c>
      <c r="Y278">
        <f>IFERROR(W278-X278,"")</f>
        <v/>
      </c>
      <c r="Z278">
        <f>IFERROR(ABS(Y278)/MAX(X278,1),"")</f>
        <v/>
      </c>
      <c r="AA278">
        <f>IFERROR((X278-(((E278/100000+F278/100+S278/200)*200*I278*H278)+((E278*F278/25000)*I278*H278))/3)/(((J278/5)*200*I278*H278)+((J278*S278/2.5)*I278*H278)+((E278*F278*J278*S278*I278*H278)/12500000))/3*1000,"")</f>
        <v/>
      </c>
    </row>
    <row r="279">
      <c r="B279" s="7" t="inlineStr">
        <is>
          <t xml:space="preserve">  ↳ TSHellfire</t>
        </is>
      </c>
      <c r="C279" s="7" t="inlineStr">
        <is>
          <t>Armament@PRIMARY</t>
        </is>
      </c>
      <c r="L279" s="6" t="n">
        <v>24000</v>
      </c>
      <c r="M279" s="6" t="n">
        <v>32</v>
      </c>
      <c r="N279" s="6" t="n">
        <v>1</v>
      </c>
      <c r="O279" s="6" t="n"/>
      <c r="P279" s="6" t="n">
        <v>5740</v>
      </c>
      <c r="Q279" s="6" t="n">
        <v>1.25</v>
      </c>
      <c r="R279">
        <f>M279+IF(MAX(N279-1,0)&gt;0,IF(ISBLANK(O279),5*MAX(N279-1,0),IF(ISNUMBER(O279),O279*MAX(N279-1,0),SUM(IFERROR(VALUE(TEXTSPLIT(O279,",")),0)))),0)</f>
        <v/>
      </c>
      <c r="S279">
        <f>IFERROR(L279*MAX(N279,1)/R279*IF(ISBLANK(K278),1,K278),0)</f>
        <v/>
      </c>
      <c r="AB279" s="7" t="inlineStr">
        <is>
          <t>^Warhead_MissileAP_Heavy</t>
        </is>
      </c>
    </row>
    <row r="280">
      <c r="B280" s="7" t="inlineStr">
        <is>
          <t xml:space="preserve">  ↳ TSHellfireSonic</t>
        </is>
      </c>
      <c r="C280" s="7" t="inlineStr">
        <is>
          <t>Armament@Upgrade</t>
        </is>
      </c>
      <c r="L280" s="6" t="n">
        <v>8000</v>
      </c>
      <c r="M280" s="6" t="n">
        <v>60</v>
      </c>
      <c r="N280" s="6" t="n">
        <v>1</v>
      </c>
      <c r="O280" s="6" t="n"/>
      <c r="P280" s="6" t="n">
        <v>6144</v>
      </c>
      <c r="Q280" s="6" t="n">
        <v>1</v>
      </c>
      <c r="R280">
        <f>M280+IF(MAX(N280-1,0)&gt;0,IF(ISBLANK(O280),5*MAX(N280-1,0),IF(ISNUMBER(O280),O280*MAX(N280-1,0),SUM(IFERROR(VALUE(TEXTSPLIT(O280,",")),0)))),0)</f>
        <v/>
      </c>
      <c r="S280">
        <f>IFERROR(L280*MAX(N280,1)/R280*IF(ISBLANK(K278),1,K278),0)</f>
        <v/>
      </c>
      <c r="AB280" s="7" t="inlineStr">
        <is>
          <t>^Warhead_Sonic_Medium</t>
        </is>
      </c>
    </row>
    <row r="281">
      <c r="A281" t="inlineStr">
        <is>
          <t>tiberiansun</t>
        </is>
      </c>
      <c r="B281" t="inlineStr">
        <is>
          <t>ts_gdi_zoneorcafighter</t>
        </is>
      </c>
      <c r="C281" t="inlineStr">
        <is>
          <t>Zone Orca Fighter</t>
        </is>
      </c>
      <c r="D281" s="6" t="inlineStr">
        <is>
          <t>Helicopter</t>
        </is>
      </c>
      <c r="E281" s="6" t="n">
        <v>70000</v>
      </c>
      <c r="F281" s="6" t="n">
        <v>165</v>
      </c>
      <c r="G281" t="inlineStr">
        <is>
          <t>Helicopter</t>
        </is>
      </c>
      <c r="H281" s="6" t="n">
        <v>1</v>
      </c>
      <c r="I281" s="6" t="n">
        <v>1</v>
      </c>
      <c r="J281" s="6" t="n">
        <v>1</v>
      </c>
      <c r="P281">
        <f>MAX(P282,P283)</f>
        <v/>
      </c>
      <c r="S281">
        <f>S282+S283</f>
        <v/>
      </c>
      <c r="T281">
        <f>(E281/100000+F281/100+(P281/1000)*J281/5+S281/200)*200*I281*H281</f>
        <v/>
      </c>
      <c r="U281">
        <f>((E281*F281/25000)+((P281/1000)*J281*S281/2.5))*I281*H281</f>
        <v/>
      </c>
      <c r="V281">
        <f>(E281*F281*(P281/1000)*J281*S281*I281*H281)/12500000</f>
        <v/>
      </c>
      <c r="W281">
        <f>(T281+U281+V281)/3</f>
        <v/>
      </c>
      <c r="X281" s="6" t="n">
        <v>3000</v>
      </c>
      <c r="Y281">
        <f>IFERROR(W281-X281,"")</f>
        <v/>
      </c>
      <c r="Z281">
        <f>IFERROR(ABS(Y281)/MAX(X281,1),"")</f>
        <v/>
      </c>
      <c r="AA281">
        <f>IFERROR((X281-(((E281/100000+F281/100+S281/200)*200*I281*H281)+((E281*F281/25000)*I281*H281))/3)/(((J281/5)*200*I281*H281)+((J281*S281/2.5)*I281*H281)+((E281*F281*J281*S281*I281*H281)/12500000))/3*1000,"")</f>
        <v/>
      </c>
    </row>
    <row r="282">
      <c r="B282" s="7" t="inlineStr">
        <is>
          <t xml:space="preserve">  ↳ TSZoneHellfire</t>
        </is>
      </c>
      <c r="C282" s="7" t="inlineStr">
        <is>
          <t>Armament@PRIMARY</t>
        </is>
      </c>
      <c r="L282" s="6" t="n">
        <v>24000</v>
      </c>
      <c r="M282" s="6" t="n">
        <v>28</v>
      </c>
      <c r="N282" s="6" t="n">
        <v>1</v>
      </c>
      <c r="O282" s="6" t="n"/>
      <c r="P282" s="6" t="n">
        <v>6138</v>
      </c>
      <c r="Q282" s="6" t="n">
        <v>1.25</v>
      </c>
      <c r="R282">
        <f>M282+IF(MAX(N282-1,0)&gt;0,IF(ISBLANK(O282),5*MAX(N282-1,0),IF(ISNUMBER(O282),O282*MAX(N282-1,0),SUM(IFERROR(VALUE(TEXTSPLIT(O282,",")),0)))),0)</f>
        <v/>
      </c>
      <c r="S282">
        <f>IFERROR(L282*MAX(N282,1)/R282*IF(ISBLANK(K281),1,K281),0)</f>
        <v/>
      </c>
      <c r="AB282" s="7" t="inlineStr">
        <is>
          <t>^Warhead_MissileAP_Heavy</t>
        </is>
      </c>
    </row>
    <row r="283">
      <c r="B283" s="7" t="inlineStr">
        <is>
          <t xml:space="preserve">  ↳ TSZoneHellfireSonic</t>
        </is>
      </c>
      <c r="C283" s="7" t="inlineStr">
        <is>
          <t>Armament@Upgrade</t>
        </is>
      </c>
      <c r="L283" s="6" t="n">
        <v>16000</v>
      </c>
      <c r="M283" s="6" t="n">
        <v>28</v>
      </c>
      <c r="N283" s="6" t="n">
        <v>1</v>
      </c>
      <c r="O283" s="6" t="n"/>
      <c r="P283" s="6" t="n">
        <v>6138</v>
      </c>
      <c r="Q283" s="6" t="n">
        <v>1.125</v>
      </c>
      <c r="R283">
        <f>M283+IF(MAX(N283-1,0)&gt;0,IF(ISBLANK(O283),5*MAX(N283-1,0),IF(ISNUMBER(O283),O283*MAX(N283-1,0),SUM(IFERROR(VALUE(TEXTSPLIT(O283,",")),0)))),0)</f>
        <v/>
      </c>
      <c r="S283">
        <f>IFERROR(L283*MAX(N283,1)/R283*IF(ISBLANK(K281),1,K281),0)</f>
        <v/>
      </c>
      <c r="AB283" s="7" t="inlineStr">
        <is>
          <t>^Warhead_Sonic_Medium, ^Warhead_Sonic_Heavy</t>
        </is>
      </c>
    </row>
    <row r="284">
      <c r="A284" t="inlineStr">
        <is>
          <t>tiberiansun</t>
        </is>
      </c>
      <c r="B284" t="inlineStr">
        <is>
          <t>forgotten_apache</t>
        </is>
      </c>
      <c r="C284" t="inlineStr">
        <is>
          <t>actor_forgotten_apache.name</t>
        </is>
      </c>
      <c r="D284" s="6" t="inlineStr">
        <is>
          <t>Helicopter</t>
        </is>
      </c>
      <c r="E284" s="6" t="n">
        <v>30000</v>
      </c>
      <c r="F284" s="6" t="n">
        <v>160</v>
      </c>
      <c r="G284" t="inlineStr">
        <is>
          <t>Helicopter</t>
        </is>
      </c>
      <c r="H284" s="6" t="n">
        <v>1</v>
      </c>
      <c r="I284" s="6" t="n">
        <v>1</v>
      </c>
      <c r="J284" s="6" t="n">
        <v>1</v>
      </c>
      <c r="P284">
        <f>MAX(P285,P286)</f>
        <v/>
      </c>
      <c r="S284">
        <f>S285+S286</f>
        <v/>
      </c>
      <c r="T284">
        <f>(E284/100000+F284/100+(P284/1000)*J284/5+S284/200)*200*I284*H284</f>
        <v/>
      </c>
      <c r="U284">
        <f>((E284*F284/25000)+((P284/1000)*J284*S284/2.5))*I284*H284</f>
        <v/>
      </c>
      <c r="V284">
        <f>(E284*F284*(P284/1000)*J284*S284*I284*H284)/12500000</f>
        <v/>
      </c>
      <c r="W284">
        <f>(T284+U284+V284)/3</f>
        <v/>
      </c>
      <c r="X284" s="6" t="n">
        <v>1500</v>
      </c>
      <c r="Y284">
        <f>IFERROR(W284-X284,"")</f>
        <v/>
      </c>
      <c r="Z284">
        <f>IFERROR(ABS(Y284)/MAX(X284,1),"")</f>
        <v/>
      </c>
      <c r="AA284">
        <f>IFERROR((X284-(((E284/100000+F284/100+S284/200)*200*I284*H284)+((E284*F284/25000)*I284*H284))/3)/(((J284/5)*200*I284*H284)+((J284*S284/2.5)*I284*H284)+((E284*F284*J284*S284*I284*H284)/12500000))/3*1000,"")</f>
        <v/>
      </c>
    </row>
    <row r="285">
      <c r="B285" s="7" t="inlineStr">
        <is>
          <t xml:space="preserve">  ↳ TSApacheMissile</t>
        </is>
      </c>
      <c r="C285" s="7" t="inlineStr">
        <is>
          <t>Armament@PRIMARY</t>
        </is>
      </c>
      <c r="L285" s="6" t="n">
        <v>24000</v>
      </c>
      <c r="M285" s="6" t="n">
        <v>15</v>
      </c>
      <c r="N285" s="6" t="n">
        <v>1</v>
      </c>
      <c r="O285" s="6" t="n"/>
      <c r="P285" s="6" t="n">
        <v>4688</v>
      </c>
      <c r="Q285" s="6" t="n">
        <v>1.25</v>
      </c>
      <c r="R285">
        <f>M285+IF(MAX(N285-1,0)&gt;0,IF(ISBLANK(O285),5*MAX(N285-1,0),IF(ISNUMBER(O285),O285*MAX(N285-1,0),SUM(IFERROR(VALUE(TEXTSPLIT(O285,",")),0)))),0)</f>
        <v/>
      </c>
      <c r="S285">
        <f>IFERROR(L285*MAX(N285,1)/R285*IF(ISBLANK(K284),1,K284),0)</f>
        <v/>
      </c>
      <c r="AB285" s="7" t="inlineStr">
        <is>
          <t>^Warhead_MissileAP_Heavy</t>
        </is>
      </c>
    </row>
    <row r="286">
      <c r="B286" s="7" t="inlineStr">
        <is>
          <t xml:space="preserve">  ↳ TSChemApacheMissile</t>
        </is>
      </c>
      <c r="C286" s="7" t="inlineStr">
        <is>
          <t>Armament@UPGRADE</t>
        </is>
      </c>
      <c r="L286" s="6" t="n">
        <v>36000</v>
      </c>
      <c r="M286" s="6" t="n">
        <v>15</v>
      </c>
      <c r="N286" s="6" t="n">
        <v>1</v>
      </c>
      <c r="O286" s="6" t="n"/>
      <c r="P286" s="6" t="n">
        <v>4688</v>
      </c>
      <c r="Q286" s="6" t="n">
        <v>1</v>
      </c>
      <c r="R286">
        <f>M286+IF(MAX(N286-1,0)&gt;0,IF(ISBLANK(O286),5*MAX(N286-1,0),IF(ISNUMBER(O286),O286*MAX(N286-1,0),SUM(IFERROR(VALUE(TEXTSPLIT(O286,",")),0)))),0)</f>
        <v/>
      </c>
      <c r="S286">
        <f>IFERROR(L286*MAX(N286,1)/R286*IF(ISBLANK(K284),1,K284),0)</f>
        <v/>
      </c>
      <c r="AB286" s="7" t="inlineStr">
        <is>
          <t>^Warhead_MissileChem_Medium</t>
        </is>
      </c>
    </row>
    <row r="287">
      <c r="A287" t="inlineStr">
        <is>
          <t>tiberiansun</t>
        </is>
      </c>
      <c r="B287" t="inlineStr">
        <is>
          <t>forgotten_cobracopter</t>
        </is>
      </c>
      <c r="C287" t="inlineStr">
        <is>
          <t>actor_forgotten_cobracopter.name</t>
        </is>
      </c>
      <c r="D287" s="6" t="inlineStr">
        <is>
          <t>Helicopter</t>
        </is>
      </c>
      <c r="E287" s="6" t="n">
        <v>32500</v>
      </c>
      <c r="F287" s="6" t="n">
        <v>165</v>
      </c>
      <c r="G287" t="inlineStr">
        <is>
          <t>Helicopter</t>
        </is>
      </c>
      <c r="H287" s="6" t="n">
        <v>1</v>
      </c>
      <c r="I287" s="6" t="n">
        <v>1</v>
      </c>
      <c r="J287" s="6" t="n">
        <v>1</v>
      </c>
      <c r="P287">
        <f>MAX(P288,P289)</f>
        <v/>
      </c>
      <c r="S287">
        <f>S288+S289</f>
        <v/>
      </c>
      <c r="T287">
        <f>(E287/100000+F287/100+(P287/1000)*J287/5+S287/200)*200*I287*H287</f>
        <v/>
      </c>
      <c r="U287">
        <f>((E287*F287/25000)+((P287/1000)*J287*S287/2.5))*I287*H287</f>
        <v/>
      </c>
      <c r="V287">
        <f>(E287*F287*(P287/1000)*J287*S287*I287*H287)/12500000</f>
        <v/>
      </c>
      <c r="W287">
        <f>(T287+U287+V287)/3</f>
        <v/>
      </c>
      <c r="X287" s="6" t="n">
        <v>2000</v>
      </c>
      <c r="Y287">
        <f>IFERROR(W287-X287,"")</f>
        <v/>
      </c>
      <c r="Z287">
        <f>IFERROR(ABS(Y287)/MAX(X287,1),"")</f>
        <v/>
      </c>
      <c r="AA287">
        <f>IFERROR((X287-(((E287/100000+F287/100+S287/200)*200*I287*H287)+((E287*F287/25000)*I287*H287))/3)/(((J287/5)*200*I287*H287)+((J287*S287/2.5)*I287*H287)+((E287*F287*J287*S287*I287*H287)/12500000))/3*1000,"")</f>
        <v/>
      </c>
    </row>
    <row r="288">
      <c r="B288" s="7" t="inlineStr">
        <is>
          <t xml:space="preserve">  ↳ TSCobraMissile</t>
        </is>
      </c>
      <c r="C288" s="7" t="inlineStr">
        <is>
          <t>Armament@PRIMARY</t>
        </is>
      </c>
      <c r="L288" s="6" t="n">
        <v>24000</v>
      </c>
      <c r="M288" s="6" t="n">
        <v>12</v>
      </c>
      <c r="N288" s="6" t="n">
        <v>1</v>
      </c>
      <c r="O288" s="6" t="n"/>
      <c r="P288" s="6" t="n">
        <v>5052</v>
      </c>
      <c r="Q288" s="6" t="n">
        <v>1.25</v>
      </c>
      <c r="R288">
        <f>M288+IF(MAX(N288-1,0)&gt;0,IF(ISBLANK(O288),5*MAX(N288-1,0),IF(ISNUMBER(O288),O288*MAX(N288-1,0),SUM(IFERROR(VALUE(TEXTSPLIT(O288,",")),0)))),0)</f>
        <v/>
      </c>
      <c r="S288">
        <f>IFERROR(L288*MAX(N288,1)/R288*IF(ISBLANK(K287),1,K287),0)</f>
        <v/>
      </c>
      <c r="AB288" s="7" t="inlineStr">
        <is>
          <t>^Warhead_MissileAP_Heavy</t>
        </is>
      </c>
    </row>
    <row r="289">
      <c r="B289" s="7" t="inlineStr">
        <is>
          <t xml:space="preserve">  ↳ TSChemCobraMissile</t>
        </is>
      </c>
      <c r="C289" s="7" t="inlineStr">
        <is>
          <t>Armament@SECONDARY</t>
        </is>
      </c>
      <c r="L289" s="6" t="n">
        <v>36000</v>
      </c>
      <c r="M289" s="6" t="n">
        <v>12</v>
      </c>
      <c r="N289" s="6" t="n">
        <v>1</v>
      </c>
      <c r="O289" s="6" t="n"/>
      <c r="P289" s="6" t="n">
        <v>5052</v>
      </c>
      <c r="Q289" s="6" t="n">
        <v>1</v>
      </c>
      <c r="R289">
        <f>M289+IF(MAX(N289-1,0)&gt;0,IF(ISBLANK(O289),5*MAX(N289-1,0),IF(ISNUMBER(O289),O289*MAX(N289-1,0),SUM(IFERROR(VALUE(TEXTSPLIT(O289,",")),0)))),0)</f>
        <v/>
      </c>
      <c r="S289">
        <f>IFERROR(L289*MAX(N289,1)/R289*IF(ISBLANK(K287),1,K287),0)</f>
        <v/>
      </c>
      <c r="AB289" s="7" t="inlineStr">
        <is>
          <t>^Warhead_MissileChem_Medium</t>
        </is>
      </c>
    </row>
    <row r="290">
      <c r="A290" t="inlineStr">
        <is>
          <t>tiberiansun</t>
        </is>
      </c>
      <c r="B290" t="inlineStr">
        <is>
          <t>forgotten_wasp</t>
        </is>
      </c>
      <c r="C290" t="inlineStr">
        <is>
          <t>actor_forgotten_wasp.name</t>
        </is>
      </c>
      <c r="D290" s="6" t="inlineStr">
        <is>
          <t>Helicopter</t>
        </is>
      </c>
      <c r="E290" s="6" t="n">
        <v>25000</v>
      </c>
      <c r="F290" s="6" t="n">
        <v>200</v>
      </c>
      <c r="G290" t="inlineStr">
        <is>
          <t>Helicopter</t>
        </is>
      </c>
      <c r="H290" s="6" t="n">
        <v>1</v>
      </c>
      <c r="I290" s="6" t="n">
        <v>1</v>
      </c>
      <c r="J290" s="6" t="n">
        <v>1</v>
      </c>
      <c r="P290">
        <f>MAX(P291)</f>
        <v/>
      </c>
      <c r="S290">
        <f>S291</f>
        <v/>
      </c>
      <c r="T290">
        <f>(E290/100000+F290/100+(P290/1000)*J290/5+S290/200)*200*I290*H290</f>
        <v/>
      </c>
      <c r="U290">
        <f>((E290*F290/25000)+((P290/1000)*J290*S290/2.5))*I290*H290</f>
        <v/>
      </c>
      <c r="V290">
        <f>(E290*F290*(P290/1000)*J290*S290*I290*H290)/12500000</f>
        <v/>
      </c>
      <c r="W290">
        <f>(T290+U290+V290)/3</f>
        <v/>
      </c>
      <c r="X290" s="6" t="n">
        <v>1000</v>
      </c>
      <c r="Y290">
        <f>IFERROR(W290-X290,"")</f>
        <v/>
      </c>
      <c r="Z290">
        <f>IFERROR(ABS(Y290)/MAX(X290,1),"")</f>
        <v/>
      </c>
      <c r="AA290">
        <f>IFERROR((X290-(((E290/100000+F290/100+S290/200)*200*I290*H290)+((E290*F290/25000)*I290*H290))/3)/(((J290/5)*200*I290*H290)+((J290*S290/2.5)*I290*H290)+((E290*F290*J290*S290*I290*H290)/12500000))/3*1000,"")</f>
        <v/>
      </c>
    </row>
    <row r="291">
      <c r="B291" s="7" t="inlineStr">
        <is>
          <t xml:space="preserve">  ↳ TSWaspClaw</t>
        </is>
      </c>
      <c r="C291" s="7" t="inlineStr">
        <is>
          <t>Armament@PRIMARY</t>
        </is>
      </c>
      <c r="L291" s="6" t="n">
        <v>4000</v>
      </c>
      <c r="M291" s="6" t="n">
        <v>18</v>
      </c>
      <c r="N291" s="6" t="n">
        <v>2</v>
      </c>
      <c r="O291" s="6" t="n">
        <v>0</v>
      </c>
      <c r="P291" s="6" t="n">
        <v>4882</v>
      </c>
      <c r="Q291" s="6" t="n">
        <v>1</v>
      </c>
      <c r="R291">
        <f>M291+IF(MAX(N291-1,0)&gt;0,IF(ISBLANK(O291),5*MAX(N291-1,0),IF(ISNUMBER(O291),O291*MAX(N291-1,0),SUM(IFERROR(VALUE(TEXTSPLIT(O291,",")),0)))),0)</f>
        <v/>
      </c>
      <c r="S291">
        <f>IFERROR(L291*MAX(N291,1)/R291*IF(ISBLANK(K290),1,K290),0)</f>
        <v/>
      </c>
      <c r="AB291" s="7" t="inlineStr">
        <is>
          <t>^Warhead_Bullet_Medium</t>
        </is>
      </c>
    </row>
    <row r="292">
      <c r="A292" t="inlineStr">
        <is>
          <t>redalert2</t>
        </is>
      </c>
      <c r="B292" t="inlineStr">
        <is>
          <t>ra2_allies_nighthawk</t>
        </is>
      </c>
      <c r="C292" t="inlineStr">
        <is>
          <t>Night Hawk</t>
        </is>
      </c>
      <c r="D292" s="6" t="inlineStr">
        <is>
          <t>Helicopter</t>
        </is>
      </c>
      <c r="E292" s="6" t="n">
        <v>87500</v>
      </c>
      <c r="F292" s="6" t="n">
        <v>120</v>
      </c>
      <c r="G292" t="inlineStr">
        <is>
          <t>Helicopter</t>
        </is>
      </c>
      <c r="H292" s="6" t="n">
        <v>1</v>
      </c>
      <c r="I292" s="6" t="n">
        <v>1.25</v>
      </c>
      <c r="J292" s="6" t="n">
        <v>1</v>
      </c>
      <c r="K292" t="n">
        <v>0.005</v>
      </c>
      <c r="P292">
        <f>MAX(P293)</f>
        <v/>
      </c>
      <c r="S292">
        <f>S293</f>
        <v/>
      </c>
      <c r="T292">
        <f>(E292/100000+F292/100+(P292/1000)*J292/5+S292/200)*200*I292*H292</f>
        <v/>
      </c>
      <c r="U292">
        <f>((E292*F292/25000)+((P292/1000)*J292*S292/2.5))*I292*H292</f>
        <v/>
      </c>
      <c r="V292">
        <f>(E292*F292*(P292/1000)*J292*S292*I292*H292)/12500000</f>
        <v/>
      </c>
      <c r="W292">
        <f>(T292+U292+V292)/3</f>
        <v/>
      </c>
      <c r="X292" s="6" t="n">
        <v>2100</v>
      </c>
      <c r="Y292">
        <f>IFERROR(W292-X292,"")</f>
        <v/>
      </c>
      <c r="Z292">
        <f>IFERROR(ABS(Y292)/MAX(X292,1),"")</f>
        <v/>
      </c>
      <c r="AA292">
        <f>IFERROR((X292-(((E292/100000+F292/100+S292/200)*200*I292*H292)+((E292*F292/25000)*I292*H292))/3)/(((J292/5)*200*I292*H292)+((J292*S292/2.5)*I292*H292)+((E292*F292*J292*S292*I292*H292)/12500000))/3*1000,"")</f>
        <v/>
      </c>
    </row>
    <row r="293">
      <c r="B293" s="7" t="inlineStr">
        <is>
          <t xml:space="preserve">  ↳ BlackHawkCannon</t>
        </is>
      </c>
      <c r="C293" s="7" t="inlineStr">
        <is>
          <t>Armament@PRIMARY</t>
        </is>
      </c>
      <c r="L293" s="6" t="n">
        <v>4000</v>
      </c>
      <c r="M293" s="6" t="n">
        <v>3</v>
      </c>
      <c r="N293" s="6" t="n">
        <v>1</v>
      </c>
      <c r="O293" s="6" t="n"/>
      <c r="P293" s="6" t="n">
        <v>4750</v>
      </c>
      <c r="Q293" s="6" t="n">
        <v>0.875</v>
      </c>
      <c r="R293">
        <f>M293+IF(MAX(N293-1,0)&gt;0,IF(ISBLANK(O293),5*MAX(N293-1,0),IF(ISNUMBER(O293),O293*MAX(N293-1,0),SUM(IFERROR(VALUE(TEXTSPLIT(O293,",")),0)))),0)</f>
        <v/>
      </c>
      <c r="S293">
        <f>IFERROR(L293*MAX(N293,1)/R293*IF(ISBLANK(K292),1,K292),0)</f>
        <v/>
      </c>
      <c r="AB293" s="7" t="inlineStr">
        <is>
          <t>^Warhead_Bullet_Light, ^Warhead_Bullet_Medium</t>
        </is>
      </c>
    </row>
    <row r="294">
      <c r="A294" t="inlineStr">
        <is>
          <t>redalert2</t>
        </is>
      </c>
      <c r="B294" t="inlineStr">
        <is>
          <t>ra2_soviets_siegechopper</t>
        </is>
      </c>
      <c r="C294" t="inlineStr">
        <is>
          <t>Siege Chopper</t>
        </is>
      </c>
      <c r="D294" s="6" t="inlineStr">
        <is>
          <t>Helicopter</t>
        </is>
      </c>
      <c r="E294" s="6" t="n">
        <v>55000</v>
      </c>
      <c r="F294" s="6" t="n">
        <v>150</v>
      </c>
      <c r="G294" t="inlineStr">
        <is>
          <t>Helicopter</t>
        </is>
      </c>
      <c r="H294" s="6" t="n">
        <v>1</v>
      </c>
      <c r="I294" s="6" t="n">
        <v>1</v>
      </c>
      <c r="J294" s="6" t="n">
        <v>1</v>
      </c>
      <c r="K294" t="n">
        <v>0.005</v>
      </c>
      <c r="P294">
        <f>MAX(P295,P297,P298,P299,P300,P301,P302,P303,P304)</f>
        <v/>
      </c>
      <c r="S294">
        <f>S295+S297+S298+S299+S300+S301+S302+S303+S304</f>
        <v/>
      </c>
      <c r="T294">
        <f>(E294/100000+F294/100+(P294/1000)*J294/5+S294/200)*200*I294*H294</f>
        <v/>
      </c>
      <c r="U294">
        <f>((E294*F294/25000)+((P294/1000)*J294*S294/2.5))*I294*H294</f>
        <v/>
      </c>
      <c r="V294">
        <f>(E294*F294*(P294/1000)*J294*S294*I294*H294)/12500000</f>
        <v/>
      </c>
      <c r="W294">
        <f>(T294+U294+V294)/3</f>
        <v/>
      </c>
      <c r="X294" s="6" t="n">
        <v>1500</v>
      </c>
      <c r="Y294">
        <f>IFERROR(W294-X294,"")</f>
        <v/>
      </c>
      <c r="Z294">
        <f>IFERROR(ABS(Y294)/MAX(X294,1),"")</f>
        <v/>
      </c>
      <c r="AA294">
        <f>IFERROR((X294-(((E294/100000+F294/100+S294/200)*200*I294*H294)+((E294*F294/25000)*I294*H294))/3)/(((J294/5)*200*I294*H294)+((J294*S294/2.5)*I294*H294)+((E294*F294*J294*S294*I294*H294)/12500000))/3*1000,"")</f>
        <v/>
      </c>
    </row>
    <row r="295">
      <c r="B295" s="7" t="inlineStr">
        <is>
          <t xml:space="preserve">  ↳ BlackHawkCannon</t>
        </is>
      </c>
      <c r="C295" s="7" t="inlineStr">
        <is>
          <t>Armament@PRIMARY</t>
        </is>
      </c>
      <c r="L295" s="6" t="n">
        <v>4000</v>
      </c>
      <c r="M295" s="6" t="n">
        <v>3</v>
      </c>
      <c r="N295" s="6" t="n">
        <v>1</v>
      </c>
      <c r="O295" s="6" t="n"/>
      <c r="P295" s="6" t="n">
        <v>4750</v>
      </c>
      <c r="Q295" s="6" t="n">
        <v>0.875</v>
      </c>
      <c r="R295">
        <f>M295+IF(MAX(N295-1,0)&gt;0,IF(ISBLANK(O295),5*MAX(N295-1,0),IF(ISNUMBER(O295),O295*MAX(N295-1,0),SUM(IFERROR(VALUE(TEXTSPLIT(O295,",")),0)))),0)</f>
        <v/>
      </c>
      <c r="S295">
        <f>IFERROR(L295*MAX(N295,1)/R295*IF(ISBLANK(K294),1,K294),0)</f>
        <v/>
      </c>
      <c r="AB295" s="7" t="inlineStr">
        <is>
          <t>^Warhead_Bullet_Light, ^Warhead_Bullet_Medium</t>
        </is>
      </c>
    </row>
    <row r="296">
      <c r="B296" s="7" t="inlineStr">
        <is>
          <t xml:space="preserve">  ↳ deploytargeting_5c0</t>
        </is>
      </c>
      <c r="C296" s="7" t="inlineStr">
        <is>
          <t>Armament@DeployTargeter</t>
        </is>
      </c>
      <c r="M296" s="6" t="n">
        <v>50</v>
      </c>
      <c r="N296" s="6" t="n">
        <v>1</v>
      </c>
      <c r="O296" s="6" t="n"/>
      <c r="P296" s="6" t="n">
        <v>5000</v>
      </c>
      <c r="Q296" s="6" t="n">
        <v>1</v>
      </c>
      <c r="R296">
        <f>M296+IF(MAX(N296-1,0)&gt;0,IF(ISBLANK(O296),5*MAX(N296-1,0),IF(ISNUMBER(O296),O296*MAX(N296-1,0),SUM(IFERROR(VALUE(TEXTSPLIT(O296,",")),0)))),0)</f>
        <v/>
      </c>
      <c r="S296">
        <f>IFERROR(L296*MAX(N296,1)/R296*IF(ISBLANK(K294),1,K294),0)</f>
        <v/>
      </c>
      <c r="AB296" s="7" t="inlineStr">
        <is>
          <t>^DeployTargeting</t>
        </is>
      </c>
    </row>
    <row r="297">
      <c r="B297" s="7" t="inlineStr">
        <is>
          <t xml:space="preserve">  ↳ RA160mm</t>
        </is>
      </c>
      <c r="C297" s="7" t="inlineStr">
        <is>
          <t>Armament@Deployed</t>
        </is>
      </c>
      <c r="L297" s="6" t="n">
        <v>120000</v>
      </c>
      <c r="M297" s="6" t="n">
        <v>88</v>
      </c>
      <c r="N297" s="6" t="n">
        <v>1</v>
      </c>
      <c r="O297" s="6" t="n"/>
      <c r="P297" s="6" t="n">
        <v>11111</v>
      </c>
      <c r="Q297" s="6" t="n">
        <v>0.875</v>
      </c>
      <c r="R297">
        <f>M297+IF(MAX(N297-1,0)&gt;0,IF(ISBLANK(O297),5*MAX(N297-1,0),IF(ISNUMBER(O297),O297*MAX(N297-1,0),SUM(IFERROR(VALUE(TEXTSPLIT(O297,",")),0)))),0)</f>
        <v/>
      </c>
      <c r="S297">
        <f>IFERROR(L297*MAX(N297,1)/R297*IF(ISBLANK(K294),1,K294),0)</f>
        <v/>
      </c>
      <c r="AB297" s="7" t="inlineStr">
        <is>
          <t>^Warhead_Concussion_Medium, ^Warhead_Demolition_Light</t>
        </is>
      </c>
    </row>
    <row r="298">
      <c r="B298" s="7" t="inlineStr">
        <is>
          <t xml:space="preserve">  ↳ RA160mm_rad</t>
        </is>
      </c>
      <c r="C298" s="7" t="inlineStr">
        <is>
          <t>Armament@DeployedRad</t>
        </is>
      </c>
      <c r="L298" s="6" t="n">
        <v>108000</v>
      </c>
      <c r="M298" s="6" t="n">
        <v>88</v>
      </c>
      <c r="N298" s="6" t="n">
        <v>1</v>
      </c>
      <c r="O298" s="6" t="n"/>
      <c r="P298" s="6" t="n">
        <v>11111</v>
      </c>
      <c r="Q298" s="6" t="n">
        <v>1</v>
      </c>
      <c r="R298">
        <f>M298+IF(MAX(N298-1,0)&gt;0,IF(ISBLANK(O298),5*MAX(N298-1,0),IF(ISNUMBER(O298),O298*MAX(N298-1,0),SUM(IFERROR(VALUE(TEXTSPLIT(O298,",")),0)))),0)</f>
        <v/>
      </c>
      <c r="S298">
        <f>IFERROR(L298*MAX(N298,1)/R298*IF(ISBLANK(K294),1,K294),0)</f>
        <v/>
      </c>
      <c r="AB298" s="7" t="inlineStr">
        <is>
          <t>^Warhead_Chemical_Light, ^Warhead_Concussion_Medium, ^Warhead_Demolition_Light</t>
        </is>
      </c>
    </row>
    <row r="299">
      <c r="B299" s="7" t="inlineStr">
        <is>
          <t xml:space="preserve">  ↳ RA160mm_fire</t>
        </is>
      </c>
      <c r="C299" s="7" t="inlineStr">
        <is>
          <t>Armament@DeployedFire</t>
        </is>
      </c>
      <c r="L299" s="6" t="n">
        <v>120000</v>
      </c>
      <c r="M299" s="6" t="n">
        <v>88</v>
      </c>
      <c r="N299" s="6" t="n">
        <v>1</v>
      </c>
      <c r="O299" s="6" t="n"/>
      <c r="P299" s="6" t="n">
        <v>11111</v>
      </c>
      <c r="Q299" s="6" t="n">
        <v>0.875</v>
      </c>
      <c r="R299">
        <f>M299+IF(MAX(N299-1,0)&gt;0,IF(ISBLANK(O299),5*MAX(N299-1,0),IF(ISNUMBER(O299),O299*MAX(N299-1,0),SUM(IFERROR(VALUE(TEXTSPLIT(O299,",")),0)))),0)</f>
        <v/>
      </c>
      <c r="S299">
        <f>IFERROR(L299*MAX(N299,1)/R299*IF(ISBLANK(K294),1,K294),0)</f>
        <v/>
      </c>
      <c r="AB299" s="7" t="inlineStr">
        <is>
          <t>^Warhead_Concussion_Medium, ^Warhead_Demolition_Light</t>
        </is>
      </c>
    </row>
    <row r="300">
      <c r="B300" s="7" t="inlineStr">
        <is>
          <t xml:space="preserve">  ↳ RA160mm_tesla</t>
        </is>
      </c>
      <c r="C300" s="7" t="inlineStr">
        <is>
          <t>Armament@DeployedTesla</t>
        </is>
      </c>
      <c r="L300" s="6" t="n">
        <v>120000</v>
      </c>
      <c r="M300" s="6" t="n">
        <v>88</v>
      </c>
      <c r="N300" s="6" t="n">
        <v>1</v>
      </c>
      <c r="O300" s="6" t="n"/>
      <c r="P300" s="6" t="n">
        <v>11111</v>
      </c>
      <c r="Q300" s="6" t="n">
        <v>0.875</v>
      </c>
      <c r="R300">
        <f>M300+IF(MAX(N300-1,0)&gt;0,IF(ISBLANK(O300),5*MAX(N300-1,0),IF(ISNUMBER(O300),O300*MAX(N300-1,0),SUM(IFERROR(VALUE(TEXTSPLIT(O300,",")),0)))),0)</f>
        <v/>
      </c>
      <c r="S300">
        <f>IFERROR(L300*MAX(N300,1)/R300*IF(ISBLANK(K294),1,K294),0)</f>
        <v/>
      </c>
      <c r="AB300" s="7" t="inlineStr">
        <is>
          <t>^Warhead_Concussion_Medium, ^Warhead_Demolition_Light</t>
        </is>
      </c>
    </row>
    <row r="301">
      <c r="B301" s="7" t="inlineStr">
        <is>
          <t xml:space="preserve">  ↳ RA160mmE_elite</t>
        </is>
      </c>
      <c r="C301" s="7" t="inlineStr">
        <is>
          <t>Armament@DeployedElite</t>
        </is>
      </c>
      <c r="L301" s="6" t="n">
        <v>120000</v>
      </c>
      <c r="M301" s="6" t="n">
        <v>88</v>
      </c>
      <c r="N301" s="6" t="n">
        <v>2</v>
      </c>
      <c r="O301" s="6" t="n">
        <v>3</v>
      </c>
      <c r="P301" s="6" t="n">
        <v>12345</v>
      </c>
      <c r="Q301" s="6" t="n">
        <v>0.875</v>
      </c>
      <c r="R301">
        <f>M301+IF(MAX(N301-1,0)&gt;0,IF(ISBLANK(O301),5*MAX(N301-1,0),IF(ISNUMBER(O301),O301*MAX(N301-1,0),SUM(IFERROR(VALUE(TEXTSPLIT(O301,",")),0)))),0)</f>
        <v/>
      </c>
      <c r="S301">
        <f>IFERROR(L301*MAX(N301,1)/R301*IF(ISBLANK(K294),1,K294),0)</f>
        <v/>
      </c>
      <c r="AB301" s="7" t="inlineStr">
        <is>
          <t>^Warhead_Concussion_Medium, ^Warhead_Demolition_Light</t>
        </is>
      </c>
    </row>
    <row r="302">
      <c r="B302" s="7" t="inlineStr">
        <is>
          <t xml:space="preserve">  ↳ RA160mmE_rad_elite</t>
        </is>
      </c>
      <c r="C302" s="7" t="inlineStr">
        <is>
          <t>Armament@DeployedEliteRad</t>
        </is>
      </c>
      <c r="L302" s="6" t="n">
        <v>144000</v>
      </c>
      <c r="M302" s="6" t="n">
        <v>88</v>
      </c>
      <c r="N302" s="6" t="n">
        <v>1</v>
      </c>
      <c r="O302" s="6" t="n"/>
      <c r="P302" s="6" t="n">
        <v>12345</v>
      </c>
      <c r="Q302" s="6" t="n">
        <v>1</v>
      </c>
      <c r="R302">
        <f>M302+IF(MAX(N302-1,0)&gt;0,IF(ISBLANK(O302),5*MAX(N302-1,0),IF(ISNUMBER(O302),O302*MAX(N302-1,0),SUM(IFERROR(VALUE(TEXTSPLIT(O302,",")),0)))),0)</f>
        <v/>
      </c>
      <c r="S302">
        <f>IFERROR(L302*MAX(N302,1)/R302*IF(ISBLANK(K294),1,K294),0)</f>
        <v/>
      </c>
      <c r="AB302" s="7" t="inlineStr">
        <is>
          <t>^Warhead_Nuclear_Super, ^Warhead_Chemical_Light, ^Warhead_Concussion_Medium, ^Warhead_Demolition_Light</t>
        </is>
      </c>
    </row>
    <row r="303">
      <c r="B303" s="7" t="inlineStr">
        <is>
          <t xml:space="preserve">  ↳ RA160mmE_fire_elite</t>
        </is>
      </c>
      <c r="C303" s="7" t="inlineStr">
        <is>
          <t>Armament@DeployedEliteFire</t>
        </is>
      </c>
      <c r="L303" s="6" t="n">
        <v>120000</v>
      </c>
      <c r="M303" s="6" t="n">
        <v>88</v>
      </c>
      <c r="N303" s="6" t="n">
        <v>1</v>
      </c>
      <c r="O303" s="6" t="n"/>
      <c r="P303" s="6" t="n">
        <v>12345</v>
      </c>
      <c r="Q303" s="6" t="n">
        <v>0.875</v>
      </c>
      <c r="R303">
        <f>M303+IF(MAX(N303-1,0)&gt;0,IF(ISBLANK(O303),5*MAX(N303-1,0),IF(ISNUMBER(O303),O303*MAX(N303-1,0),SUM(IFERROR(VALUE(TEXTSPLIT(O303,",")),0)))),0)</f>
        <v/>
      </c>
      <c r="S303">
        <f>IFERROR(L303*MAX(N303,1)/R303*IF(ISBLANK(K294),1,K294),0)</f>
        <v/>
      </c>
      <c r="AB303" s="7" t="inlineStr">
        <is>
          <t>^Warhead_Concussion_Medium, ^Warhead_Demolition_Light</t>
        </is>
      </c>
    </row>
    <row r="304">
      <c r="B304" s="7" t="inlineStr">
        <is>
          <t xml:space="preserve">  ↳ RA160mmE_tesla_elite</t>
        </is>
      </c>
      <c r="C304" s="7" t="inlineStr">
        <is>
          <t>Armament@DeployedEliteTesla</t>
        </is>
      </c>
      <c r="L304" s="6" t="n">
        <v>120000</v>
      </c>
      <c r="M304" s="6" t="n">
        <v>88</v>
      </c>
      <c r="N304" s="6" t="n">
        <v>1</v>
      </c>
      <c r="O304" s="6" t="n"/>
      <c r="P304" s="6" t="n">
        <v>12345</v>
      </c>
      <c r="Q304" s="6" t="n">
        <v>0.875</v>
      </c>
      <c r="R304">
        <f>M304+IF(MAX(N304-1,0)&gt;0,IF(ISBLANK(O304),5*MAX(N304-1,0),IF(ISNUMBER(O304),O304*MAX(N304-1,0),SUM(IFERROR(VALUE(TEXTSPLIT(O304,",")),0)))),0)</f>
        <v/>
      </c>
      <c r="S304">
        <f>IFERROR(L304*MAX(N304,1)/R304*IF(ISBLANK(K294),1,K294),0)</f>
        <v/>
      </c>
      <c r="AB304" s="7" t="inlineStr">
        <is>
          <t>^Warhead_Concussion_Medium, ^Warhead_Demolition_Light</t>
        </is>
      </c>
    </row>
    <row r="305">
      <c r="A305" t="inlineStr">
        <is>
          <t>redalert2</t>
        </is>
      </c>
      <c r="B305" t="inlineStr">
        <is>
          <t>ra2_soviets_transportkirov</t>
        </is>
      </c>
      <c r="C305" t="inlineStr">
        <is>
          <t>Transport Kirov</t>
        </is>
      </c>
      <c r="D305" s="6" t="inlineStr">
        <is>
          <t>Helicopter</t>
        </is>
      </c>
      <c r="E305" s="6" t="n">
        <v>265000</v>
      </c>
      <c r="F305" s="6" t="n">
        <v>35</v>
      </c>
      <c r="G305" t="inlineStr">
        <is>
          <t>Helicopter</t>
        </is>
      </c>
      <c r="H305" s="6" t="n">
        <v>1</v>
      </c>
      <c r="I305" s="6" t="n">
        <v>1.25</v>
      </c>
      <c r="J305" s="6" t="n">
        <v>1</v>
      </c>
      <c r="P305">
        <f>MAX(P306)</f>
        <v/>
      </c>
      <c r="S305">
        <f>S306</f>
        <v/>
      </c>
      <c r="T305">
        <f>(E305/100000+F305/100+(P305/1000)*J305/5+S305/200)*200*I305*H305</f>
        <v/>
      </c>
      <c r="U305">
        <f>((E305*F305/25000)+((P305/1000)*J305*S305/2.5))*I305*H305</f>
        <v/>
      </c>
      <c r="V305">
        <f>(E305*F305*(P305/1000)*J305*S305*I305*H305)/12500000</f>
        <v/>
      </c>
      <c r="W305">
        <f>(T305+U305+V305)/3</f>
        <v/>
      </c>
      <c r="X305" s="6" t="n">
        <v>3600</v>
      </c>
      <c r="Y305">
        <f>IFERROR(W305-X305,"")</f>
        <v/>
      </c>
      <c r="Z305">
        <f>IFERROR(ABS(Y305)/MAX(X305,1),"")</f>
        <v/>
      </c>
      <c r="AA305">
        <f>IFERROR((X305-(((E305/100000+F305/100+S305/200)*200*I305*H305)+((E305*F305/25000)*I305*H305))/3)/(((J305/5)*200*I305*H305)+((J305*S305/2.5)*I305*H305)+((E305*F305*J305*S305*I305*H305)/12500000))/3*1000,"")</f>
        <v/>
      </c>
    </row>
    <row r="306">
      <c r="B306" s="7" t="inlineStr">
        <is>
          <t xml:space="preserve">  ↳ BlackHawkCannon</t>
        </is>
      </c>
      <c r="C306" s="7" t="inlineStr">
        <is>
          <t>Armament@PRIMARY</t>
        </is>
      </c>
      <c r="L306" s="6" t="n">
        <v>4000</v>
      </c>
      <c r="M306" s="6" t="n">
        <v>3</v>
      </c>
      <c r="N306" s="6" t="n">
        <v>1</v>
      </c>
      <c r="O306" s="6" t="n"/>
      <c r="P306" s="6" t="n">
        <v>4750</v>
      </c>
      <c r="Q306" s="6" t="n">
        <v>0.875</v>
      </c>
      <c r="R306">
        <f>M306+IF(MAX(N306-1,0)&gt;0,IF(ISBLANK(O306),5*MAX(N306-1,0),IF(ISNUMBER(O306),O306*MAX(N306-1,0),SUM(IFERROR(VALUE(TEXTSPLIT(O306,",")),0)))),0)</f>
        <v/>
      </c>
      <c r="S306">
        <f>IFERROR(L306*MAX(N306,1)/R306*IF(ISBLANK(K305),1,K305),0)</f>
        <v/>
      </c>
      <c r="AB306" s="7" t="inlineStr">
        <is>
          <t>^Warhead_Bullet_Light, ^Warhead_Bullet_Medium</t>
        </is>
      </c>
    </row>
    <row r="307">
      <c r="A307" t="inlineStr">
        <is>
          <t>redalert2mod</t>
        </is>
      </c>
      <c r="B307" t="inlineStr">
        <is>
          <t>asianalliance_pelican</t>
        </is>
      </c>
      <c r="C307" t="inlineStr">
        <is>
          <t>Pelican</t>
        </is>
      </c>
      <c r="D307" s="6" t="inlineStr">
        <is>
          <t>Helicopter</t>
        </is>
      </c>
      <c r="E307" s="6" t="n">
        <v>40000</v>
      </c>
      <c r="F307" s="6" t="n">
        <v>125</v>
      </c>
      <c r="G307" t="inlineStr">
        <is>
          <t>Helicopter</t>
        </is>
      </c>
      <c r="H307" s="6" t="n">
        <v>1</v>
      </c>
      <c r="I307" s="6" t="n">
        <v>1</v>
      </c>
      <c r="J307" s="6" t="n">
        <v>1</v>
      </c>
      <c r="P307">
        <f>MAX(P308,P309,P310,P311)</f>
        <v/>
      </c>
      <c r="S307">
        <f>S308+S309+S310+S311</f>
        <v/>
      </c>
      <c r="T307">
        <f>(E307/100000+F307/100+(P307/1000)*J307/5+S307/200)*200*I307*H307</f>
        <v/>
      </c>
      <c r="U307">
        <f>((E307*F307/25000)+((P307/1000)*J307*S307/2.5))*I307*H307</f>
        <v/>
      </c>
      <c r="V307">
        <f>(E307*F307*(P307/1000)*J307*S307*I307*H307)/12500000</f>
        <v/>
      </c>
      <c r="W307">
        <f>(T307+U307+V307)/3</f>
        <v/>
      </c>
      <c r="X307" s="6" t="n">
        <v>2000</v>
      </c>
      <c r="Y307">
        <f>IFERROR(W307-X307,"")</f>
        <v/>
      </c>
      <c r="Z307">
        <f>IFERROR(ABS(Y307)/MAX(X307,1),"")</f>
        <v/>
      </c>
      <c r="AA307">
        <f>IFERROR((X307-(((E307/100000+F307/100+S307/200)*200*I307*H307)+((E307*F307/25000)*I307*H307))/3)/(((J307/5)*200*I307*H307)+((J307*S307/2.5)*I307*H307)+((E307*F307*J307*S307*I307*H307)/12500000))/3*1000,"")</f>
        <v/>
      </c>
    </row>
    <row r="308">
      <c r="B308" s="7" t="inlineStr">
        <is>
          <t xml:space="preserve">  ↳ AsianPelicanMissile</t>
        </is>
      </c>
      <c r="C308" s="7" t="inlineStr">
        <is>
          <t>Armament@PRIMARY</t>
        </is>
      </c>
      <c r="L308" s="6" t="n">
        <v>12000</v>
      </c>
      <c r="M308" s="6" t="n">
        <v>25</v>
      </c>
      <c r="N308" s="6" t="n">
        <v>2</v>
      </c>
      <c r="O308" s="6" t="n">
        <v>2</v>
      </c>
      <c r="P308" s="6" t="n">
        <v>6100</v>
      </c>
      <c r="Q308" s="6" t="n">
        <v>1</v>
      </c>
      <c r="R308">
        <f>M308+IF(MAX(N308-1,0)&gt;0,IF(ISBLANK(O308),5*MAX(N308-1,0),IF(ISNUMBER(O308),O308*MAX(N308-1,0),SUM(IFERROR(VALUE(TEXTSPLIT(O308,",")),0)))),0)</f>
        <v/>
      </c>
      <c r="S308">
        <f>IFERROR(L308*MAX(N308,1)/R308*IF(ISBLANK(K307),1,K307),0)</f>
        <v/>
      </c>
      <c r="AB308" s="7" t="inlineStr">
        <is>
          <t>^Warhead_Concussion_Light, ^Warhead_MissileAP_Heavy, ^Warhead_MissileAP_Medium</t>
        </is>
      </c>
    </row>
    <row r="309">
      <c r="B309" s="7" t="inlineStr">
        <is>
          <t xml:space="preserve">  ↳ AsianPelicanMissile_elite</t>
        </is>
      </c>
      <c r="C309" s="7" t="inlineStr">
        <is>
          <t>Armament@PRIMARYELITE</t>
        </is>
      </c>
      <c r="L309" s="6" t="n">
        <v>12000</v>
      </c>
      <c r="M309" s="6" t="n">
        <v>25</v>
      </c>
      <c r="N309" s="6" t="n">
        <v>4</v>
      </c>
      <c r="O309" s="6" t="n">
        <v>2</v>
      </c>
      <c r="P309" s="6" t="n">
        <v>7100</v>
      </c>
      <c r="Q309" s="6" t="n">
        <v>1</v>
      </c>
      <c r="R309">
        <f>M309+IF(MAX(N309-1,0)&gt;0,IF(ISBLANK(O309),5*MAX(N309-1,0),IF(ISNUMBER(O309),O309*MAX(N309-1,0),SUM(IFERROR(VALUE(TEXTSPLIT(O309,",")),0)))),0)</f>
        <v/>
      </c>
      <c r="S309">
        <f>IFERROR(L309*MAX(N309,1)/R309*IF(ISBLANK(K307),1,K307),0)</f>
        <v/>
      </c>
      <c r="AB309" s="7" t="inlineStr">
        <is>
          <t>^Warhead_Concussion_Light, ^Warhead_MissileAP_Heavy, ^Warhead_MissileAP_Medium</t>
        </is>
      </c>
    </row>
    <row r="310">
      <c r="B310" s="7" t="inlineStr">
        <is>
          <t xml:space="preserve">  ↳ AsianPelicanMG</t>
        </is>
      </c>
      <c r="C310" s="7" t="inlineStr">
        <is>
          <t>Armament@MG</t>
        </is>
      </c>
      <c r="L310" s="6" t="n">
        <v>6000</v>
      </c>
      <c r="M310" s="6" t="n">
        <v>18</v>
      </c>
      <c r="N310" s="6" t="n">
        <v>4</v>
      </c>
      <c r="O310" s="6" t="n">
        <v>3</v>
      </c>
      <c r="P310" s="6" t="n">
        <v>6100</v>
      </c>
      <c r="Q310" s="6" t="n">
        <v>1</v>
      </c>
      <c r="R310">
        <f>M310+IF(MAX(N310-1,0)&gt;0,IF(ISBLANK(O310),5*MAX(N310-1,0),IF(ISNUMBER(O310),O310*MAX(N310-1,0),SUM(IFERROR(VALUE(TEXTSPLIT(O310,",")),0)))),0)</f>
        <v/>
      </c>
      <c r="S310">
        <f>IFERROR(L310*MAX(N310,1)/R310*IF(ISBLANK(K307),1,K307),0)</f>
        <v/>
      </c>
      <c r="AB310" s="7" t="inlineStr">
        <is>
          <t>^Warhead_CannonHE_Heavy, ^Warhead_Bullet_Light, ^Warhead_Bullet_Medium</t>
        </is>
      </c>
    </row>
    <row r="311">
      <c r="B311" s="7" t="inlineStr">
        <is>
          <t xml:space="preserve">  ↳ AsianPelicanMG_elite</t>
        </is>
      </c>
      <c r="C311" s="7" t="inlineStr">
        <is>
          <t>Armament@MGelite</t>
        </is>
      </c>
      <c r="L311" s="6" t="n">
        <v>6000</v>
      </c>
      <c r="M311" s="6" t="n">
        <v>18</v>
      </c>
      <c r="N311" s="6" t="n">
        <v>8</v>
      </c>
      <c r="O311" s="6" t="n">
        <v>3</v>
      </c>
      <c r="P311" s="6" t="n">
        <v>7100</v>
      </c>
      <c r="Q311" s="6" t="n">
        <v>1</v>
      </c>
      <c r="R311">
        <f>M311+IF(MAX(N311-1,0)&gt;0,IF(ISBLANK(O311),5*MAX(N311-1,0),IF(ISNUMBER(O311),O311*MAX(N311-1,0),SUM(IFERROR(VALUE(TEXTSPLIT(O311,",")),0)))),0)</f>
        <v/>
      </c>
      <c r="S311">
        <f>IFERROR(L311*MAX(N311,1)/R311*IF(ISBLANK(K307),1,K307),0)</f>
        <v/>
      </c>
      <c r="AB311" s="7" t="inlineStr">
        <is>
          <t>^Warhead_CannonHE_Heavy, ^Warhead_Bullet_Light, ^Warhead_Bullet_Medium</t>
        </is>
      </c>
    </row>
    <row r="312">
      <c r="A312" t="inlineStr">
        <is>
          <t>redalert2mod</t>
        </is>
      </c>
      <c r="B312" t="inlineStr">
        <is>
          <t>steelconsortium_cargoship</t>
        </is>
      </c>
      <c r="C312" t="inlineStr">
        <is>
          <t>Cargo Ship</t>
        </is>
      </c>
      <c r="D312" s="6" t="inlineStr">
        <is>
          <t>Helicopter</t>
        </is>
      </c>
      <c r="E312" s="6" t="n">
        <v>125000</v>
      </c>
      <c r="F312" s="6" t="n">
        <v>100</v>
      </c>
      <c r="G312" t="inlineStr">
        <is>
          <t>Helicopter</t>
        </is>
      </c>
      <c r="H312" s="6" t="n">
        <v>0.7020999999999999</v>
      </c>
      <c r="I312" s="6" t="n">
        <v>1</v>
      </c>
      <c r="J312" s="6" t="n">
        <v>1</v>
      </c>
      <c r="P312">
        <f>MAX(P313)</f>
        <v/>
      </c>
      <c r="S312">
        <f>S313</f>
        <v/>
      </c>
      <c r="T312">
        <f>(E312/100000+F312/100+(P312/1000)*J312/5+S312/200)*200*I312*H312</f>
        <v/>
      </c>
      <c r="U312">
        <f>((E312*F312/25000)+((P312/1000)*J312*S312/2.5))*I312*H312</f>
        <v/>
      </c>
      <c r="V312">
        <f>(E312*F312*(P312/1000)*J312*S312*I312*H312)/12500000</f>
        <v/>
      </c>
      <c r="W312">
        <f>(T312+U312+V312)/3</f>
        <v/>
      </c>
      <c r="X312" s="6" t="n">
        <v>4000</v>
      </c>
      <c r="Y312">
        <f>IFERROR(W312-X312,"")</f>
        <v/>
      </c>
      <c r="Z312">
        <f>IFERROR(ABS(Y312)/MAX(X312,1),"")</f>
        <v/>
      </c>
      <c r="AA312">
        <f>IFERROR((X312-(((E312/100000+F312/100+S312/200)*200*I312*H312)+((E312*F312/25000)*I312*H312))/3)/(((J312/5)*200*I312*H312)+((J312*S312/2.5)*I312*H312)+((E312*F312*J312*S312*I312*H312)/12500000))/3*1000,"")</f>
        <v/>
      </c>
    </row>
    <row r="313">
      <c r="B313" s="7" t="inlineStr">
        <is>
          <t xml:space="preserve">  ↳ SteelCargoshipCannons</t>
        </is>
      </c>
      <c r="C313" s="7" t="inlineStr">
        <is>
          <t>Armament@PRIMARY</t>
        </is>
      </c>
      <c r="L313" s="6" t="n">
        <v>4000</v>
      </c>
      <c r="M313" s="6" t="n">
        <v>3</v>
      </c>
      <c r="N313" s="6" t="n">
        <v>1</v>
      </c>
      <c r="O313" s="6" t="n"/>
      <c r="P313" s="6" t="n">
        <v>4750</v>
      </c>
      <c r="Q313" s="6" t="n">
        <v>0.875</v>
      </c>
      <c r="R313">
        <f>M313+IF(MAX(N313-1,0)&gt;0,IF(ISBLANK(O313),5*MAX(N313-1,0),IF(ISNUMBER(O313),O313*MAX(N313-1,0),SUM(IFERROR(VALUE(TEXTSPLIT(O313,",")),0)))),0)</f>
        <v/>
      </c>
      <c r="S313">
        <f>IFERROR(L313*MAX(N313,1)/R313*IF(ISBLANK(K312),1,K312),0)</f>
        <v/>
      </c>
      <c r="AB313" s="7" t="inlineStr">
        <is>
          <t>^Warhead_Bullet_Light, ^Warhead_Bullet_Medium</t>
        </is>
      </c>
    </row>
    <row r="314">
      <c r="A314" t="inlineStr">
        <is>
          <t>redalert2mod</t>
        </is>
      </c>
      <c r="B314" t="inlineStr">
        <is>
          <t>steelconsortium_skyhammer</t>
        </is>
      </c>
      <c r="C314" t="inlineStr">
        <is>
          <t>Sky Hammer</t>
        </is>
      </c>
      <c r="D314" s="6" t="inlineStr">
        <is>
          <t>Helicopter</t>
        </is>
      </c>
      <c r="E314" s="6" t="n">
        <v>120000</v>
      </c>
      <c r="F314" s="6" t="n">
        <v>120</v>
      </c>
      <c r="G314" t="inlineStr">
        <is>
          <t>Helicopter</t>
        </is>
      </c>
      <c r="H314" s="6" t="n">
        <v>0.75</v>
      </c>
      <c r="I314" s="6" t="n">
        <v>1</v>
      </c>
      <c r="J314" s="6" t="n">
        <v>1.25</v>
      </c>
      <c r="P314">
        <f>MAX(P315,P316,P317)</f>
        <v/>
      </c>
      <c r="S314">
        <f>S315+S316+S317</f>
        <v/>
      </c>
      <c r="T314">
        <f>(E314/100000+F314/100+(P314/1000)*J314/5+S314/200)*200*I314*H314</f>
        <v/>
      </c>
      <c r="U314">
        <f>((E314*F314/25000)+((P314/1000)*J314*S314/2.5))*I314*H314</f>
        <v/>
      </c>
      <c r="V314">
        <f>(E314*F314*(P314/1000)*J314*S314*I314*H314)/12500000</f>
        <v/>
      </c>
      <c r="W314">
        <f>(T314+U314+V314)/3</f>
        <v/>
      </c>
      <c r="X314" s="6" t="n">
        <v>4500</v>
      </c>
      <c r="Y314">
        <f>IFERROR(W314-X314,"")</f>
        <v/>
      </c>
      <c r="Z314">
        <f>IFERROR(ABS(Y314)/MAX(X314,1),"")</f>
        <v/>
      </c>
      <c r="AA314">
        <f>IFERROR((X314-(((E314/100000+F314/100+S314/200)*200*I314*H314)+((E314*F314/25000)*I314*H314))/3)/(((J314/5)*200*I314*H314)+((J314*S314/2.5)*I314*H314)+((E314*F314*J314*S314*I314*H314)/12500000))/3*1000,"")</f>
        <v/>
      </c>
    </row>
    <row r="315">
      <c r="B315" s="7" t="inlineStr">
        <is>
          <t xml:space="preserve">  ↳ SteelAirTurret</t>
        </is>
      </c>
      <c r="C315" s="7" t="inlineStr">
        <is>
          <t>Armament@PRIMARY</t>
        </is>
      </c>
      <c r="L315" s="6" t="n">
        <v>48000</v>
      </c>
      <c r="M315" s="6" t="n">
        <v>60</v>
      </c>
      <c r="N315" s="6" t="n">
        <v>1</v>
      </c>
      <c r="O315" s="6" t="n"/>
      <c r="P315" s="6" t="n">
        <v>8000</v>
      </c>
      <c r="Q315" s="6" t="n">
        <v>1</v>
      </c>
      <c r="R315">
        <f>M315+IF(MAX(N315-1,0)&gt;0,IF(ISBLANK(O315),5*MAX(N315-1,0),IF(ISNUMBER(O315),O315*MAX(N315-1,0),SUM(IFERROR(VALUE(TEXTSPLIT(O315,",")),0)))),0)</f>
        <v/>
      </c>
      <c r="S315">
        <f>IFERROR(L315*MAX(N315,1)/R315*IF(ISBLANK(K314),1,K314),0)</f>
        <v/>
      </c>
      <c r="AB315" s="7" t="inlineStr">
        <is>
          <t>^LaserWeapon, ^RailgunWeapon</t>
        </is>
      </c>
    </row>
    <row r="316">
      <c r="B316" s="7" t="inlineStr">
        <is>
          <t xml:space="preserve">  ↳ SteelAirTurret_EMP</t>
        </is>
      </c>
      <c r="C316" s="7" t="inlineStr">
        <is>
          <t>Armament@Upgrade</t>
        </is>
      </c>
      <c r="L316" s="6" t="n">
        <v>48000</v>
      </c>
      <c r="M316" s="6" t="n">
        <v>60</v>
      </c>
      <c r="N316" s="6" t="n">
        <v>1</v>
      </c>
      <c r="O316" s="6" t="n"/>
      <c r="P316" s="6" t="n">
        <v>8000</v>
      </c>
      <c r="Q316" s="6" t="n">
        <v>1.25</v>
      </c>
      <c r="R316">
        <f>M316+IF(MAX(N316-1,0)&gt;0,IF(ISBLANK(O316),5*MAX(N316-1,0),IF(ISNUMBER(O316),O316*MAX(N316-1,0),SUM(IFERROR(VALUE(TEXTSPLIT(O316,",")),0)))),0)</f>
        <v/>
      </c>
      <c r="S316">
        <f>IFERROR(L316*MAX(N316,1)/R316*IF(ISBLANK(K314),1,K314),0)</f>
        <v/>
      </c>
      <c r="AB316" s="7" t="inlineStr">
        <is>
          <t>^Warhead_Tesla_Heavy</t>
        </is>
      </c>
    </row>
    <row r="317">
      <c r="B317" s="7" t="inlineStr">
        <is>
          <t xml:space="preserve">  ↳ SteelAirTurret_elite</t>
        </is>
      </c>
      <c r="C317" s="7" t="inlineStr">
        <is>
          <t>Armament@elite</t>
        </is>
      </c>
      <c r="L317" s="6" t="n">
        <v>72000</v>
      </c>
      <c r="M317" s="6" t="n">
        <v>60</v>
      </c>
      <c r="N317" s="6" t="n">
        <v>1</v>
      </c>
      <c r="O317" s="6" t="n"/>
      <c r="P317" s="6" t="n">
        <v>9000</v>
      </c>
      <c r="Q317" s="6" t="n">
        <v>1.25</v>
      </c>
      <c r="R317">
        <f>M317+IF(MAX(N317-1,0)&gt;0,IF(ISBLANK(O317),5*MAX(N317-1,0),IF(ISNUMBER(O317),O317*MAX(N317-1,0),SUM(IFERROR(VALUE(TEXTSPLIT(O317,",")),0)))),0)</f>
        <v/>
      </c>
      <c r="S317">
        <f>IFERROR(L317*MAX(N317,1)/R317*IF(ISBLANK(K314),1,K314),0)</f>
        <v/>
      </c>
      <c r="AB317" s="7" t="inlineStr">
        <is>
          <t>^Warhead_Tesla_Heavy</t>
        </is>
      </c>
    </row>
    <row r="318">
      <c r="A318" t="inlineStr">
        <is>
          <t>redalert2mod</t>
        </is>
      </c>
      <c r="B318" t="inlineStr">
        <is>
          <t>latinsyndicate_hindtransport</t>
        </is>
      </c>
      <c r="C318" t="inlineStr">
        <is>
          <t>Hind Transport</t>
        </is>
      </c>
      <c r="D318" s="6" t="inlineStr">
        <is>
          <t>Helicopter</t>
        </is>
      </c>
      <c r="E318" s="6" t="n">
        <v>95000</v>
      </c>
      <c r="F318" s="6" t="n">
        <v>90</v>
      </c>
      <c r="G318" t="inlineStr">
        <is>
          <t>Helicopter</t>
        </is>
      </c>
      <c r="H318" s="6" t="n">
        <v>0.7020999999999999</v>
      </c>
      <c r="I318" s="6" t="n">
        <v>1</v>
      </c>
      <c r="J318" s="6" t="n">
        <v>1</v>
      </c>
      <c r="K318" t="n">
        <v>0.0075</v>
      </c>
      <c r="P318">
        <f>MAX(P319)</f>
        <v/>
      </c>
      <c r="S318">
        <f>S319</f>
        <v/>
      </c>
      <c r="T318">
        <f>(E318/100000+F318/100+(P318/1000)*J318/5+S318/200)*200*I318*H318</f>
        <v/>
      </c>
      <c r="U318">
        <f>((E318*F318/25000)+((P318/1000)*J318*S318/2.5))*I318*H318</f>
        <v/>
      </c>
      <c r="V318">
        <f>(E318*F318*(P318/1000)*J318*S318*I318*H318)/12500000</f>
        <v/>
      </c>
      <c r="W318">
        <f>(T318+U318+V318)/3</f>
        <v/>
      </c>
      <c r="X318" s="6" t="n">
        <v>2500</v>
      </c>
      <c r="Y318">
        <f>IFERROR(W318-X318,"")</f>
        <v/>
      </c>
      <c r="Z318">
        <f>IFERROR(ABS(Y318)/MAX(X318,1),"")</f>
        <v/>
      </c>
      <c r="AA318">
        <f>IFERROR((X318-(((E318/100000+F318/100+S318/200)*200*I318*H318)+((E318*F318/25000)*I318*H318))/3)/(((J318/5)*200*I318*H318)+((J318*S318/2.5)*I318*H318)+((E318*F318*J318*S318*I318*H318)/12500000))/3*1000,"")</f>
        <v/>
      </c>
    </row>
    <row r="319">
      <c r="B319" s="7" t="inlineStr">
        <is>
          <t xml:space="preserve">  ↳ BlackHawkCannon</t>
        </is>
      </c>
      <c r="C319" s="7" t="inlineStr">
        <is>
          <t>Armament@PRIMARY</t>
        </is>
      </c>
      <c r="L319" s="6" t="n">
        <v>4000</v>
      </c>
      <c r="M319" s="6" t="n">
        <v>3</v>
      </c>
      <c r="N319" s="6" t="n">
        <v>1</v>
      </c>
      <c r="O319" s="6" t="n"/>
      <c r="P319" s="6" t="n">
        <v>4750</v>
      </c>
      <c r="Q319" s="6" t="n">
        <v>0.875</v>
      </c>
      <c r="R319">
        <f>M319+IF(MAX(N319-1,0)&gt;0,IF(ISBLANK(O319),5*MAX(N319-1,0),IF(ISNUMBER(O319),O319*MAX(N319-1,0),SUM(IFERROR(VALUE(TEXTSPLIT(O319,",")),0)))),0)</f>
        <v/>
      </c>
      <c r="S319">
        <f>IFERROR(L319*MAX(N319,1)/R319*IF(ISBLANK(K318),1,K318),0)</f>
        <v/>
      </c>
      <c r="AB319" s="7" t="inlineStr">
        <is>
          <t>^Warhead_Bullet_Light, ^Warhead_Bullet_Medium</t>
        </is>
      </c>
    </row>
    <row r="320">
      <c r="A320" t="inlineStr">
        <is>
          <t>redalert2mod</t>
        </is>
      </c>
      <c r="B320" t="inlineStr">
        <is>
          <t>naxis_transportzeppelin</t>
        </is>
      </c>
      <c r="C320" t="inlineStr">
        <is>
          <t>Transport Zeppelin</t>
        </is>
      </c>
      <c r="D320" s="6" t="inlineStr">
        <is>
          <t>Helicopter</t>
        </is>
      </c>
      <c r="E320" s="6" t="n">
        <v>1250000</v>
      </c>
      <c r="F320" s="6" t="n">
        <v>35</v>
      </c>
      <c r="G320" t="inlineStr">
        <is>
          <t>Helicopter</t>
        </is>
      </c>
      <c r="H320" s="6" t="n">
        <v>0.6846</v>
      </c>
      <c r="I320" s="6" t="n">
        <v>1</v>
      </c>
      <c r="J320" s="6" t="n">
        <v>1</v>
      </c>
      <c r="K320" t="n">
        <v>0.005</v>
      </c>
      <c r="P320">
        <f>MAX(P321,P322,P323,P324)</f>
        <v/>
      </c>
      <c r="S320">
        <f>S321+S322+S323+S324</f>
        <v/>
      </c>
      <c r="T320">
        <f>(E320/100000+F320/100+(P320/1000)*J320/5+S320/200)*200*I320*H320</f>
        <v/>
      </c>
      <c r="U320">
        <f>((E320*F320/25000)+((P320/1000)*J320*S320/2.5))*I320*H320</f>
        <v/>
      </c>
      <c r="V320">
        <f>(E320*F320*(P320/1000)*J320*S320*I320*H320)/12500000</f>
        <v/>
      </c>
      <c r="W320">
        <f>(T320+U320+V320)/3</f>
        <v/>
      </c>
      <c r="X320" s="6" t="n">
        <v>5000</v>
      </c>
      <c r="Y320">
        <f>IFERROR(W320-X320,"")</f>
        <v/>
      </c>
      <c r="Z320">
        <f>IFERROR(ABS(Y320)/MAX(X320,1),"")</f>
        <v/>
      </c>
      <c r="AA320">
        <f>IFERROR((X320-(((E320/100000+F320/100+S320/200)*200*I320*H320)+((E320*F320/25000)*I320*H320))/3)/(((J320/5)*200*I320*H320)+((J320*S320/2.5)*I320*H320)+((E320*F320*J320*S320*I320*H320)/12500000))/3*1000,"")</f>
        <v/>
      </c>
    </row>
    <row r="321">
      <c r="B321" s="7" t="inlineStr">
        <is>
          <t xml:space="preserve">  ↳ NaxQuadCannon</t>
        </is>
      </c>
      <c r="C321" s="7" t="inlineStr">
        <is>
          <t>Armament</t>
        </is>
      </c>
      <c r="L321" s="6" t="n">
        <v>7000</v>
      </c>
      <c r="M321" s="6" t="n">
        <v>47</v>
      </c>
      <c r="N321" s="6" t="n">
        <v>6</v>
      </c>
      <c r="O321" s="6" t="n">
        <v>4</v>
      </c>
      <c r="P321" s="6" t="n">
        <v>5368</v>
      </c>
      <c r="Q321" s="6" t="n">
        <v>1</v>
      </c>
      <c r="R321">
        <f>M321+IF(MAX(N321-1,0)&gt;0,IF(ISBLANK(O321),5*MAX(N321-1,0),IF(ISNUMBER(O321),O321*MAX(N321-1,0),SUM(IFERROR(VALUE(TEXTSPLIT(O321,",")),0)))),0)</f>
        <v/>
      </c>
      <c r="S321">
        <f>IFERROR(L321*MAX(N321,1)/R321*IF(ISBLANK(K320),1,K320),0)</f>
        <v/>
      </c>
      <c r="AB321" s="7" t="inlineStr">
        <is>
          <t>^Warhead_Flak_Medium</t>
        </is>
      </c>
    </row>
    <row r="322">
      <c r="B322" s="7" t="inlineStr">
        <is>
          <t xml:space="preserve">  ↳ NaxQuadCannon_elite</t>
        </is>
      </c>
      <c r="C322" s="7" t="inlineStr">
        <is>
          <t>Armament@elite</t>
        </is>
      </c>
      <c r="L322" s="6" t="n">
        <v>7000</v>
      </c>
      <c r="M322" s="6" t="n">
        <v>47</v>
      </c>
      <c r="N322" s="6" t="n">
        <v>8</v>
      </c>
      <c r="O322" s="6" t="n">
        <v>3</v>
      </c>
      <c r="P322" s="6" t="n">
        <v>6368</v>
      </c>
      <c r="Q322" s="6" t="n">
        <v>1</v>
      </c>
      <c r="R322">
        <f>M322+IF(MAX(N322-1,0)&gt;0,IF(ISBLANK(O322),5*MAX(N322-1,0),IF(ISNUMBER(O322),O322*MAX(N322-1,0),SUM(IFERROR(VALUE(TEXTSPLIT(O322,",")),0)))),0)</f>
        <v/>
      </c>
      <c r="S322">
        <f>IFERROR(L322*MAX(N322,1)/R322*IF(ISBLANK(K320),1,K320),0)</f>
        <v/>
      </c>
      <c r="AB322" s="7" t="inlineStr">
        <is>
          <t>^Warhead_Flak_Medium</t>
        </is>
      </c>
    </row>
    <row r="323">
      <c r="B323" s="7" t="inlineStr">
        <is>
          <t xml:space="preserve">  ↳ NaxQuadCannon_AA</t>
        </is>
      </c>
      <c r="C323" s="7" t="inlineStr">
        <is>
          <t>Armament@AA</t>
        </is>
      </c>
      <c r="L323" s="6" t="n">
        <v>7000</v>
      </c>
      <c r="M323" s="6" t="n">
        <v>47</v>
      </c>
      <c r="N323" s="6" t="n">
        <v>6</v>
      </c>
      <c r="O323" s="6" t="n">
        <v>4</v>
      </c>
      <c r="P323" s="6" t="n">
        <v>8052</v>
      </c>
      <c r="Q323" s="6" t="n">
        <v>1</v>
      </c>
      <c r="R323">
        <f>M323+IF(MAX(N323-1,0)&gt;0,IF(ISBLANK(O323),5*MAX(N323-1,0),IF(ISNUMBER(O323),O323*MAX(N323-1,0),SUM(IFERROR(VALUE(TEXTSPLIT(O323,",")),0)))),0)</f>
        <v/>
      </c>
      <c r="S323">
        <f>IFERROR(L323*MAX(N323,1)/R323*IF(ISBLANK(K320),1,K320),0)</f>
        <v/>
      </c>
      <c r="AB323" s="7" t="inlineStr">
        <is>
          <t>^Warhead_Flak_Medium</t>
        </is>
      </c>
    </row>
    <row r="324">
      <c r="B324" s="7" t="inlineStr">
        <is>
          <t xml:space="preserve">  ↳ NaxQuadCannon_AA_elite</t>
        </is>
      </c>
      <c r="C324" s="7" t="inlineStr">
        <is>
          <t>Armament@eliteAA</t>
        </is>
      </c>
      <c r="L324" s="6" t="n">
        <v>7000</v>
      </c>
      <c r="M324" s="6" t="n">
        <v>47</v>
      </c>
      <c r="N324" s="6" t="n">
        <v>8</v>
      </c>
      <c r="O324" s="6" t="n">
        <v>3</v>
      </c>
      <c r="P324" s="6" t="n">
        <v>9052</v>
      </c>
      <c r="Q324" s="6" t="n">
        <v>1</v>
      </c>
      <c r="R324">
        <f>M324+IF(MAX(N324-1,0)&gt;0,IF(ISBLANK(O324),5*MAX(N324-1,0),IF(ISNUMBER(O324),O324*MAX(N324-1,0),SUM(IFERROR(VALUE(TEXTSPLIT(O324,",")),0)))),0)</f>
        <v/>
      </c>
      <c r="S324">
        <f>IFERROR(L324*MAX(N324,1)/R324*IF(ISBLANK(K320),1,K320),0)</f>
        <v/>
      </c>
      <c r="AB324" s="7" t="inlineStr">
        <is>
          <t>^Warhead_Flak_Medium</t>
        </is>
      </c>
    </row>
    <row r="325">
      <c r="A325" t="inlineStr">
        <is>
          <t>redalert2mod</t>
        </is>
      </c>
      <c r="B325" t="inlineStr">
        <is>
          <t>schwarzermond_spacezeppelin</t>
        </is>
      </c>
      <c r="C325" t="inlineStr">
        <is>
          <t>Space Zeppelin</t>
        </is>
      </c>
      <c r="D325" s="6" t="inlineStr">
        <is>
          <t>Helicopter</t>
        </is>
      </c>
      <c r="E325" s="6" t="n">
        <v>1350000</v>
      </c>
      <c r="F325" s="6" t="n">
        <v>35</v>
      </c>
      <c r="G325" t="inlineStr">
        <is>
          <t>Helicopter</t>
        </is>
      </c>
      <c r="H325" s="6" t="n">
        <v>0.5482</v>
      </c>
      <c r="I325" s="6" t="n">
        <v>1</v>
      </c>
      <c r="J325" s="6" t="n">
        <v>1</v>
      </c>
      <c r="K325" t="n">
        <v>0.005</v>
      </c>
      <c r="P325">
        <f>MAX(P326,P327,P328,P329,P330,P331,P332,P333,P334,P335,P336,P337)</f>
        <v/>
      </c>
      <c r="S325">
        <f>S326+S327+S328+S329+S330+S331+S332+S333+S334+S335+S336+S337</f>
        <v/>
      </c>
      <c r="T325">
        <f>(E325/100000+F325/100+(P325/1000)*J325/5+S325/200)*200*I325*H325</f>
        <v/>
      </c>
      <c r="U325">
        <f>((E325*F325/25000)+((P325/1000)*J325*S325/2.5))*I325*H325</f>
        <v/>
      </c>
      <c r="V325">
        <f>(E325*F325*(P325/1000)*J325*S325*I325*H325)/12500000</f>
        <v/>
      </c>
      <c r="W325">
        <f>(T325+U325+V325)/3</f>
        <v/>
      </c>
      <c r="X325" s="6" t="n">
        <v>6000</v>
      </c>
      <c r="Y325">
        <f>IFERROR(W325-X325,"")</f>
        <v/>
      </c>
      <c r="Z325">
        <f>IFERROR(ABS(Y325)/MAX(X325,1),"")</f>
        <v/>
      </c>
      <c r="AA325">
        <f>IFERROR((X325-(((E325/100000+F325/100+S325/200)*200*I325*H325)+((E325*F325/25000)*I325*H325))/3)/(((J325/5)*200*I325*H325)+((J325*S325/2.5)*I325*H325)+((E325*F325*J325*S325*I325*H325)/12500000))/3*1000,"")</f>
        <v/>
      </c>
    </row>
    <row r="326">
      <c r="B326" s="7" t="inlineStr">
        <is>
          <t xml:space="preserve">  ↳ NaxiBeetleLaser_elite</t>
        </is>
      </c>
      <c r="C326" s="7" t="inlineStr">
        <is>
          <t>Armament</t>
        </is>
      </c>
      <c r="L326" s="6" t="n">
        <v>8000</v>
      </c>
      <c r="M326" s="6" t="n">
        <v>60</v>
      </c>
      <c r="N326" s="6" t="n">
        <v>2</v>
      </c>
      <c r="O326" s="6" t="n">
        <v>4</v>
      </c>
      <c r="P326" s="6" t="n">
        <v>6448</v>
      </c>
      <c r="Q326" s="6" t="n">
        <v>1</v>
      </c>
      <c r="R326">
        <f>M326+IF(MAX(N326-1,0)&gt;0,IF(ISBLANK(O326),5*MAX(N326-1,0),IF(ISNUMBER(O326),O326*MAX(N326-1,0),SUM(IFERROR(VALUE(TEXTSPLIT(O326,",")),0)))),0)</f>
        <v/>
      </c>
      <c r="S326">
        <f>IFERROR(L326*MAX(N326,1)/R326*IF(ISBLANK(K325),1,K325),0)</f>
        <v/>
      </c>
      <c r="AB326" s="7" t="inlineStr">
        <is>
          <t>^SmallArms, ^Chaingun, ^MediumMissile, ^LaserWeapon</t>
        </is>
      </c>
    </row>
    <row r="327">
      <c r="B327" s="7" t="inlineStr">
        <is>
          <t xml:space="preserve">  ↳ NaxiBeetleLaser_elite</t>
        </is>
      </c>
      <c r="C327" s="7" t="inlineStr">
        <is>
          <t>Armament@elite</t>
        </is>
      </c>
      <c r="L327" s="6" t="n">
        <v>8000</v>
      </c>
      <c r="M327" s="6" t="n">
        <v>60</v>
      </c>
      <c r="N327" s="6" t="n">
        <v>2</v>
      </c>
      <c r="O327" s="6" t="n">
        <v>4</v>
      </c>
      <c r="P327" s="6" t="n">
        <v>6448</v>
      </c>
      <c r="Q327" s="6" t="n">
        <v>1</v>
      </c>
      <c r="R327">
        <f>M327+IF(MAX(N327-1,0)&gt;0,IF(ISBLANK(O327),5*MAX(N327-1,0),IF(ISNUMBER(O327),O327*MAX(N327-1,0),SUM(IFERROR(VALUE(TEXTSPLIT(O327,",")),0)))),0)</f>
        <v/>
      </c>
      <c r="S327">
        <f>IFERROR(L327*MAX(N327,1)/R327*IF(ISBLANK(K325),1,K325),0)</f>
        <v/>
      </c>
      <c r="AB327" s="7" t="inlineStr">
        <is>
          <t>^SmallArms, ^Chaingun, ^MediumMissile, ^LaserWeapon</t>
        </is>
      </c>
    </row>
    <row r="328">
      <c r="B328" s="7" t="inlineStr">
        <is>
          <t xml:space="preserve">  ↳ NaxiBeetleLaser_AA_elite</t>
        </is>
      </c>
      <c r="C328" s="7" t="inlineStr">
        <is>
          <t>Armament@AA</t>
        </is>
      </c>
      <c r="L328" s="6" t="n">
        <v>8000</v>
      </c>
      <c r="M328" s="6" t="n">
        <v>60</v>
      </c>
      <c r="N328" s="6" t="n">
        <v>2</v>
      </c>
      <c r="O328" s="6" t="n">
        <v>4</v>
      </c>
      <c r="P328" s="6" t="n">
        <v>9672</v>
      </c>
      <c r="Q328" s="6" t="n">
        <v>1</v>
      </c>
      <c r="R328">
        <f>M328+IF(MAX(N328-1,0)&gt;0,IF(ISBLANK(O328),5*MAX(N328-1,0),IF(ISNUMBER(O328),O328*MAX(N328-1,0),SUM(IFERROR(VALUE(TEXTSPLIT(O328,",")),0)))),0)</f>
        <v/>
      </c>
      <c r="S328">
        <f>IFERROR(L328*MAX(N328,1)/R328*IF(ISBLANK(K325),1,K325),0)</f>
        <v/>
      </c>
      <c r="AB328" s="7" t="inlineStr">
        <is>
          <t>NaxiBeetleLaser_elite</t>
        </is>
      </c>
    </row>
    <row r="329">
      <c r="B329" s="7" t="inlineStr">
        <is>
          <t xml:space="preserve">  ↳ NaxiBeetleLaser_AA_elite</t>
        </is>
      </c>
      <c r="C329" s="7" t="inlineStr">
        <is>
          <t>Armament@eliteAA</t>
        </is>
      </c>
      <c r="L329" s="6" t="n">
        <v>8000</v>
      </c>
      <c r="M329" s="6" t="n">
        <v>60</v>
      </c>
      <c r="N329" s="6" t="n">
        <v>2</v>
      </c>
      <c r="O329" s="6" t="n">
        <v>4</v>
      </c>
      <c r="P329" s="6" t="n">
        <v>9672</v>
      </c>
      <c r="Q329" s="6" t="n">
        <v>1</v>
      </c>
      <c r="R329">
        <f>M329+IF(MAX(N329-1,0)&gt;0,IF(ISBLANK(O329),5*MAX(N329-1,0),IF(ISNUMBER(O329),O329*MAX(N329-1,0),SUM(IFERROR(VALUE(TEXTSPLIT(O329,",")),0)))),0)</f>
        <v/>
      </c>
      <c r="S329">
        <f>IFERROR(L329*MAX(N329,1)/R329*IF(ISBLANK(K325),1,K325),0)</f>
        <v/>
      </c>
      <c r="AB329" s="7" t="inlineStr">
        <is>
          <t>NaxiBeetleLaser_elite</t>
        </is>
      </c>
    </row>
    <row r="330">
      <c r="B330" s="7" t="inlineStr">
        <is>
          <t xml:space="preserve">  ↳ Lunar_YellowBeetleLaser</t>
        </is>
      </c>
      <c r="C330" s="7" t="inlineStr">
        <is>
          <t>Armament@UP</t>
        </is>
      </c>
      <c r="L330" s="6" t="n">
        <v>8000</v>
      </c>
      <c r="M330" s="6" t="n">
        <v>60</v>
      </c>
      <c r="N330" s="6" t="n">
        <v>3</v>
      </c>
      <c r="O330" s="6" t="n">
        <v>4</v>
      </c>
      <c r="P330" s="6" t="n">
        <v>6448</v>
      </c>
      <c r="Q330" s="6" t="n">
        <v>1</v>
      </c>
      <c r="R330">
        <f>M330+IF(MAX(N330-1,0)&gt;0,IF(ISBLANK(O330),5*MAX(N330-1,0),IF(ISNUMBER(O330),O330*MAX(N330-1,0),SUM(IFERROR(VALUE(TEXTSPLIT(O330,",")),0)))),0)</f>
        <v/>
      </c>
      <c r="S330">
        <f>IFERROR(L330*MAX(N330,1)/R330*IF(ISBLANK(K325),1,K325),0)</f>
        <v/>
      </c>
      <c r="AB330" s="7" t="inlineStr">
        <is>
          <t>NaxiBeetleLaser_elite</t>
        </is>
      </c>
    </row>
    <row r="331">
      <c r="B331" s="7" t="inlineStr">
        <is>
          <t xml:space="preserve">  ↳ Lunar_YellowBeetleLaser</t>
        </is>
      </c>
      <c r="C331" s="7" t="inlineStr">
        <is>
          <t>Armament@eliteUP</t>
        </is>
      </c>
      <c r="L331" s="6" t="n">
        <v>8000</v>
      </c>
      <c r="M331" s="6" t="n">
        <v>60</v>
      </c>
      <c r="N331" s="6" t="n">
        <v>3</v>
      </c>
      <c r="O331" s="6" t="n">
        <v>4</v>
      </c>
      <c r="P331" s="6" t="n">
        <v>6448</v>
      </c>
      <c r="Q331" s="6" t="n">
        <v>1</v>
      </c>
      <c r="R331">
        <f>M331+IF(MAX(N331-1,0)&gt;0,IF(ISBLANK(O331),5*MAX(N331-1,0),IF(ISNUMBER(O331),O331*MAX(N331-1,0),SUM(IFERROR(VALUE(TEXTSPLIT(O331,",")),0)))),0)</f>
        <v/>
      </c>
      <c r="S331">
        <f>IFERROR(L331*MAX(N331,1)/R331*IF(ISBLANK(K325),1,K325),0)</f>
        <v/>
      </c>
      <c r="AB331" s="7" t="inlineStr">
        <is>
          <t>NaxiBeetleLaser_elite</t>
        </is>
      </c>
    </row>
    <row r="332">
      <c r="B332" s="7" t="inlineStr">
        <is>
          <t xml:space="preserve">  ↳ Lunar_YellowBeetleLaser_AA</t>
        </is>
      </c>
      <c r="C332" s="7" t="inlineStr">
        <is>
          <t>Armament@AA_UP</t>
        </is>
      </c>
      <c r="L332" s="6" t="n">
        <v>8000</v>
      </c>
      <c r="M332" s="6" t="n">
        <v>60</v>
      </c>
      <c r="N332" s="6" t="n">
        <v>3</v>
      </c>
      <c r="O332" s="6" t="n">
        <v>4</v>
      </c>
      <c r="P332" s="6" t="n">
        <v>9672</v>
      </c>
      <c r="Q332" s="6" t="n">
        <v>1</v>
      </c>
      <c r="R332">
        <f>M332+IF(MAX(N332-1,0)&gt;0,IF(ISBLANK(O332),5*MAX(N332-1,0),IF(ISNUMBER(O332),O332*MAX(N332-1,0),SUM(IFERROR(VALUE(TEXTSPLIT(O332,",")),0)))),0)</f>
        <v/>
      </c>
      <c r="S332">
        <f>IFERROR(L332*MAX(N332,1)/R332*IF(ISBLANK(K325),1,K325),0)</f>
        <v/>
      </c>
      <c r="AB332" s="7" t="inlineStr">
        <is>
          <t>NaxiBeetleLaser_AA_elite</t>
        </is>
      </c>
    </row>
    <row r="333">
      <c r="B333" s="7" t="inlineStr">
        <is>
          <t xml:space="preserve">  ↳ Lunar_YellowBeetleLaser_AA</t>
        </is>
      </c>
      <c r="C333" s="7" t="inlineStr">
        <is>
          <t>Armament@eliteAA_UP</t>
        </is>
      </c>
      <c r="L333" s="6" t="n">
        <v>8000</v>
      </c>
      <c r="M333" s="6" t="n">
        <v>60</v>
      </c>
      <c r="N333" s="6" t="n">
        <v>3</v>
      </c>
      <c r="O333" s="6" t="n">
        <v>4</v>
      </c>
      <c r="P333" s="6" t="n">
        <v>9672</v>
      </c>
      <c r="Q333" s="6" t="n">
        <v>1</v>
      </c>
      <c r="R333">
        <f>M333+IF(MAX(N333-1,0)&gt;0,IF(ISBLANK(O333),5*MAX(N333-1,0),IF(ISNUMBER(O333),O333*MAX(N333-1,0),SUM(IFERROR(VALUE(TEXTSPLIT(O333,",")),0)))),0)</f>
        <v/>
      </c>
      <c r="S333">
        <f>IFERROR(L333*MAX(N333,1)/R333*IF(ISBLANK(K325),1,K325),0)</f>
        <v/>
      </c>
      <c r="AB333" s="7" t="inlineStr">
        <is>
          <t>NaxiBeetleLaser_AA_elite</t>
        </is>
      </c>
    </row>
    <row r="334">
      <c r="B334" s="7" t="inlineStr">
        <is>
          <t xml:space="preserve">  ↳ Lunar_AmplifiedBeetleLaser</t>
        </is>
      </c>
      <c r="C334" s="7" t="inlineStr">
        <is>
          <t>Armament@AMP</t>
        </is>
      </c>
      <c r="L334" s="6" t="n">
        <v>8000</v>
      </c>
      <c r="M334" s="6" t="n">
        <v>60</v>
      </c>
      <c r="N334" s="6" t="n">
        <v>4</v>
      </c>
      <c r="O334" s="6" t="n">
        <v>4</v>
      </c>
      <c r="P334" s="6" t="n">
        <v>6448</v>
      </c>
      <c r="Q334" s="6" t="n">
        <v>1</v>
      </c>
      <c r="R334">
        <f>M334+IF(MAX(N334-1,0)&gt;0,IF(ISBLANK(O334),5*MAX(N334-1,0),IF(ISNUMBER(O334),O334*MAX(N334-1,0),SUM(IFERROR(VALUE(TEXTSPLIT(O334,",")),0)))),0)</f>
        <v/>
      </c>
      <c r="S334">
        <f>IFERROR(L334*MAX(N334,1)/R334*IF(ISBLANK(K325),1,K325),0)</f>
        <v/>
      </c>
      <c r="AB334" s="7" t="inlineStr">
        <is>
          <t>NaxiBeetleLaser_elite</t>
        </is>
      </c>
    </row>
    <row r="335">
      <c r="B335" s="7" t="inlineStr">
        <is>
          <t xml:space="preserve">  ↳ Lunar_AmplifiedBeetleLaser</t>
        </is>
      </c>
      <c r="C335" s="7" t="inlineStr">
        <is>
          <t>Armament@eliteAMP</t>
        </is>
      </c>
      <c r="L335" s="6" t="n">
        <v>8000</v>
      </c>
      <c r="M335" s="6" t="n">
        <v>60</v>
      </c>
      <c r="N335" s="6" t="n">
        <v>4</v>
      </c>
      <c r="O335" s="6" t="n">
        <v>4</v>
      </c>
      <c r="P335" s="6" t="n">
        <v>6448</v>
      </c>
      <c r="Q335" s="6" t="n">
        <v>1</v>
      </c>
      <c r="R335">
        <f>M335+IF(MAX(N335-1,0)&gt;0,IF(ISBLANK(O335),5*MAX(N335-1,0),IF(ISNUMBER(O335),O335*MAX(N335-1,0),SUM(IFERROR(VALUE(TEXTSPLIT(O335,",")),0)))),0)</f>
        <v/>
      </c>
      <c r="S335">
        <f>IFERROR(L335*MAX(N335,1)/R335*IF(ISBLANK(K325),1,K325),0)</f>
        <v/>
      </c>
      <c r="AB335" s="7" t="inlineStr">
        <is>
          <t>NaxiBeetleLaser_elite</t>
        </is>
      </c>
    </row>
    <row r="336">
      <c r="B336" s="7" t="inlineStr">
        <is>
          <t xml:space="preserve">  ↳ Lunar_AmplifiedBeetleLaser_AA</t>
        </is>
      </c>
      <c r="C336" s="7" t="inlineStr">
        <is>
          <t>Armament@AA_AMP</t>
        </is>
      </c>
      <c r="L336" s="6" t="n">
        <v>8000</v>
      </c>
      <c r="M336" s="6" t="n">
        <v>60</v>
      </c>
      <c r="N336" s="6" t="n">
        <v>4</v>
      </c>
      <c r="O336" s="6" t="n">
        <v>4</v>
      </c>
      <c r="P336" s="6" t="n">
        <v>9672</v>
      </c>
      <c r="Q336" s="6" t="n">
        <v>1</v>
      </c>
      <c r="R336">
        <f>M336+IF(MAX(N336-1,0)&gt;0,IF(ISBLANK(O336),5*MAX(N336-1,0),IF(ISNUMBER(O336),O336*MAX(N336-1,0),SUM(IFERROR(VALUE(TEXTSPLIT(O336,",")),0)))),0)</f>
        <v/>
      </c>
      <c r="S336">
        <f>IFERROR(L336*MAX(N336,1)/R336*IF(ISBLANK(K325),1,K325),0)</f>
        <v/>
      </c>
      <c r="AB336" s="7" t="inlineStr">
        <is>
          <t>NaxiBeetleLaser_AA_elite</t>
        </is>
      </c>
    </row>
    <row r="337">
      <c r="B337" s="7" t="inlineStr">
        <is>
          <t xml:space="preserve">  ↳ Lunar_AmplifiedBeetleLaser_AA</t>
        </is>
      </c>
      <c r="C337" s="7" t="inlineStr">
        <is>
          <t>Armament@eliteAA_AMP</t>
        </is>
      </c>
      <c r="L337" s="6" t="n">
        <v>8000</v>
      </c>
      <c r="M337" s="6" t="n">
        <v>60</v>
      </c>
      <c r="N337" s="6" t="n">
        <v>4</v>
      </c>
      <c r="O337" s="6" t="n">
        <v>4</v>
      </c>
      <c r="P337" s="6" t="n">
        <v>9672</v>
      </c>
      <c r="Q337" s="6" t="n">
        <v>1</v>
      </c>
      <c r="R337">
        <f>M337+IF(MAX(N337-1,0)&gt;0,IF(ISBLANK(O337),5*MAX(N337-1,0),IF(ISNUMBER(O337),O337*MAX(N337-1,0),SUM(IFERROR(VALUE(TEXTSPLIT(O337,",")),0)))),0)</f>
        <v/>
      </c>
      <c r="S337">
        <f>IFERROR(L337*MAX(N337,1)/R337*IF(ISBLANK(K325),1,K325),0)</f>
        <v/>
      </c>
      <c r="AB337" s="7" t="inlineStr">
        <is>
          <t>NaxiBeetleLaser_AA_elite</t>
        </is>
      </c>
    </row>
    <row r="338">
      <c r="A338" t="inlineStr">
        <is>
          <t>redalert2mod</t>
        </is>
      </c>
      <c r="B338" t="inlineStr">
        <is>
          <t>futuretech_cryocopter</t>
        </is>
      </c>
      <c r="C338" t="inlineStr">
        <is>
          <t>Cryocopter</t>
        </is>
      </c>
      <c r="D338" s="6" t="inlineStr">
        <is>
          <t>Helicopter</t>
        </is>
      </c>
      <c r="E338" s="6" t="n">
        <v>90000</v>
      </c>
      <c r="F338" s="6" t="n">
        <v>125</v>
      </c>
      <c r="G338" t="inlineStr">
        <is>
          <t>Helicopter</t>
        </is>
      </c>
      <c r="H338" s="6" t="n">
        <v>0.75</v>
      </c>
      <c r="I338" s="6" t="n">
        <v>1</v>
      </c>
      <c r="J338" s="6" t="n">
        <v>1.5</v>
      </c>
      <c r="K338" t="n">
        <v>0.0012</v>
      </c>
      <c r="P338">
        <f>MAX(P339,P340)</f>
        <v/>
      </c>
      <c r="S338">
        <f>S339+S340</f>
        <v/>
      </c>
      <c r="T338">
        <f>(E338/100000+F338/100+(P338/1000)*J338/5+S338/200)*200*I338*H338</f>
        <v/>
      </c>
      <c r="U338">
        <f>((E338*F338/25000)+((P338/1000)*J338*S338/2.5))*I338*H338</f>
        <v/>
      </c>
      <c r="V338">
        <f>(E338*F338*(P338/1000)*J338*S338*I338*H338)/12500000</f>
        <v/>
      </c>
      <c r="W338">
        <f>(T338+U338+V338)/3</f>
        <v/>
      </c>
      <c r="X338" s="6" t="n">
        <v>900</v>
      </c>
      <c r="Y338">
        <f>IFERROR(W338-X338,"")</f>
        <v/>
      </c>
      <c r="Z338">
        <f>IFERROR(ABS(Y338)/MAX(X338,1),"")</f>
        <v/>
      </c>
      <c r="AA338">
        <f>IFERROR((X338-(((E338/100000+F338/100+S338/200)*200*I338*H338)+((E338*F338/25000)*I338*H338))/3)/(((J338/5)*200*I338*H338)+((J338*S338/2.5)*I338*H338)+((E338*F338*J338*S338*I338*H338)/12500000))/3*1000,"")</f>
        <v/>
      </c>
    </row>
    <row r="339">
      <c r="B339" s="7" t="inlineStr">
        <is>
          <t xml:space="preserve">  ↳ Future_Cryocopter_Rocket</t>
        </is>
      </c>
      <c r="C339" s="7" t="inlineStr">
        <is>
          <t>Armament@Rocket</t>
        </is>
      </c>
      <c r="L339" s="6" t="n">
        <v>48000</v>
      </c>
      <c r="M339" s="6" t="n">
        <v>60</v>
      </c>
      <c r="N339" s="6" t="n">
        <v>2</v>
      </c>
      <c r="O339" s="6" t="n">
        <v>4</v>
      </c>
      <c r="P339" s="6" t="n">
        <v>5200</v>
      </c>
      <c r="Q339" s="6" t="n">
        <v>1.125</v>
      </c>
      <c r="R339">
        <f>M339+IF(MAX(N339-1,0)&gt;0,IF(ISBLANK(O339),5*MAX(N339-1,0),IF(ISNUMBER(O339),O339*MAX(N339-1,0),SUM(IFERROR(VALUE(TEXTSPLIT(O339,",")),0)))),0)</f>
        <v/>
      </c>
      <c r="S339">
        <f>IFERROR(L339*MAX(N339,1)/R339*IF(ISBLANK(K338),1,K338),0)</f>
        <v/>
      </c>
      <c r="AB339" s="7" t="inlineStr">
        <is>
          <t>^Warhead_MissileAP_Heavy, ^Warhead_MissileAP_Medium</t>
        </is>
      </c>
    </row>
    <row r="340">
      <c r="B340" s="7" t="inlineStr">
        <is>
          <t xml:space="preserve">  ↳ Future_Cryocopter_Cryo</t>
        </is>
      </c>
      <c r="C340" s="7" t="inlineStr">
        <is>
          <t>Armament@PRIMARY</t>
        </is>
      </c>
      <c r="L340" s="6" t="n">
        <v>11000</v>
      </c>
      <c r="M340" s="6" t="n">
        <v>8</v>
      </c>
      <c r="N340" s="6" t="n">
        <v>1</v>
      </c>
      <c r="O340" s="6" t="n"/>
      <c r="P340" s="6" t="n">
        <v>5200</v>
      </c>
      <c r="Q340" s="6" t="n">
        <v>1</v>
      </c>
      <c r="R340">
        <f>M340+IF(MAX(N340-1,0)&gt;0,IF(ISBLANK(O340),5*MAX(N340-1,0),IF(ISNUMBER(O340),O340*MAX(N340-1,0),SUM(IFERROR(VALUE(TEXTSPLIT(O340,",")),0)))),0)</f>
        <v/>
      </c>
      <c r="S340">
        <f>IFERROR(L340*MAX(N340,1)/R340*IF(ISBLANK(K338),1,K338),0)</f>
        <v/>
      </c>
      <c r="AB340" s="7" t="inlineStr">
        <is>
          <t>^LightMissile, ^SmallArms, ^Chaingun, ^FlakWeapon, ^TeslaWeapon, ^LaserWeapon</t>
        </is>
      </c>
    </row>
    <row r="341">
      <c r="A341" t="inlineStr">
        <is>
          <t>redalert2mod</t>
        </is>
      </c>
      <c r="B341" t="inlineStr">
        <is>
          <t>tkm_iroquois</t>
        </is>
      </c>
      <c r="C341" t="inlineStr">
        <is>
          <t>Iroquois</t>
        </is>
      </c>
      <c r="D341" s="6" t="inlineStr">
        <is>
          <t>Helicopter</t>
        </is>
      </c>
      <c r="E341" s="6" t="n">
        <v>100000</v>
      </c>
      <c r="F341" s="6" t="n">
        <v>120</v>
      </c>
      <c r="G341" t="inlineStr">
        <is>
          <t>Helicopter</t>
        </is>
      </c>
      <c r="H341" s="6" t="n">
        <v>0.6044</v>
      </c>
      <c r="I341" s="6" t="n">
        <v>1</v>
      </c>
      <c r="J341" s="6" t="n">
        <v>1</v>
      </c>
      <c r="K341" t="n">
        <v>0.005</v>
      </c>
      <c r="P341">
        <f>MAX(P342,P343,P344,P345,P346)</f>
        <v/>
      </c>
      <c r="S341">
        <f>S342+S343+S344+S345+S346</f>
        <v/>
      </c>
      <c r="T341">
        <f>(E341/100000+F341/100+(P341/1000)*J341/5+S341/200)*200*I341*H341</f>
        <v/>
      </c>
      <c r="U341">
        <f>((E341*F341/25000)+((P341/1000)*J341*S341/2.5))*I341*H341</f>
        <v/>
      </c>
      <c r="V341">
        <f>(E341*F341*(P341/1000)*J341*S341*I341*H341)/12500000</f>
        <v/>
      </c>
      <c r="W341">
        <f>(T341+U341+V341)/3</f>
        <v/>
      </c>
      <c r="X341" s="6" t="n">
        <v>1800</v>
      </c>
      <c r="Y341">
        <f>IFERROR(W341-X341,"")</f>
        <v/>
      </c>
      <c r="Z341">
        <f>IFERROR(ABS(Y341)/MAX(X341,1),"")</f>
        <v/>
      </c>
      <c r="AA341">
        <f>IFERROR((X341-(((E341/100000+F341/100+S341/200)*200*I341*H341)+((E341*F341/25000)*I341*H341))/3)/(((J341/5)*200*I341*H341)+((J341*S341/2.5)*I341*H341)+((E341*F341*J341*S341*I341*H341)/12500000))/3*1000,"")</f>
        <v/>
      </c>
    </row>
    <row r="342">
      <c r="B342" s="7" t="inlineStr">
        <is>
          <t xml:space="preserve">  ↳ HueyGun</t>
        </is>
      </c>
      <c r="C342" s="7" t="inlineStr">
        <is>
          <t>Armament@PRIMARY</t>
        </is>
      </c>
      <c r="L342" s="6" t="n">
        <v>4000</v>
      </c>
      <c r="M342" s="6" t="n">
        <v>7</v>
      </c>
      <c r="N342" s="6" t="n">
        <v>1</v>
      </c>
      <c r="O342" s="6" t="n"/>
      <c r="P342" s="6" t="n">
        <v>4783</v>
      </c>
      <c r="Q342" s="6" t="n">
        <v>1</v>
      </c>
      <c r="R342">
        <f>M342+IF(MAX(N342-1,0)&gt;0,IF(ISBLANK(O342),5*MAX(N342-1,0),IF(ISNUMBER(O342),O342*MAX(N342-1,0),SUM(IFERROR(VALUE(TEXTSPLIT(O342,",")),0)))),0)</f>
        <v/>
      </c>
      <c r="S342">
        <f>IFERROR(L342*MAX(N342,1)/R342*IF(ISBLANK(K341),1,K341),0)</f>
        <v/>
      </c>
      <c r="AB342" s="7" t="inlineStr">
        <is>
          <t>^Warhead_Bullet_Medium</t>
        </is>
      </c>
    </row>
    <row r="343">
      <c r="B343" s="7" t="inlineStr">
        <is>
          <t xml:space="preserve">  ↳ HueyMissiles</t>
        </is>
      </c>
      <c r="C343" s="7" t="inlineStr">
        <is>
          <t>Armament@Missiles</t>
        </is>
      </c>
      <c r="L343" s="6" t="n">
        <v>8000</v>
      </c>
      <c r="M343" s="6" t="n">
        <v>14</v>
      </c>
      <c r="N343" s="6" t="n">
        <v>1</v>
      </c>
      <c r="O343" s="6" t="n"/>
      <c r="P343" s="6" t="n">
        <v>4783</v>
      </c>
      <c r="Q343" s="6" t="n">
        <v>1</v>
      </c>
      <c r="R343">
        <f>M343+IF(MAX(N343-1,0)&gt;0,IF(ISBLANK(O343),5*MAX(N343-1,0),IF(ISNUMBER(O343),O343*MAX(N343-1,0),SUM(IFERROR(VALUE(TEXTSPLIT(O343,",")),0)))),0)</f>
        <v/>
      </c>
      <c r="S343">
        <f>IFERROR(L343*MAX(N343,1)/R343*IF(ISBLANK(K341),1,K341),0)</f>
        <v/>
      </c>
      <c r="AB343" s="7" t="inlineStr">
        <is>
          <t>^Warhead_MissileAP_Medium</t>
        </is>
      </c>
    </row>
    <row r="344">
      <c r="B344" s="7" t="inlineStr">
        <is>
          <t xml:space="preserve">  ↳ HueyCryoMissiles</t>
        </is>
      </c>
      <c r="C344" s="7" t="inlineStr">
        <is>
          <t>Armament@PRIMARYNATO</t>
        </is>
      </c>
      <c r="L344" s="6" t="n">
        <v>6000</v>
      </c>
      <c r="M344" s="6" t="n">
        <v>16</v>
      </c>
      <c r="N344" s="6" t="n">
        <v>1</v>
      </c>
      <c r="O344" s="6" t="n"/>
      <c r="P344" s="6" t="n">
        <v>5528</v>
      </c>
      <c r="Q344" s="6" t="n">
        <v>1</v>
      </c>
      <c r="R344">
        <f>M344+IF(MAX(N344-1,0)&gt;0,IF(ISBLANK(O344),5*MAX(N344-1,0),IF(ISNUMBER(O344),O344*MAX(N344-1,0),SUM(IFERROR(VALUE(TEXTSPLIT(O344,",")),0)))),0)</f>
        <v/>
      </c>
      <c r="S344">
        <f>IFERROR(L344*MAX(N344,1)/R344*IF(ISBLANK(K341),1,K341),0)</f>
        <v/>
      </c>
      <c r="AB344" s="7" t="inlineStr">
        <is>
          <t>^Warhead_Demolition_Light, ^Warhead_MissileAP_Medium, ^Warhead_Concussion_Medium</t>
        </is>
      </c>
    </row>
    <row r="345">
      <c r="B345" s="7" t="inlineStr">
        <is>
          <t xml:space="preserve">  ↳ HueyTwinMissiles</t>
        </is>
      </c>
      <c r="C345" s="7" t="inlineStr">
        <is>
          <t>Armament@PRIMARYBEREZKA</t>
        </is>
      </c>
      <c r="L345" s="6" t="n">
        <v>6000</v>
      </c>
      <c r="M345" s="6" t="n">
        <v>16</v>
      </c>
      <c r="N345" s="6" t="n">
        <v>2</v>
      </c>
      <c r="O345" s="6" t="n"/>
      <c r="P345" s="6" t="n">
        <v>5528</v>
      </c>
      <c r="Q345" s="6" t="n">
        <v>1</v>
      </c>
      <c r="R345">
        <f>M345+IF(MAX(N345-1,0)&gt;0,IF(ISBLANK(O345),5*MAX(N345-1,0),IF(ISNUMBER(O345),O345*MAX(N345-1,0),SUM(IFERROR(VALUE(TEXTSPLIT(O345,",")),0)))),0)</f>
        <v/>
      </c>
      <c r="S345">
        <f>IFERROR(L345*MAX(N345,1)/R345*IF(ISBLANK(K341),1,K341),0)</f>
        <v/>
      </c>
      <c r="AB345" s="7" t="inlineStr">
        <is>
          <t>^Warhead_Demolition_Light, ^Warhead_MissileAP_Medium, ^Warhead_Concussion_Medium</t>
        </is>
      </c>
    </row>
    <row r="346">
      <c r="B346" s="7" t="inlineStr">
        <is>
          <t xml:space="preserve">  ↳ HueyTwinMissiles</t>
        </is>
      </c>
      <c r="C346" s="7" t="inlineStr">
        <is>
          <t>Armament@PRIMARYTITAN</t>
        </is>
      </c>
      <c r="L346" s="6" t="n">
        <v>6000</v>
      </c>
      <c r="M346" s="6" t="n">
        <v>16</v>
      </c>
      <c r="N346" s="6" t="n">
        <v>2</v>
      </c>
      <c r="O346" s="6" t="n"/>
      <c r="P346" s="6" t="n">
        <v>5528</v>
      </c>
      <c r="Q346" s="6" t="n">
        <v>1</v>
      </c>
      <c r="R346">
        <f>M346+IF(MAX(N346-1,0)&gt;0,IF(ISBLANK(O346),5*MAX(N346-1,0),IF(ISNUMBER(O346),O346*MAX(N346-1,0),SUM(IFERROR(VALUE(TEXTSPLIT(O346,",")),0)))),0)</f>
        <v/>
      </c>
      <c r="S346">
        <f>IFERROR(L346*MAX(N346,1)/R346*IF(ISBLANK(K341),1,K341),0)</f>
        <v/>
      </c>
      <c r="AB346" s="7" t="inlineStr">
        <is>
          <t>^Warhead_Demolition_Light, ^Warhead_MissileAP_Medium, ^Warhead_Concussion_Medium</t>
        </is>
      </c>
    </row>
    <row r="347">
      <c r="A347" t="inlineStr">
        <is>
          <t>redalert2mod</t>
        </is>
      </c>
      <c r="B347" t="inlineStr">
        <is>
          <t>tkmdrone</t>
        </is>
      </c>
      <c r="C347" t="inlineStr">
        <is>
          <t>Drone</t>
        </is>
      </c>
      <c r="D347" s="6" t="inlineStr">
        <is>
          <t>Helicopter</t>
        </is>
      </c>
      <c r="E347" s="6" t="n">
        <v>10000</v>
      </c>
      <c r="F347" s="6" t="n">
        <v>150</v>
      </c>
      <c r="G347" t="inlineStr">
        <is>
          <t>Light</t>
        </is>
      </c>
      <c r="H347" s="6" t="n">
        <v>1</v>
      </c>
      <c r="I347" s="6" t="n">
        <v>1</v>
      </c>
      <c r="J347" s="6" t="n">
        <v>1</v>
      </c>
      <c r="X347" s="6" t="n">
        <v>25</v>
      </c>
    </row>
    <row r="348">
      <c r="A348" t="inlineStr">
        <is>
          <t>d2k</t>
        </is>
      </c>
      <c r="B348" t="inlineStr">
        <is>
          <t>ordos_banshee</t>
        </is>
      </c>
      <c r="C348" t="inlineStr">
        <is>
          <t>Banshee</t>
        </is>
      </c>
      <c r="D348" s="6" t="inlineStr">
        <is>
          <t>Helicopter</t>
        </is>
      </c>
      <c r="E348" s="6" t="n">
        <v>37500</v>
      </c>
      <c r="F348" s="6" t="n">
        <v>165</v>
      </c>
      <c r="G348" t="inlineStr">
        <is>
          <t>Helicopter</t>
        </is>
      </c>
      <c r="H348" s="6" t="n">
        <v>0.75</v>
      </c>
      <c r="I348" s="6" t="n">
        <v>1</v>
      </c>
      <c r="J348" s="6" t="n">
        <v>1</v>
      </c>
      <c r="P348">
        <f>MAX(P349,P350,P351)</f>
        <v/>
      </c>
      <c r="S348">
        <f>S349+S350+S351</f>
        <v/>
      </c>
      <c r="T348">
        <f>(E348/100000+F348/100+(P348/1000)*J348/5+S348/200)*200*I348*H348</f>
        <v/>
      </c>
      <c r="U348">
        <f>((E348*F348/25000)+((P348/1000)*J348*S348/2.5))*I348*H348</f>
        <v/>
      </c>
      <c r="V348">
        <f>(E348*F348*(P348/1000)*J348*S348*I348*H348)/12500000</f>
        <v/>
      </c>
      <c r="W348">
        <f>(T348+U348+V348)/3</f>
        <v/>
      </c>
      <c r="X348" s="6" t="n">
        <v>2250</v>
      </c>
      <c r="Y348">
        <f>IFERROR(W348-X348,"")</f>
        <v/>
      </c>
      <c r="Z348">
        <f>IFERROR(ABS(Y348)/MAX(X348,1),"")</f>
        <v/>
      </c>
      <c r="AA348">
        <f>IFERROR((X348-(((E348/100000+F348/100+S348/200)*200*I348*H348)+((E348*F348/25000)*I348*H348))/3)/(((J348/5)*200*I348*H348)+((J348*S348/2.5)*I348*H348)+((E348*F348*J348*S348*I348*H348)/12500000))/3*1000,"")</f>
        <v/>
      </c>
    </row>
    <row r="349">
      <c r="B349" s="7" t="inlineStr">
        <is>
          <t xml:space="preserve">  ↳ Laboratory_Bioball</t>
        </is>
      </c>
      <c r="C349" s="7" t="inlineStr">
        <is>
          <t>Armament</t>
        </is>
      </c>
      <c r="L349" s="6" t="n">
        <v>50000</v>
      </c>
      <c r="M349" s="6" t="n">
        <v>42</v>
      </c>
      <c r="N349" s="6" t="n">
        <v>1</v>
      </c>
      <c r="O349" s="6" t="n"/>
      <c r="P349" s="6" t="n">
        <v>6500</v>
      </c>
      <c r="Q349" s="6" t="n">
        <v>1</v>
      </c>
      <c r="R349">
        <f>M349+IF(MAX(N349-1,0)&gt;0,IF(ISBLANK(O349),5*MAX(N349-1,0),IF(ISNUMBER(O349),O349*MAX(N349-1,0),SUM(IFERROR(VALUE(TEXTSPLIT(O349,",")),0)))),0)</f>
        <v/>
      </c>
      <c r="S349">
        <f>IFERROR(L349*MAX(N349,1)/R349*IF(ISBLANK(K348),1,K348),0)</f>
        <v/>
      </c>
      <c r="AB349" s="7" t="inlineStr">
        <is>
          <t>^Warhead_Demolition_Light, ^Warhead_Concussion_Medium, ^Warhead_CannonHE_Heavy</t>
        </is>
      </c>
    </row>
    <row r="350">
      <c r="B350" s="7" t="inlineStr">
        <is>
          <t xml:space="preserve">  ↳ D2K_APC_Rocket_AA</t>
        </is>
      </c>
      <c r="C350" s="7" t="inlineStr">
        <is>
          <t>Armament@aa1</t>
        </is>
      </c>
      <c r="L350" s="6" t="n">
        <v>24000</v>
      </c>
      <c r="M350" s="6" t="n">
        <v>42</v>
      </c>
      <c r="N350" s="6" t="n">
        <v>1</v>
      </c>
      <c r="O350" s="6" t="n"/>
      <c r="P350" s="6" t="n">
        <v>6500</v>
      </c>
      <c r="Q350" s="6" t="n">
        <v>1</v>
      </c>
      <c r="R350">
        <f>M350+IF(MAX(N350-1,0)&gt;0,IF(ISBLANK(O350),5*MAX(N350-1,0),IF(ISNUMBER(O350),O350*MAX(N350-1,0),SUM(IFERROR(VALUE(TEXTSPLIT(O350,",")),0)))),0)</f>
        <v/>
      </c>
      <c r="S350">
        <f>IFERROR(L350*MAX(N350,1)/R350*IF(ISBLANK(K348),1,K348),0)</f>
        <v/>
      </c>
      <c r="AB350" s="7" t="inlineStr">
        <is>
          <t>^Warhead_MissileAP_Light, ^Warhead_MissileAP_Medium, ^Warhead_MissileAP_Heavy</t>
        </is>
      </c>
    </row>
    <row r="351">
      <c r="B351" s="7" t="inlineStr">
        <is>
          <t xml:space="preserve">  ↳ D2K_APC_Rocket_AA</t>
        </is>
      </c>
      <c r="C351" s="7" t="inlineStr">
        <is>
          <t>Armament@aa2</t>
        </is>
      </c>
      <c r="L351" s="6" t="n">
        <v>24000</v>
      </c>
      <c r="M351" s="6" t="n">
        <v>42</v>
      </c>
      <c r="N351" s="6" t="n">
        <v>1</v>
      </c>
      <c r="O351" s="6" t="n"/>
      <c r="P351" s="6" t="n">
        <v>6500</v>
      </c>
      <c r="Q351" s="6" t="n">
        <v>1</v>
      </c>
      <c r="R351">
        <f>M351+IF(MAX(N351-1,0)&gt;0,IF(ISBLANK(O351),5*MAX(N351-1,0),IF(ISNUMBER(O351),O351*MAX(N351-1,0),SUM(IFERROR(VALUE(TEXTSPLIT(O351,",")),0)))),0)</f>
        <v/>
      </c>
      <c r="S351">
        <f>IFERROR(L351*MAX(N351,1)/R351*IF(ISBLANK(K348),1,K348),0)</f>
        <v/>
      </c>
      <c r="AB351" s="7" t="inlineStr">
        <is>
          <t>^Warhead_MissileAP_Light, ^Warhead_MissileAP_Medium, ^Warhead_MissileAP_Heavy</t>
        </is>
      </c>
    </row>
    <row r="352">
      <c r="A352" t="inlineStr">
        <is>
          <t>d2k</t>
        </is>
      </c>
      <c r="B352" t="inlineStr">
        <is>
          <t>ixian_railgundrone</t>
        </is>
      </c>
      <c r="C352" t="inlineStr">
        <is>
          <t>Ixian Railgun Drone</t>
        </is>
      </c>
      <c r="D352" s="6" t="inlineStr">
        <is>
          <t>Helicopter</t>
        </is>
      </c>
      <c r="E352" s="6" t="n">
        <v>30000</v>
      </c>
      <c r="F352" s="6" t="n">
        <v>170</v>
      </c>
      <c r="G352" t="inlineStr">
        <is>
          <t>Helicopter</t>
        </is>
      </c>
      <c r="H352" s="6" t="n">
        <v>0.5077</v>
      </c>
      <c r="I352" s="6" t="n">
        <v>1</v>
      </c>
      <c r="J352" s="6" t="n">
        <v>1</v>
      </c>
      <c r="P352">
        <f>MAX(P353)</f>
        <v/>
      </c>
      <c r="S352">
        <f>S353</f>
        <v/>
      </c>
      <c r="T352">
        <f>(E352/100000+F352/100+(P352/1000)*J352/5+S352/200)*200*I352*H352</f>
        <v/>
      </c>
      <c r="U352">
        <f>((E352*F352/25000)+((P352/1000)*J352*S352/2.5))*I352*H352</f>
        <v/>
      </c>
      <c r="V352">
        <f>(E352*F352*(P352/1000)*J352*S352*I352*H352)/12500000</f>
        <v/>
      </c>
      <c r="W352">
        <f>(T352+U352+V352)/3</f>
        <v/>
      </c>
      <c r="X352" s="6" t="n">
        <v>2000</v>
      </c>
      <c r="Y352">
        <f>IFERROR(W352-X352,"")</f>
        <v/>
      </c>
      <c r="Z352">
        <f>IFERROR(ABS(Y352)/MAX(X352,1),"")</f>
        <v/>
      </c>
      <c r="AA352">
        <f>IFERROR((X352-(((E352/100000+F352/100+S352/200)*200*I352*H352)+((E352*F352/25000)*I352*H352))/3)/(((J352/5)*200*I352*H352)+((J352*S352/2.5)*I352*H352)+((E352*F352*J352*S352*I352*H352)/12500000))/3*1000,"")</f>
        <v/>
      </c>
    </row>
    <row r="353">
      <c r="B353" s="7" t="inlineStr">
        <is>
          <t xml:space="preserve">  ↳ IxRailgunDroneBullet</t>
        </is>
      </c>
      <c r="C353" s="7" t="inlineStr">
        <is>
          <t>Armament@PRIMARY</t>
        </is>
      </c>
      <c r="L353" s="6" t="n">
        <v>24000</v>
      </c>
      <c r="M353" s="6" t="n">
        <v>24</v>
      </c>
      <c r="N353" s="6" t="n">
        <v>1</v>
      </c>
      <c r="O353" s="6" t="n"/>
      <c r="P353" s="6" t="n">
        <v>6034</v>
      </c>
      <c r="Q353" s="6" t="n">
        <v>1</v>
      </c>
      <c r="R353">
        <f>M353+IF(MAX(N353-1,0)&gt;0,IF(ISBLANK(O353),5*MAX(N353-1,0),IF(ISNUMBER(O353),O353*MAX(N353-1,0),SUM(IFERROR(VALUE(TEXTSPLIT(O353,",")),0)))),0)</f>
        <v/>
      </c>
      <c r="S353">
        <f>IFERROR(L353*MAX(N353,1)/R353*IF(ISBLANK(K352),1,K352),0)</f>
        <v/>
      </c>
      <c r="AB353" s="7" t="inlineStr">
        <is>
          <t>^Warhead_CannonHE_Medium</t>
        </is>
      </c>
    </row>
    <row r="354">
      <c r="A354" t="inlineStr">
        <is>
          <t>d2k</t>
        </is>
      </c>
      <c r="B354" t="inlineStr">
        <is>
          <t>ixian_resonancedrone</t>
        </is>
      </c>
      <c r="C354" t="inlineStr">
        <is>
          <t>Ixian Resonance Drone</t>
        </is>
      </c>
      <c r="D354" s="6" t="inlineStr">
        <is>
          <t>Helicopter</t>
        </is>
      </c>
      <c r="E354" s="6" t="n">
        <v>25000</v>
      </c>
      <c r="F354" s="6" t="n">
        <v>125</v>
      </c>
      <c r="G354" t="inlineStr">
        <is>
          <t>Helicopter</t>
        </is>
      </c>
      <c r="H354" s="6" t="n">
        <v>0.5077</v>
      </c>
      <c r="I354" s="6" t="n">
        <v>1</v>
      </c>
      <c r="J354" s="6" t="n">
        <v>1</v>
      </c>
      <c r="P354">
        <f>MAX(P355)</f>
        <v/>
      </c>
      <c r="S354">
        <f>S355</f>
        <v/>
      </c>
      <c r="T354">
        <f>(E354/100000+F354/100+(P354/1000)*J354/5+S354/200)*200*I354*H354</f>
        <v/>
      </c>
      <c r="U354">
        <f>((E354*F354/25000)+((P354/1000)*J354*S354/2.5))*I354*H354</f>
        <v/>
      </c>
      <c r="V354">
        <f>(E354*F354*(P354/1000)*J354*S354*I354*H354)/12500000</f>
        <v/>
      </c>
      <c r="W354">
        <f>(T354+U354+V354)/3</f>
        <v/>
      </c>
      <c r="X354" s="6" t="n">
        <v>2500</v>
      </c>
      <c r="Y354">
        <f>IFERROR(W354-X354,"")</f>
        <v/>
      </c>
      <c r="Z354">
        <f>IFERROR(ABS(Y354)/MAX(X354,1),"")</f>
        <v/>
      </c>
      <c r="AA354">
        <f>IFERROR((X354-(((E354/100000+F354/100+S354/200)*200*I354*H354)+((E354*F354/25000)*I354*H354))/3)/(((J354/5)*200*I354*H354)+((J354*S354/2.5)*I354*H354)+((E354*F354*J354*S354*I354*H354)/12500000))/3*1000,"")</f>
        <v/>
      </c>
    </row>
    <row r="355">
      <c r="B355" s="7" t="inlineStr">
        <is>
          <t xml:space="preserve">  ↳ ResonanceDroneRepair</t>
        </is>
      </c>
      <c r="C355" s="7" t="inlineStr">
        <is>
          <t>Armament@repair</t>
        </is>
      </c>
      <c r="L355" s="6" t="n">
        <v>-3000</v>
      </c>
      <c r="M355" s="6" t="n">
        <v>5</v>
      </c>
      <c r="N355" s="6" t="n">
        <v>10</v>
      </c>
      <c r="O355" s="6" t="n">
        <v>1</v>
      </c>
      <c r="P355" s="6" t="n">
        <v>4500</v>
      </c>
      <c r="Q355" s="6" t="n">
        <v>1</v>
      </c>
      <c r="R355">
        <f>M355+IF(MAX(N355-1,0)&gt;0,IF(ISBLANK(O355),5*MAX(N355-1,0),IF(ISNUMBER(O355),O355*MAX(N355-1,0),SUM(IFERROR(VALUE(TEXTSPLIT(O355,",")),0)))),0)</f>
        <v/>
      </c>
      <c r="S355">
        <f>IFERROR(L355*MAX(N355,1)/R355*IF(ISBLANK(K354),1,K354),0)</f>
        <v/>
      </c>
      <c r="AB355" s="7" t="inlineStr">
        <is>
          <t>^RepairWeapon</t>
        </is>
      </c>
    </row>
    <row r="356">
      <c r="A356" t="inlineStr">
        <is>
          <t>starcraft</t>
        </is>
      </c>
      <c r="B356" t="inlineStr">
        <is>
          <t>protoss_arbiter</t>
        </is>
      </c>
      <c r="C356" t="inlineStr">
        <is>
          <t>Arbiter</t>
        </is>
      </c>
      <c r="D356" s="6" t="inlineStr">
        <is>
          <t>Helicopter</t>
        </is>
      </c>
      <c r="E356" s="6" t="n">
        <v>225000</v>
      </c>
      <c r="F356" s="6" t="n">
        <v>75</v>
      </c>
      <c r="G356" t="inlineStr">
        <is>
          <t>Helicopter</t>
        </is>
      </c>
      <c r="H356" s="6" t="n">
        <v>1</v>
      </c>
      <c r="I356" s="6" t="n">
        <v>1</v>
      </c>
      <c r="J356" s="6" t="n">
        <v>2</v>
      </c>
      <c r="P356">
        <f>MAX(P357)</f>
        <v/>
      </c>
      <c r="S356">
        <f>S357</f>
        <v/>
      </c>
      <c r="T356">
        <f>(E356/100000+F356/100+(P356/1000)*J356/5+S356/200)*200*I356*H356</f>
        <v/>
      </c>
      <c r="U356">
        <f>((E356*F356/25000)+((P356/1000)*J356*S356/2.5))*I356*H356</f>
        <v/>
      </c>
      <c r="V356">
        <f>(E356*F356*(P356/1000)*J356*S356*I356*H356)/12500000</f>
        <v/>
      </c>
      <c r="W356">
        <f>(T356+U356+V356)/3</f>
        <v/>
      </c>
      <c r="X356" s="6" t="n">
        <v>4800</v>
      </c>
      <c r="Y356">
        <f>IFERROR(W356-X356,"")</f>
        <v/>
      </c>
      <c r="Z356">
        <f>IFERROR(ABS(Y356)/MAX(X356,1),"")</f>
        <v/>
      </c>
      <c r="AA356">
        <f>IFERROR((X356-(((E356/100000+F356/100+S356/200)*200*I356*H356)+((E356*F356/25000)*I356*H356))/3)/(((J356/5)*200*I356*H356)+((J356*S356/2.5)*I356*H356)+((E356*F356*J356*S356*I356*H356)/12500000))/3*1000,"")</f>
        <v/>
      </c>
    </row>
    <row r="357">
      <c r="B357" s="7" t="inlineStr">
        <is>
          <t xml:space="preserve">  ↳ ArbiterCannon</t>
        </is>
      </c>
      <c r="C357" s="7" t="inlineStr">
        <is>
          <t>Armament</t>
        </is>
      </c>
      <c r="L357" s="6" t="n">
        <v>40000</v>
      </c>
      <c r="M357" s="6" t="n">
        <v>25</v>
      </c>
      <c r="N357" s="6" t="n">
        <v>1</v>
      </c>
      <c r="O357" s="6" t="n"/>
      <c r="P357" s="6" t="n">
        <v>4280</v>
      </c>
      <c r="Q357" s="6" t="n">
        <v>1</v>
      </c>
      <c r="R357">
        <f>M357+IF(MAX(N357-1,0)&gt;0,IF(ISBLANK(O357),5*MAX(N357-1,0),IF(ISNUMBER(O357),O357*MAX(N357-1,0),SUM(IFERROR(VALUE(TEXTSPLIT(O357,",")),0)))),0)</f>
        <v/>
      </c>
      <c r="S357">
        <f>IFERROR(L357*MAX(N357,1)/R357*IF(ISBLANK(K356),1,K356),0)</f>
        <v/>
      </c>
      <c r="AB357" s="7" t="inlineStr">
        <is>
          <t>PhotonCannon</t>
        </is>
      </c>
    </row>
    <row r="358">
      <c r="B358" s="7" t="inlineStr">
        <is>
          <t xml:space="preserve">  ↳ ArbiterStasis</t>
        </is>
      </c>
      <c r="C358" s="7" t="inlineStr">
        <is>
          <t>Armament@2</t>
        </is>
      </c>
      <c r="M358" s="6" t="n">
        <v>250</v>
      </c>
      <c r="N358" s="6" t="n">
        <v>1</v>
      </c>
      <c r="O358" s="6" t="n"/>
      <c r="P358" s="6" t="n">
        <v>4280</v>
      </c>
      <c r="Q358" s="6" t="n">
        <v>1</v>
      </c>
      <c r="R358">
        <f>M358+IF(MAX(N358-1,0)&gt;0,IF(ISBLANK(O358),5*MAX(N358-1,0),IF(ISNUMBER(O358),O358*MAX(N358-1,0),SUM(IFERROR(VALUE(TEXTSPLIT(O358,",")),0)))),0)</f>
        <v/>
      </c>
      <c r="S358">
        <f>IFERROR(L358*MAX(N358,1)/R358*IF(ISBLANK(K356),1,K356),0)</f>
        <v/>
      </c>
      <c r="AB358" s="7" t="inlineStr"/>
    </row>
    <row r="359">
      <c r="A359" t="inlineStr">
        <is>
          <t>starcraft</t>
        </is>
      </c>
      <c r="B359" t="inlineStr">
        <is>
          <t>protoss_corsair</t>
        </is>
      </c>
      <c r="C359" t="inlineStr">
        <is>
          <t>Corsair</t>
        </is>
      </c>
      <c r="D359" s="6" t="inlineStr">
        <is>
          <t>Helicopter</t>
        </is>
      </c>
      <c r="E359" s="6" t="n">
        <v>125000</v>
      </c>
      <c r="F359" s="6" t="n">
        <v>125</v>
      </c>
      <c r="G359" t="inlineStr">
        <is>
          <t>Helicopter</t>
        </is>
      </c>
      <c r="H359" s="6" t="n">
        <v>1</v>
      </c>
      <c r="I359" s="6" t="n">
        <v>1</v>
      </c>
      <c r="J359" s="6" t="n">
        <v>2</v>
      </c>
      <c r="P359">
        <f>MAX(P360,P361,P362)</f>
        <v/>
      </c>
      <c r="S359">
        <f>S360+S361+S362</f>
        <v/>
      </c>
      <c r="T359">
        <f>(E359/100000+F359/100+(P359/1000)*J359/5+S359/200)*200*I359*H359</f>
        <v/>
      </c>
      <c r="U359">
        <f>((E359*F359/25000)+((P359/1000)*J359*S359/2.5))*I359*H359</f>
        <v/>
      </c>
      <c r="V359">
        <f>(E359*F359*(P359/1000)*J359*S359*I359*H359)/12500000</f>
        <v/>
      </c>
      <c r="W359">
        <f>(T359+U359+V359)/3</f>
        <v/>
      </c>
      <c r="X359" s="6" t="n">
        <v>2100</v>
      </c>
      <c r="Y359">
        <f>IFERROR(W359-X359,"")</f>
        <v/>
      </c>
      <c r="Z359">
        <f>IFERROR(ABS(Y359)/MAX(X359,1),"")</f>
        <v/>
      </c>
      <c r="AA359">
        <f>IFERROR((X359-(((E359/100000+F359/100+S359/200)*200*I359*H359)+((E359*F359/25000)*I359*H359))/3)/(((J359/5)*200*I359*H359)+((J359*S359/2.5)*I359*H359)+((E359*F359*J359*S359*I359*H359)/12500000))/3*1000,"")</f>
        <v/>
      </c>
    </row>
    <row r="360">
      <c r="B360" s="7" t="inlineStr">
        <is>
          <t xml:space="preserve">  ↳ Corsair_EMP</t>
        </is>
      </c>
      <c r="C360" s="7" t="inlineStr">
        <is>
          <t>Armament@PRIMARY</t>
        </is>
      </c>
      <c r="L360" s="6" t="n">
        <v>5000</v>
      </c>
      <c r="M360" s="6" t="n">
        <v>250</v>
      </c>
      <c r="N360" s="6" t="n">
        <v>1</v>
      </c>
      <c r="O360" s="6" t="n"/>
      <c r="P360" s="6" t="n">
        <v>5500</v>
      </c>
      <c r="Q360" s="6" t="n">
        <v>1</v>
      </c>
      <c r="R360">
        <f>M360+IF(MAX(N360-1,0)&gt;0,IF(ISBLANK(O360),5*MAX(N360-1,0),IF(ISNUMBER(O360),O360*MAX(N360-1,0),SUM(IFERROR(VALUE(TEXTSPLIT(O360,",")),0)))),0)</f>
        <v/>
      </c>
      <c r="S360">
        <f>IFERROR(L360*MAX(N360,1)/R360*IF(ISBLANK(K359),1,K359),0)</f>
        <v/>
      </c>
      <c r="AB360" s="7" t="inlineStr">
        <is>
          <t>^Warhead_Tesla_Super</t>
        </is>
      </c>
    </row>
    <row r="361">
      <c r="B361" s="7" t="inlineStr">
        <is>
          <t xml:space="preserve">  ↳ CorsairFlash</t>
        </is>
      </c>
      <c r="C361" s="7" t="inlineStr">
        <is>
          <t>Armament@SECONDARY1</t>
        </is>
      </c>
      <c r="L361" s="6" t="n">
        <v>4000</v>
      </c>
      <c r="M361" s="6" t="n">
        <v>65</v>
      </c>
      <c r="N361" s="6" t="n">
        <v>1</v>
      </c>
      <c r="O361" s="6" t="n"/>
      <c r="P361" s="6" t="n">
        <v>5500</v>
      </c>
      <c r="Q361" s="6" t="n">
        <v>0.875</v>
      </c>
      <c r="R361">
        <f>M361+IF(MAX(N361-1,0)&gt;0,IF(ISBLANK(O361),5*MAX(N361-1,0),IF(ISNUMBER(O361),O361*MAX(N361-1,0),SUM(IFERROR(VALUE(TEXTSPLIT(O361,",")),0)))),0)</f>
        <v/>
      </c>
      <c r="S361">
        <f>IFERROR(L361*MAX(N361,1)/R361*IF(ISBLANK(K359),1,K359),0)</f>
        <v/>
      </c>
      <c r="AB361" s="7" t="inlineStr">
        <is>
          <t>^Warhead_Flak_Medium, ^Warhead_Demolition_Light</t>
        </is>
      </c>
    </row>
    <row r="362">
      <c r="B362" s="7" t="inlineStr">
        <is>
          <t xml:space="preserve">  ↳ CorsairFlash</t>
        </is>
      </c>
      <c r="C362" s="7" t="inlineStr">
        <is>
          <t>Armament@SECONDARY2</t>
        </is>
      </c>
      <c r="L362" s="6" t="n">
        <v>4000</v>
      </c>
      <c r="M362" s="6" t="n">
        <v>65</v>
      </c>
      <c r="N362" s="6" t="n">
        <v>1</v>
      </c>
      <c r="O362" s="6" t="n"/>
      <c r="P362" s="6" t="n">
        <v>5500</v>
      </c>
      <c r="Q362" s="6" t="n">
        <v>0.875</v>
      </c>
      <c r="R362">
        <f>M362+IF(MAX(N362-1,0)&gt;0,IF(ISBLANK(O362),5*MAX(N362-1,0),IF(ISNUMBER(O362),O362*MAX(N362-1,0),SUM(IFERROR(VALUE(TEXTSPLIT(O362,",")),0)))),0)</f>
        <v/>
      </c>
      <c r="S362">
        <f>IFERROR(L362*MAX(N362,1)/R362*IF(ISBLANK(K359),1,K359),0)</f>
        <v/>
      </c>
      <c r="AB362" s="7" t="inlineStr">
        <is>
          <t>^Warhead_Flak_Medium, ^Warhead_Demolition_Light</t>
        </is>
      </c>
    </row>
    <row r="363">
      <c r="A363" t="inlineStr">
        <is>
          <t>starcraft</t>
        </is>
      </c>
      <c r="B363" t="inlineStr">
        <is>
          <t>protoss_epigraph</t>
        </is>
      </c>
      <c r="C363" t="inlineStr">
        <is>
          <t>Epigraph</t>
        </is>
      </c>
      <c r="D363" s="6" t="inlineStr">
        <is>
          <t>Helicopter</t>
        </is>
      </c>
      <c r="E363" s="6" t="n">
        <v>200000</v>
      </c>
      <c r="F363" s="6" t="n">
        <v>100</v>
      </c>
      <c r="G363" t="inlineStr">
        <is>
          <t>Helicopter</t>
        </is>
      </c>
      <c r="H363" s="6" t="n">
        <v>1</v>
      </c>
      <c r="I363" s="6" t="n">
        <v>1</v>
      </c>
      <c r="J363" s="6" t="n">
        <v>1</v>
      </c>
      <c r="K363" t="n">
        <v>0.005</v>
      </c>
      <c r="P363">
        <f>MAX(P364,P365)</f>
        <v/>
      </c>
      <c r="S363">
        <f>S364+S365</f>
        <v/>
      </c>
      <c r="T363">
        <f>(E363/100000+F363/100+(P363/1000)*J363/5+S363/200)*200*I363*H363</f>
        <v/>
      </c>
      <c r="U363">
        <f>((E363*F363/25000)+((P363/1000)*J363*S363/2.5))*I363*H363</f>
        <v/>
      </c>
      <c r="V363">
        <f>(E363*F363*(P363/1000)*J363*S363*I363*H363)/12500000</f>
        <v/>
      </c>
      <c r="W363">
        <f>(T363+U363+V363)/3</f>
        <v/>
      </c>
      <c r="X363" s="6" t="n">
        <v>2600</v>
      </c>
      <c r="Y363">
        <f>IFERROR(W363-X363,"")</f>
        <v/>
      </c>
      <c r="Z363">
        <f>IFERROR(ABS(Y363)/MAX(X363,1),"")</f>
        <v/>
      </c>
      <c r="AA363">
        <f>IFERROR((X363-(((E363/100000+F363/100+S363/200)*200*I363*H363)+((E363*F363/25000)*I363*H363))/3)/(((J363/5)*200*I363*H363)+((J363*S363/2.5)*I363*H363)+((E363*F363*J363*S363*I363*H363)/12500000))/3*1000,"")</f>
        <v/>
      </c>
    </row>
    <row r="364">
      <c r="B364" s="7" t="inlineStr">
        <is>
          <t xml:space="preserve">  ↳ EpigraphMG</t>
        </is>
      </c>
      <c r="C364" s="7" t="inlineStr">
        <is>
          <t>Armament@PRIMARY</t>
        </is>
      </c>
      <c r="L364" s="6" t="n">
        <v>20000</v>
      </c>
      <c r="M364" s="6" t="n">
        <v>36</v>
      </c>
      <c r="N364" s="6" t="n">
        <v>1</v>
      </c>
      <c r="O364" s="6" t="n"/>
      <c r="P364" s="6" t="n">
        <v>5077</v>
      </c>
      <c r="Q364" s="6" t="n">
        <v>1.25</v>
      </c>
      <c r="R364">
        <f>M364+IF(MAX(N364-1,0)&gt;0,IF(ISBLANK(O364),5*MAX(N364-1,0),IF(ISNUMBER(O364),O364*MAX(N364-1,0),SUM(IFERROR(VALUE(TEXTSPLIT(O364,",")),0)))),0)</f>
        <v/>
      </c>
      <c r="S364">
        <f>IFERROR(L364*MAX(N364,1)/R364*IF(ISBLANK(K363),1,K363),0)</f>
        <v/>
      </c>
      <c r="AB364" s="7" t="inlineStr">
        <is>
          <t>^Warhead_CannonHE_Heavy</t>
        </is>
      </c>
    </row>
    <row r="365">
      <c r="B365" s="7" t="inlineStr">
        <is>
          <t xml:space="preserve">  ↳ EpigraphMG</t>
        </is>
      </c>
      <c r="C365" s="7" t="inlineStr">
        <is>
          <t>Armament@SECONDARY</t>
        </is>
      </c>
      <c r="L365" s="6" t="n">
        <v>20000</v>
      </c>
      <c r="M365" s="6" t="n">
        <v>36</v>
      </c>
      <c r="N365" s="6" t="n">
        <v>1</v>
      </c>
      <c r="O365" s="6" t="n"/>
      <c r="P365" s="6" t="n">
        <v>5077</v>
      </c>
      <c r="Q365" s="6" t="n">
        <v>1.25</v>
      </c>
      <c r="R365">
        <f>M365+IF(MAX(N365-1,0)&gt;0,IF(ISBLANK(O365),5*MAX(N365-1,0),IF(ISNUMBER(O365),O365*MAX(N365-1,0),SUM(IFERROR(VALUE(TEXTSPLIT(O365,",")),0)))),0)</f>
        <v/>
      </c>
      <c r="S365">
        <f>IFERROR(L365*MAX(N365,1)/R365*IF(ISBLANK(K363),1,K363),0)</f>
        <v/>
      </c>
      <c r="AB365" s="7" t="inlineStr">
        <is>
          <t>^Warhead_CannonHE_Heavy</t>
        </is>
      </c>
    </row>
    <row r="366">
      <c r="A366" t="inlineStr">
        <is>
          <t>starcraft</t>
        </is>
      </c>
      <c r="B366" t="inlineStr">
        <is>
          <t>protoss_gladius</t>
        </is>
      </c>
      <c r="C366" t="inlineStr">
        <is>
          <t>Gladius</t>
        </is>
      </c>
      <c r="D366" s="6" t="inlineStr">
        <is>
          <t>Helicopter</t>
        </is>
      </c>
      <c r="E366" s="6" t="n">
        <v>100000</v>
      </c>
      <c r="F366" s="6" t="n">
        <v>50</v>
      </c>
      <c r="G366" t="inlineStr">
        <is>
          <t>Helicopter</t>
        </is>
      </c>
      <c r="H366" s="6" t="n">
        <v>1</v>
      </c>
      <c r="I366" s="6" t="n">
        <v>1</v>
      </c>
      <c r="J366" s="6" t="n">
        <v>1</v>
      </c>
      <c r="K366" t="n">
        <v>0.005</v>
      </c>
      <c r="P366">
        <f>MAX(P367)</f>
        <v/>
      </c>
      <c r="S366">
        <f>S367</f>
        <v/>
      </c>
      <c r="T366">
        <f>(E366/100000+F366/100+(P366/1000)*J366/5+S366/200)*200*I366*H366</f>
        <v/>
      </c>
      <c r="U366">
        <f>((E366*F366/25000)+((P366/1000)*J366*S366/2.5))*I366*H366</f>
        <v/>
      </c>
      <c r="V366">
        <f>(E366*F366*(P366/1000)*J366*S366*I366*H366)/12500000</f>
        <v/>
      </c>
      <c r="W366">
        <f>(T366+U366+V366)/3</f>
        <v/>
      </c>
      <c r="X366" s="6" t="n">
        <v>1800</v>
      </c>
      <c r="Y366">
        <f>IFERROR(W366-X366,"")</f>
        <v/>
      </c>
      <c r="Z366">
        <f>IFERROR(ABS(Y366)/MAX(X366,1),"")</f>
        <v/>
      </c>
      <c r="AA366">
        <f>IFERROR((X366-(((E366/100000+F366/100+S366/200)*200*I366*H366)+((E366*F366/25000)*I366*H366))/3)/(((J366/5)*200*I366*H366)+((J366*S366/2.5)*I366*H366)+((E366*F366*J366*S366*I366*H366)/12500000))/3*1000,"")</f>
        <v/>
      </c>
    </row>
    <row r="367">
      <c r="B367" s="7" t="inlineStr">
        <is>
          <t xml:space="preserve">  ↳ GladiusCannon</t>
        </is>
      </c>
      <c r="C367" s="7" t="inlineStr">
        <is>
          <t>Armament</t>
        </is>
      </c>
      <c r="L367" s="6" t="n">
        <v>110000</v>
      </c>
      <c r="M367" s="6" t="n">
        <v>80</v>
      </c>
      <c r="N367" s="6" t="n">
        <v>1</v>
      </c>
      <c r="O367" s="6" t="n"/>
      <c r="P367" s="6" t="n">
        <v>10000</v>
      </c>
      <c r="Q367" s="6" t="n">
        <v>1</v>
      </c>
      <c r="R367">
        <f>M367+IF(MAX(N367-1,0)&gt;0,IF(ISBLANK(O367),5*MAX(N367-1,0),IF(ISNUMBER(O367),O367*MAX(N367-1,0),SUM(IFERROR(VALUE(TEXTSPLIT(O367,",")),0)))),0)</f>
        <v/>
      </c>
      <c r="S367">
        <f>IFERROR(L367*MAX(N367,1)/R367*IF(ISBLANK(K366),1,K366),0)</f>
        <v/>
      </c>
      <c r="AB367" s="7" t="inlineStr">
        <is>
          <t>^LightFlameWeapon, ^MediumChemicalWeapon, ^HeavyFlameWeapon, ^ShrapnelWeapon, PhotonCannon</t>
        </is>
      </c>
    </row>
    <row r="368">
      <c r="A368" t="inlineStr">
        <is>
          <t>starcraft</t>
        </is>
      </c>
      <c r="B368" t="inlineStr">
        <is>
          <t>protoss_observer</t>
        </is>
      </c>
      <c r="C368" t="inlineStr">
        <is>
          <t>Observer</t>
        </is>
      </c>
      <c r="D368" s="6" t="inlineStr">
        <is>
          <t>Helicopter</t>
        </is>
      </c>
      <c r="E368" s="6" t="n">
        <v>12500</v>
      </c>
      <c r="F368" s="6" t="n">
        <v>60</v>
      </c>
      <c r="G368" t="inlineStr">
        <is>
          <t>Helicopter</t>
        </is>
      </c>
      <c r="H368" s="6" t="n">
        <v>0.7674</v>
      </c>
      <c r="I368" s="6" t="n">
        <v>1</v>
      </c>
      <c r="J368" s="6" t="n">
        <v>1</v>
      </c>
      <c r="X368" s="6" t="n">
        <v>500</v>
      </c>
    </row>
    <row r="369">
      <c r="A369" t="inlineStr">
        <is>
          <t>starcraft</t>
        </is>
      </c>
      <c r="B369" t="inlineStr">
        <is>
          <t>protoss_scout</t>
        </is>
      </c>
      <c r="C369" t="inlineStr">
        <is>
          <t>Scout</t>
        </is>
      </c>
      <c r="D369" s="6" t="inlineStr">
        <is>
          <t>Helicopter</t>
        </is>
      </c>
      <c r="E369" s="6" t="n">
        <v>75000</v>
      </c>
      <c r="F369" s="6" t="n">
        <v>150</v>
      </c>
      <c r="G369" t="inlineStr">
        <is>
          <t>Helicopter</t>
        </is>
      </c>
      <c r="H369" s="6" t="n">
        <v>1</v>
      </c>
      <c r="I369" s="6" t="n">
        <v>1</v>
      </c>
      <c r="J369" s="6" t="n">
        <v>1</v>
      </c>
      <c r="P369">
        <f>MAX(P370,P371,P372,P373)</f>
        <v/>
      </c>
      <c r="S369">
        <f>S370+S371+S372+S373</f>
        <v/>
      </c>
      <c r="T369">
        <f>(E369/100000+F369/100+(P369/1000)*J369/5+S369/200)*200*I369*H369</f>
        <v/>
      </c>
      <c r="U369">
        <f>((E369*F369/25000)+((P369/1000)*J369*S369/2.5))*I369*H369</f>
        <v/>
      </c>
      <c r="V369">
        <f>(E369*F369*(P369/1000)*J369*S369*I369*H369)/12500000</f>
        <v/>
      </c>
      <c r="W369">
        <f>(T369+U369+V369)/3</f>
        <v/>
      </c>
      <c r="X369" s="6" t="n">
        <v>1500</v>
      </c>
      <c r="Y369">
        <f>IFERROR(W369-X369,"")</f>
        <v/>
      </c>
      <c r="Z369">
        <f>IFERROR(ABS(Y369)/MAX(X369,1),"")</f>
        <v/>
      </c>
      <c r="AA369">
        <f>IFERROR((X369-(((E369/100000+F369/100+S369/200)*200*I369*H369)+((E369*F369/25000)*I369*H369))/3)/(((J369/5)*200*I369*H369)+((J369*S369/2.5)*I369*H369)+((E369*F369*J369*S369*I369*H369)/12500000))/3*1000,"")</f>
        <v/>
      </c>
    </row>
    <row r="370">
      <c r="B370" s="7" t="inlineStr">
        <is>
          <t xml:space="preserve">  ↳ ScoutMG</t>
        </is>
      </c>
      <c r="C370" s="7" t="inlineStr">
        <is>
          <t>Armament@PRIMARY1</t>
        </is>
      </c>
      <c r="L370" s="6" t="n">
        <v>4000</v>
      </c>
      <c r="M370" s="6" t="n">
        <v>32</v>
      </c>
      <c r="N370" s="6" t="n">
        <v>1</v>
      </c>
      <c r="O370" s="6" t="n"/>
      <c r="P370" s="6" t="n">
        <v>4500</v>
      </c>
      <c r="Q370" s="6" t="n">
        <v>0.875</v>
      </c>
      <c r="R370">
        <f>M370+IF(MAX(N370-1,0)&gt;0,IF(ISBLANK(O370),5*MAX(N370-1,0),IF(ISNUMBER(O370),O370*MAX(N370-1,0),SUM(IFERROR(VALUE(TEXTSPLIT(O370,",")),0)))),0)</f>
        <v/>
      </c>
      <c r="S370">
        <f>IFERROR(L370*MAX(N370,1)/R370*IF(ISBLANK(K369),1,K369),0)</f>
        <v/>
      </c>
      <c r="AB370" s="7" t="inlineStr">
        <is>
          <t>^Warhead_Flak_Medium, ^Warhead_Demolition_Light</t>
        </is>
      </c>
    </row>
    <row r="371">
      <c r="B371" s="7" t="inlineStr">
        <is>
          <t xml:space="preserve">  ↳ ScoutMG</t>
        </is>
      </c>
      <c r="C371" s="7" t="inlineStr">
        <is>
          <t>Armament@PRIMARY2</t>
        </is>
      </c>
      <c r="L371" s="6" t="n">
        <v>4000</v>
      </c>
      <c r="M371" s="6" t="n">
        <v>32</v>
      </c>
      <c r="N371" s="6" t="n">
        <v>1</v>
      </c>
      <c r="O371" s="6" t="n"/>
      <c r="P371" s="6" t="n">
        <v>4500</v>
      </c>
      <c r="Q371" s="6" t="n">
        <v>0.875</v>
      </c>
      <c r="R371">
        <f>M371+IF(MAX(N371-1,0)&gt;0,IF(ISBLANK(O371),5*MAX(N371-1,0),IF(ISNUMBER(O371),O371*MAX(N371-1,0),SUM(IFERROR(VALUE(TEXTSPLIT(O371,",")),0)))),0)</f>
        <v/>
      </c>
      <c r="S371">
        <f>IFERROR(L371*MAX(N371,1)/R371*IF(ISBLANK(K369),1,K369),0)</f>
        <v/>
      </c>
      <c r="AB371" s="7" t="inlineStr">
        <is>
          <t>^Warhead_Flak_Medium, ^Warhead_Demolition_Light</t>
        </is>
      </c>
    </row>
    <row r="372">
      <c r="B372" s="7" t="inlineStr">
        <is>
          <t xml:space="preserve">  ↳ ScoutRockets_AA</t>
        </is>
      </c>
      <c r="C372" s="7" t="inlineStr">
        <is>
          <t>Armament@SECONDARY1</t>
        </is>
      </c>
      <c r="L372" s="6" t="n">
        <v>10000</v>
      </c>
      <c r="M372" s="6" t="n">
        <v>40</v>
      </c>
      <c r="N372" s="6" t="n">
        <v>1</v>
      </c>
      <c r="O372" s="6" t="n"/>
      <c r="P372" s="6" t="n">
        <v>4500</v>
      </c>
      <c r="Q372" s="6" t="n">
        <v>1.25</v>
      </c>
      <c r="R372">
        <f>M372+IF(MAX(N372-1,0)&gt;0,IF(ISBLANK(O372),5*MAX(N372-1,0),IF(ISNUMBER(O372),O372*MAX(N372-1,0),SUM(IFERROR(VALUE(TEXTSPLIT(O372,",")),0)))),0)</f>
        <v/>
      </c>
      <c r="S372">
        <f>IFERROR(L372*MAX(N372,1)/R372*IF(ISBLANK(K369),1,K369),0)</f>
        <v/>
      </c>
      <c r="AB372" s="7" t="inlineStr">
        <is>
          <t>^Warhead_MissileAA_Heavy</t>
        </is>
      </c>
    </row>
    <row r="373">
      <c r="B373" s="7" t="inlineStr">
        <is>
          <t xml:space="preserve">  ↳ ScoutRockets_AA</t>
        </is>
      </c>
      <c r="C373" s="7" t="inlineStr">
        <is>
          <t>Armament@SECONDARY2</t>
        </is>
      </c>
      <c r="L373" s="6" t="n">
        <v>10000</v>
      </c>
      <c r="M373" s="6" t="n">
        <v>40</v>
      </c>
      <c r="N373" s="6" t="n">
        <v>1</v>
      </c>
      <c r="O373" s="6" t="n"/>
      <c r="P373" s="6" t="n">
        <v>4500</v>
      </c>
      <c r="Q373" s="6" t="n">
        <v>1.25</v>
      </c>
      <c r="R373">
        <f>M373+IF(MAX(N373-1,0)&gt;0,IF(ISBLANK(O373),5*MAX(N373-1,0),IF(ISNUMBER(O373),O373*MAX(N373-1,0),SUM(IFERROR(VALUE(TEXTSPLIT(O373,",")),0)))),0)</f>
        <v/>
      </c>
      <c r="S373">
        <f>IFERROR(L373*MAX(N373,1)/R373*IF(ISBLANK(K369),1,K369),0)</f>
        <v/>
      </c>
      <c r="AB373" s="7" t="inlineStr">
        <is>
          <t>^Warhead_MissileAA_Heavy</t>
        </is>
      </c>
    </row>
    <row r="374">
      <c r="A374" t="inlineStr">
        <is>
          <t>starcraft</t>
        </is>
      </c>
      <c r="B374" t="inlineStr">
        <is>
          <t>protoss_voidray</t>
        </is>
      </c>
      <c r="C374" t="inlineStr">
        <is>
          <t>Void Ray</t>
        </is>
      </c>
      <c r="D374" s="6" t="inlineStr">
        <is>
          <t>Helicopter</t>
        </is>
      </c>
      <c r="E374" s="6" t="n">
        <v>70000</v>
      </c>
      <c r="F374" s="6" t="n">
        <v>140</v>
      </c>
      <c r="G374" t="inlineStr">
        <is>
          <t>Helicopter</t>
        </is>
      </c>
      <c r="H374" s="6" t="n">
        <v>1</v>
      </c>
      <c r="I374" s="6" t="n">
        <v>1</v>
      </c>
      <c r="J374" s="6" t="n">
        <v>1.5</v>
      </c>
      <c r="K374" t="n">
        <v>0.0009</v>
      </c>
      <c r="P374">
        <f>MAX(P375)</f>
        <v/>
      </c>
      <c r="S374">
        <f>S375</f>
        <v/>
      </c>
      <c r="T374">
        <f>(E374/100000+F374/100+(P374/1000)*J374/5+S374/200)*200*I374*H374</f>
        <v/>
      </c>
      <c r="U374">
        <f>((E374*F374/25000)+((P374/1000)*J374*S374/2.5))*I374*H374</f>
        <v/>
      </c>
      <c r="V374">
        <f>(E374*F374*(P374/1000)*J374*S374*I374*H374)/12500000</f>
        <v/>
      </c>
      <c r="W374">
        <f>(T374+U374+V374)/3</f>
        <v/>
      </c>
      <c r="X374" s="6" t="n">
        <v>1400</v>
      </c>
      <c r="Y374">
        <f>IFERROR(W374-X374,"")</f>
        <v/>
      </c>
      <c r="Z374">
        <f>IFERROR(ABS(Y374)/MAX(X374,1),"")</f>
        <v/>
      </c>
      <c r="AA374">
        <f>IFERROR((X374-(((E374/100000+F374/100+S374/200)*200*I374*H374)+((E374*F374/25000)*I374*H374))/3)/(((J374/5)*200*I374*H374)+((J374*S374/2.5)*I374*H374)+((E374*F374*J374*S374*I374*H374)/12500000))/3*1000,"")</f>
        <v/>
      </c>
    </row>
    <row r="375">
      <c r="B375" s="7" t="inlineStr">
        <is>
          <t xml:space="preserve">  ↳ VoidRayBeam</t>
        </is>
      </c>
      <c r="C375" s="7" t="inlineStr">
        <is>
          <t>Armament</t>
        </is>
      </c>
      <c r="L375" s="6" t="n">
        <v>12000</v>
      </c>
      <c r="M375" s="6" t="n">
        <v>6</v>
      </c>
      <c r="N375" s="6" t="n">
        <v>1</v>
      </c>
      <c r="O375" s="6" t="n"/>
      <c r="P375" s="6" t="n">
        <v>6474</v>
      </c>
      <c r="Q375" s="6" t="n">
        <v>1</v>
      </c>
      <c r="R375">
        <f>M375+IF(MAX(N375-1,0)&gt;0,IF(ISBLANK(O375),5*MAX(N375-1,0),IF(ISNUMBER(O375),O375*MAX(N375-1,0),SUM(IFERROR(VALUE(TEXTSPLIT(O375,",")),0)))),0)</f>
        <v/>
      </c>
      <c r="S375">
        <f>IFERROR(L375*MAX(N375,1)/R375*IF(ISBLANK(K374),1,K374),0)</f>
        <v/>
      </c>
      <c r="AB375" s="7" t="inlineStr">
        <is>
          <t>^LightMissile, ^SmallArms, ^Chaingun, ^FlakWeapon, ^TeslaWeapon, ^LaserWeapon</t>
        </is>
      </c>
    </row>
    <row r="376">
      <c r="A376" t="inlineStr">
        <is>
          <t>starcraft</t>
        </is>
      </c>
      <c r="B376" t="inlineStr">
        <is>
          <t>zerg_corruptor</t>
        </is>
      </c>
      <c r="C376" t="inlineStr">
        <is>
          <t>Corruptor</t>
        </is>
      </c>
      <c r="D376" s="6" t="inlineStr">
        <is>
          <t>Helicopter</t>
        </is>
      </c>
      <c r="E376" s="6" t="n">
        <v>100000</v>
      </c>
      <c r="F376" s="6" t="n">
        <v>100</v>
      </c>
      <c r="G376" t="inlineStr">
        <is>
          <t>Helicopter</t>
        </is>
      </c>
      <c r="H376" s="6" t="n">
        <v>1</v>
      </c>
      <c r="I376" s="6" t="n">
        <v>1</v>
      </c>
      <c r="J376" s="6" t="n">
        <v>2</v>
      </c>
      <c r="P376">
        <f>MAX(P377)</f>
        <v/>
      </c>
      <c r="S376">
        <f>S377</f>
        <v/>
      </c>
      <c r="T376">
        <f>(E376/100000+F376/100+(P376/1000)*J376/5+S376/200)*200*I376*H376</f>
        <v/>
      </c>
      <c r="U376">
        <f>((E376*F376/25000)+((P376/1000)*J376*S376/2.5))*I376*H376</f>
        <v/>
      </c>
      <c r="V376">
        <f>(E376*F376*(P376/1000)*J376*S376*I376*H376)/12500000</f>
        <v/>
      </c>
      <c r="W376">
        <f>(T376+U376+V376)/3</f>
        <v/>
      </c>
      <c r="X376" s="6" t="n">
        <v>1500</v>
      </c>
      <c r="Y376">
        <f>IFERROR(W376-X376,"")</f>
        <v/>
      </c>
      <c r="Z376">
        <f>IFERROR(ABS(Y376)/MAX(X376,1),"")</f>
        <v/>
      </c>
      <c r="AA376">
        <f>IFERROR((X376-(((E376/100000+F376/100+S376/200)*200*I376*H376)+((E376*F376/25000)*I376*H376))/3)/(((J376/5)*200*I376*H376)+((J376*S376/2.5)*I376*H376)+((E376*F376*J376*S376*I376*H376)/12500000))/3*1000,"")</f>
        <v/>
      </c>
    </row>
    <row r="377">
      <c r="B377" s="7" t="inlineStr">
        <is>
          <t xml:space="preserve">  ↳ CorruptorSpore</t>
        </is>
      </c>
      <c r="C377" s="7" t="inlineStr">
        <is>
          <t>Armament</t>
        </is>
      </c>
      <c r="L377" s="6" t="n">
        <v>10000</v>
      </c>
      <c r="M377" s="6" t="n">
        <v>50</v>
      </c>
      <c r="N377" s="6" t="n">
        <v>1</v>
      </c>
      <c r="O377" s="6" t="n"/>
      <c r="P377" s="6" t="n">
        <v>6250</v>
      </c>
      <c r="Q377" s="6" t="n">
        <v>1</v>
      </c>
      <c r="R377">
        <f>M377+IF(MAX(N377-1,0)&gt;0,IF(ISBLANK(O377),5*MAX(N377-1,0),IF(ISNUMBER(O377),O377*MAX(N377-1,0),SUM(IFERROR(VALUE(TEXTSPLIT(O377,",")),0)))),0)</f>
        <v/>
      </c>
      <c r="S377">
        <f>IFERROR(L377*MAX(N377,1)/R377*IF(ISBLANK(K376),1,K376),0)</f>
        <v/>
      </c>
      <c r="AB377" s="7" t="inlineStr">
        <is>
          <t>^Warhead_Chemical_Medium</t>
        </is>
      </c>
    </row>
    <row r="378">
      <c r="A378" t="inlineStr">
        <is>
          <t>starcraft</t>
        </is>
      </c>
      <c r="B378" t="inlineStr">
        <is>
          <t>zerg_devourer</t>
        </is>
      </c>
      <c r="C378" t="inlineStr">
        <is>
          <t>Devourer</t>
        </is>
      </c>
      <c r="D378" s="6" t="inlineStr">
        <is>
          <t>Helicopter</t>
        </is>
      </c>
      <c r="E378" s="6" t="n">
        <v>250000</v>
      </c>
      <c r="F378" s="6" t="n">
        <v>90</v>
      </c>
      <c r="G378" t="inlineStr">
        <is>
          <t>Helicopter</t>
        </is>
      </c>
      <c r="H378" s="6" t="n">
        <v>1</v>
      </c>
      <c r="I378" s="6" t="n">
        <v>1</v>
      </c>
      <c r="J378" s="6" t="n">
        <v>2</v>
      </c>
      <c r="P378">
        <f>MAX(P379)</f>
        <v/>
      </c>
      <c r="S378">
        <f>S379</f>
        <v/>
      </c>
      <c r="T378">
        <f>(E378/100000+F378/100+(P378/1000)*J378/5+S378/200)*200*I378*H378</f>
        <v/>
      </c>
      <c r="U378">
        <f>((E378*F378/25000)+((P378/1000)*J378*S378/2.5))*I378*H378</f>
        <v/>
      </c>
      <c r="V378">
        <f>(E378*F378*(P378/1000)*J378*S378*I378*H378)/12500000</f>
        <v/>
      </c>
      <c r="W378">
        <f>(T378+U378+V378)/3</f>
        <v/>
      </c>
      <c r="X378" s="6" t="n">
        <v>2000</v>
      </c>
      <c r="Y378">
        <f>IFERROR(W378-X378,"")</f>
        <v/>
      </c>
      <c r="Z378">
        <f>IFERROR(ABS(Y378)/MAX(X378,1),"")</f>
        <v/>
      </c>
      <c r="AA378">
        <f>IFERROR((X378-(((E378/100000+F378/100+S378/200)*200*I378*H378)+((E378*F378/25000)*I378*H378))/3)/(((J378/5)*200*I378*H378)+((J378*S378/2.5)*I378*H378)+((E378*F378*J378*S378*I378*H378)/12500000))/3*1000,"")</f>
        <v/>
      </c>
    </row>
    <row r="379">
      <c r="B379" s="7" t="inlineStr">
        <is>
          <t xml:space="preserve">  ↳ SCDevourerAA</t>
        </is>
      </c>
      <c r="C379" s="7" t="inlineStr">
        <is>
          <t>Armament</t>
        </is>
      </c>
      <c r="L379" s="6" t="n">
        <v>44000</v>
      </c>
      <c r="M379" s="6" t="n">
        <v>100</v>
      </c>
      <c r="N379" s="6" t="n">
        <v>1</v>
      </c>
      <c r="O379" s="6" t="n"/>
      <c r="P379" s="6" t="n">
        <v>4444</v>
      </c>
      <c r="Q379" s="6" t="n">
        <v>1</v>
      </c>
      <c r="R379">
        <f>M379+IF(MAX(N379-1,0)&gt;0,IF(ISBLANK(O379),5*MAX(N379-1,0),IF(ISNUMBER(O379),O379*MAX(N379-1,0),SUM(IFERROR(VALUE(TEXTSPLIT(O379,",")),0)))),0)</f>
        <v/>
      </c>
      <c r="S379">
        <f>IFERROR(L379*MAX(N379,1)/R379*IF(ISBLANK(K378),1,K378),0)</f>
        <v/>
      </c>
      <c r="AB379" s="7" t="inlineStr">
        <is>
          <t>TractorGLAnthraxPurple, MutaliskSpore</t>
        </is>
      </c>
    </row>
    <row r="380">
      <c r="A380" t="inlineStr">
        <is>
          <t>starcraft</t>
        </is>
      </c>
      <c r="B380" t="inlineStr">
        <is>
          <t>zerg_dreadshroud</t>
        </is>
      </c>
      <c r="C380" t="inlineStr">
        <is>
          <t>Dreadshroud</t>
        </is>
      </c>
      <c r="D380" s="6" t="inlineStr">
        <is>
          <t>Helicopter</t>
        </is>
      </c>
      <c r="E380" s="6" t="n">
        <v>60000</v>
      </c>
      <c r="F380" s="6" t="n">
        <v>120</v>
      </c>
      <c r="G380" t="inlineStr">
        <is>
          <t>Helicopter</t>
        </is>
      </c>
      <c r="H380" s="6" t="n">
        <v>1</v>
      </c>
      <c r="I380" s="6" t="n">
        <v>1</v>
      </c>
      <c r="J380" s="6" t="n">
        <v>2</v>
      </c>
      <c r="P380">
        <f>MAX(P381)</f>
        <v/>
      </c>
      <c r="S380">
        <f>S381</f>
        <v/>
      </c>
      <c r="T380">
        <f>(E380/100000+F380/100+(P380/1000)*J380/5+S380/200)*200*I380*H380</f>
        <v/>
      </c>
      <c r="U380">
        <f>((E380*F380/25000)+((P380/1000)*J380*S380/2.5))*I380*H380</f>
        <v/>
      </c>
      <c r="V380">
        <f>(E380*F380*(P380/1000)*J380*S380*I380*H380)/12500000</f>
        <v/>
      </c>
      <c r="W380">
        <f>(T380+U380+V380)/3</f>
        <v/>
      </c>
      <c r="X380" s="6" t="n">
        <v>1200</v>
      </c>
      <c r="Y380">
        <f>IFERROR(W380-X380,"")</f>
        <v/>
      </c>
      <c r="Z380">
        <f>IFERROR(ABS(Y380)/MAX(X380,1),"")</f>
        <v/>
      </c>
      <c r="AA380">
        <f>IFERROR((X380-(((E380/100000+F380/100+S380/200)*200*I380*H380)+((E380*F380/25000)*I380*H380))/3)/(((J380/5)*200*I380*H380)+((J380*S380/2.5)*I380*H380)+((E380*F380*J380*S380*I380*H380)/12500000))/3*1000,"")</f>
        <v/>
      </c>
    </row>
    <row r="381">
      <c r="B381" s="7" t="inlineStr">
        <is>
          <t xml:space="preserve">  ↳ DreadshroudSpore</t>
        </is>
      </c>
      <c r="C381" s="7" t="inlineStr">
        <is>
          <t>Armament</t>
        </is>
      </c>
      <c r="L381" s="6" t="n">
        <v>11000</v>
      </c>
      <c r="M381" s="6" t="n">
        <v>60</v>
      </c>
      <c r="N381" s="6" t="n">
        <v>1</v>
      </c>
      <c r="O381" s="6" t="n"/>
      <c r="P381" s="6" t="n">
        <v>5850</v>
      </c>
      <c r="Q381" s="6" t="n">
        <v>1</v>
      </c>
      <c r="R381">
        <f>M381+IF(MAX(N381-1,0)&gt;0,IF(ISBLANK(O381),5*MAX(N381-1,0),IF(ISNUMBER(O381),O381*MAX(N381-1,0),SUM(IFERROR(VALUE(TEXTSPLIT(O381,",")),0)))),0)</f>
        <v/>
      </c>
      <c r="S381">
        <f>IFERROR(L381*MAX(N381,1)/R381*IF(ISBLANK(K380),1,K380),0)</f>
        <v/>
      </c>
      <c r="AB381" s="7" t="inlineStr">
        <is>
          <t>^LightFlameWeapon, ^MediumMissile, ^ShrapnelWeapon, ^FlakWeapon, ^MediumChemicalWeapon, ^LaserWeapon</t>
        </is>
      </c>
    </row>
    <row r="382">
      <c r="A382" t="inlineStr">
        <is>
          <t>starcraft</t>
        </is>
      </c>
      <c r="B382" t="inlineStr">
        <is>
          <t>zerg_gorekraken</t>
        </is>
      </c>
      <c r="C382" t="inlineStr">
        <is>
          <t>Gorekraken</t>
        </is>
      </c>
      <c r="D382" s="6" t="inlineStr">
        <is>
          <t>Helicopter</t>
        </is>
      </c>
      <c r="E382" s="6" t="n">
        <v>350000</v>
      </c>
      <c r="F382" s="6" t="n">
        <v>70</v>
      </c>
      <c r="G382" t="inlineStr">
        <is>
          <t>Helicopter</t>
        </is>
      </c>
      <c r="H382" s="6" t="n">
        <v>1</v>
      </c>
      <c r="I382" s="6" t="n">
        <v>1</v>
      </c>
      <c r="J382" s="6" t="n">
        <v>1</v>
      </c>
      <c r="P382">
        <f>MAX(P383)</f>
        <v/>
      </c>
      <c r="S382">
        <f>S383</f>
        <v/>
      </c>
      <c r="T382">
        <f>(E382/100000+F382/100+(P382/1000)*J382/5+S382/200)*200*I382*H382</f>
        <v/>
      </c>
      <c r="U382">
        <f>((E382*F382/25000)+((P382/1000)*J382*S382/2.5))*I382*H382</f>
        <v/>
      </c>
      <c r="V382">
        <f>(E382*F382*(P382/1000)*J382*S382*I382*H382)/12500000</f>
        <v/>
      </c>
      <c r="W382">
        <f>(T382+U382+V382)/3</f>
        <v/>
      </c>
      <c r="X382" s="6" t="n">
        <v>2000</v>
      </c>
      <c r="Y382">
        <f>IFERROR(W382-X382,"")</f>
        <v/>
      </c>
      <c r="Z382">
        <f>IFERROR(ABS(Y382)/MAX(X382,1),"")</f>
        <v/>
      </c>
      <c r="AA382">
        <f>IFERROR((X382-(((E382/100000+F382/100+S382/200)*200*I382*H382)+((E382*F382/25000)*I382*H382))/3)/(((J382/5)*200*I382*H382)+((J382*S382/2.5)*I382*H382)+((E382*F382*J382*S382*I382*H382)/12500000))/3*1000,"")</f>
        <v/>
      </c>
    </row>
    <row r="383">
      <c r="B383" s="7" t="inlineStr">
        <is>
          <t xml:space="preserve">  ↳ GorekrakenClaw</t>
        </is>
      </c>
      <c r="C383" s="7" t="inlineStr">
        <is>
          <t>Armament</t>
        </is>
      </c>
      <c r="L383" s="6" t="n">
        <v>14000</v>
      </c>
      <c r="M383" s="6" t="n">
        <v>15</v>
      </c>
      <c r="N383" s="6" t="n">
        <v>1</v>
      </c>
      <c r="O383" s="6" t="n"/>
      <c r="P383" s="6" t="n">
        <v>1448</v>
      </c>
      <c r="Q383" s="6" t="n">
        <v>1</v>
      </c>
      <c r="R383">
        <f>M383+IF(MAX(N383-1,0)&gt;0,IF(ISBLANK(O383),5*MAX(N383-1,0),IF(ISNUMBER(O383),O383*MAX(N383-1,0),SUM(IFERROR(VALUE(TEXTSPLIT(O383,",")),0)))),0)</f>
        <v/>
      </c>
      <c r="S383">
        <f>IFERROR(L383*MAX(N383,1)/R383*IF(ISBLANK(K382),1,K382),0)</f>
        <v/>
      </c>
      <c r="AB383" s="7" t="inlineStr">
        <is>
          <t>^Warhead_Melee_Medium</t>
        </is>
      </c>
    </row>
    <row r="384">
      <c r="A384" t="inlineStr">
        <is>
          <t>starcraft</t>
        </is>
      </c>
      <c r="B384" t="inlineStr">
        <is>
          <t>zerg_guardian</t>
        </is>
      </c>
      <c r="C384" t="inlineStr">
        <is>
          <t>Guardian</t>
        </is>
      </c>
      <c r="D384" s="6" t="inlineStr">
        <is>
          <t>Helicopter</t>
        </is>
      </c>
      <c r="E384" s="6" t="n">
        <v>150000</v>
      </c>
      <c r="F384" s="6" t="n">
        <v>50</v>
      </c>
      <c r="G384" t="inlineStr">
        <is>
          <t>Helicopter</t>
        </is>
      </c>
      <c r="H384" s="6" t="n">
        <v>1</v>
      </c>
      <c r="I384" s="6" t="n">
        <v>1</v>
      </c>
      <c r="J384" s="6" t="n">
        <v>1.25</v>
      </c>
      <c r="P384">
        <f>MAX(P385)</f>
        <v/>
      </c>
      <c r="S384">
        <f>S385</f>
        <v/>
      </c>
      <c r="T384">
        <f>(E384/100000+F384/100+(P384/1000)*J384/5+S384/200)*200*I384*H384</f>
        <v/>
      </c>
      <c r="U384">
        <f>((E384*F384/25000)+((P384/1000)*J384*S384/2.5))*I384*H384</f>
        <v/>
      </c>
      <c r="V384">
        <f>(E384*F384*(P384/1000)*J384*S384*I384*H384)/12500000</f>
        <v/>
      </c>
      <c r="W384">
        <f>(T384+U384+V384)/3</f>
        <v/>
      </c>
      <c r="X384" s="6" t="n">
        <v>2200</v>
      </c>
      <c r="Y384">
        <f>IFERROR(W384-X384,"")</f>
        <v/>
      </c>
      <c r="Z384">
        <f>IFERROR(ABS(Y384)/MAX(X384,1),"")</f>
        <v/>
      </c>
      <c r="AA384">
        <f>IFERROR((X384-(((E384/100000+F384/100+S384/200)*200*I384*H384)+((E384*F384/25000)*I384*H384))/3)/(((J384/5)*200*I384*H384)+((J384*S384/2.5)*I384*H384)+((E384*F384*J384*S384*I384*H384)/12500000))/3*1000,"")</f>
        <v/>
      </c>
    </row>
    <row r="385">
      <c r="B385" s="7" t="inlineStr">
        <is>
          <t xml:space="preserve">  ↳ GuardianShoot</t>
        </is>
      </c>
      <c r="C385" s="7" t="inlineStr">
        <is>
          <t>Armament</t>
        </is>
      </c>
      <c r="L385" s="6" t="n">
        <v>24000</v>
      </c>
      <c r="M385" s="6" t="n">
        <v>60</v>
      </c>
      <c r="N385" s="6" t="n">
        <v>1</v>
      </c>
      <c r="O385" s="6" t="n"/>
      <c r="P385" s="6" t="n">
        <v>10000</v>
      </c>
      <c r="Q385" s="6" t="n">
        <v>1</v>
      </c>
      <c r="R385">
        <f>M385+IF(MAX(N385-1,0)&gt;0,IF(ISBLANK(O385),5*MAX(N385-1,0),IF(ISNUMBER(O385),O385*MAX(N385-1,0),SUM(IFERROR(VALUE(TEXTSPLIT(O385,",")),0)))),0)</f>
        <v/>
      </c>
      <c r="S385">
        <f>IFERROR(L385*MAX(N385,1)/R385*IF(ISBLANK(K384),1,K384),0)</f>
        <v/>
      </c>
      <c r="AB385" s="7" t="inlineStr">
        <is>
          <t>^Grenade, ^ShrapnelWeapon, ^HeavyBomb</t>
        </is>
      </c>
    </row>
    <row r="386">
      <c r="A386" t="inlineStr">
        <is>
          <t>starcraft</t>
        </is>
      </c>
      <c r="B386" t="inlineStr">
        <is>
          <t>zerg_mutalisk</t>
        </is>
      </c>
      <c r="C386" t="inlineStr">
        <is>
          <t>Mutalisk</t>
        </is>
      </c>
      <c r="D386" s="6" t="inlineStr">
        <is>
          <t>Helicopter</t>
        </is>
      </c>
      <c r="E386" s="6" t="n">
        <v>40000</v>
      </c>
      <c r="F386" s="6" t="n">
        <v>160</v>
      </c>
      <c r="G386" t="inlineStr">
        <is>
          <t>Helicopter</t>
        </is>
      </c>
      <c r="H386" s="6" t="n">
        <v>1</v>
      </c>
      <c r="I386" s="6" t="n">
        <v>1</v>
      </c>
      <c r="J386" s="6" t="n">
        <v>1.25</v>
      </c>
      <c r="K386" t="n">
        <v>0.0025</v>
      </c>
      <c r="P386">
        <f>MAX(P387)</f>
        <v/>
      </c>
      <c r="S386">
        <f>S387</f>
        <v/>
      </c>
      <c r="T386">
        <f>(E386/100000+F386/100+(P386/1000)*J386/5+S386/200)*200*I386*H386</f>
        <v/>
      </c>
      <c r="U386">
        <f>((E386*F386/25000)+((P386/1000)*J386*S386/2.5))*I386*H386</f>
        <v/>
      </c>
      <c r="V386">
        <f>(E386*F386*(P386/1000)*J386*S386*I386*H386)/12500000</f>
        <v/>
      </c>
      <c r="W386">
        <f>(T386+U386+V386)/3</f>
        <v/>
      </c>
      <c r="X386" s="6" t="n">
        <v>1000</v>
      </c>
      <c r="Y386">
        <f>IFERROR(W386-X386,"")</f>
        <v/>
      </c>
      <c r="Z386">
        <f>IFERROR(ABS(Y386)/MAX(X386,1),"")</f>
        <v/>
      </c>
      <c r="AA386">
        <f>IFERROR((X386-(((E386/100000+F386/100+S386/200)*200*I386*H386)+((E386*F386/25000)*I386*H386))/3)/(((J386/5)*200*I386*H386)+((J386*S386/2.5)*I386*H386)+((E386*F386*J386*S386*I386*H386)/12500000))/3*1000,"")</f>
        <v/>
      </c>
    </row>
    <row r="387">
      <c r="B387" s="7" t="inlineStr">
        <is>
          <t xml:space="preserve">  ↳ MutaliskSpore</t>
        </is>
      </c>
      <c r="C387" s="7" t="inlineStr">
        <is>
          <t>Armament</t>
        </is>
      </c>
      <c r="L387" s="6" t="n">
        <v>32000</v>
      </c>
      <c r="M387" s="6" t="n">
        <v>20</v>
      </c>
      <c r="N387" s="6" t="n">
        <v>1</v>
      </c>
      <c r="O387" s="6" t="n"/>
      <c r="P387" s="6" t="n">
        <v>4444</v>
      </c>
      <c r="Q387" s="6" t="n">
        <v>1</v>
      </c>
      <c r="R387">
        <f>M387+IF(MAX(N387-1,0)&gt;0,IF(ISBLANK(O387),5*MAX(N387-1,0),IF(ISNUMBER(O387),O387*MAX(N387-1,0),SUM(IFERROR(VALUE(TEXTSPLIT(O387,",")),0)))),0)</f>
        <v/>
      </c>
      <c r="S387">
        <f>IFERROR(L387*MAX(N387,1)/R387*IF(ISBLANK(K386),1,K386),0)</f>
        <v/>
      </c>
      <c r="AB387" s="7" t="inlineStr">
        <is>
          <t>^SwordWeapon, ^MediumChemicalWeapon, ^SmallArms, ^ArrowWeapon</t>
        </is>
      </c>
    </row>
    <row r="388">
      <c r="A388" t="inlineStr">
        <is>
          <t>starcraft</t>
        </is>
      </c>
      <c r="B388" t="inlineStr">
        <is>
          <t>zerg_overlord</t>
        </is>
      </c>
      <c r="C388" t="inlineStr">
        <is>
          <t>Zerg Overlord</t>
        </is>
      </c>
      <c r="D388" s="6" t="inlineStr">
        <is>
          <t>Helicopter</t>
        </is>
      </c>
      <c r="E388" s="6" t="n">
        <v>25000</v>
      </c>
      <c r="F388" s="6" t="n">
        <v>30</v>
      </c>
      <c r="G388" t="inlineStr">
        <is>
          <t>Helicopter</t>
        </is>
      </c>
      <c r="H388" s="6" t="n">
        <v>1</v>
      </c>
      <c r="I388" s="6" t="n">
        <v>1</v>
      </c>
      <c r="J388" s="6" t="n">
        <v>1</v>
      </c>
      <c r="X388" s="6" t="n">
        <v>500</v>
      </c>
    </row>
    <row r="389">
      <c r="A389" t="inlineStr">
        <is>
          <t>starcraft</t>
        </is>
      </c>
      <c r="B389" t="inlineStr">
        <is>
          <t>zerg_queen</t>
        </is>
      </c>
      <c r="C389" t="inlineStr">
        <is>
          <t>Queen</t>
        </is>
      </c>
      <c r="D389" s="6" t="inlineStr">
        <is>
          <t>Helicopter</t>
        </is>
      </c>
      <c r="E389" s="6" t="n">
        <v>125000</v>
      </c>
      <c r="F389" s="6" t="n">
        <v>100</v>
      </c>
      <c r="G389" t="inlineStr">
        <is>
          <t>Helicopter</t>
        </is>
      </c>
      <c r="H389" s="6" t="n">
        <v>1</v>
      </c>
      <c r="I389" s="6" t="n">
        <v>1</v>
      </c>
      <c r="J389" s="6" t="n">
        <v>1.25</v>
      </c>
      <c r="P389">
        <f>MAX(P390)</f>
        <v/>
      </c>
      <c r="S389">
        <f>S390</f>
        <v/>
      </c>
      <c r="T389">
        <f>(E389/100000+F389/100+(P389/1000)*J389/5+S389/200)*200*I389*H389</f>
        <v/>
      </c>
      <c r="U389">
        <f>((E389*F389/25000)+((P389/1000)*J389*S389/2.5))*I389*H389</f>
        <v/>
      </c>
      <c r="V389">
        <f>(E389*F389*(P389/1000)*J389*S389*I389*H389)/12500000</f>
        <v/>
      </c>
      <c r="W389">
        <f>(T389+U389+V389)/3</f>
        <v/>
      </c>
      <c r="X389" s="6" t="n">
        <v>1200</v>
      </c>
      <c r="Y389">
        <f>IFERROR(W389-X389,"")</f>
        <v/>
      </c>
      <c r="Z389">
        <f>IFERROR(ABS(Y389)/MAX(X389,1),"")</f>
        <v/>
      </c>
      <c r="AA389">
        <f>IFERROR((X389-(((E389/100000+F389/100+S389/200)*200*I389*H389)+((E389*F389/25000)*I389*H389))/3)/(((J389/5)*200*I389*H389)+((J389*S389/2.5)*I389*H389)+((E389*F389*J389*S389*I389*H389)/12500000))/3*1000,"")</f>
        <v/>
      </c>
    </row>
    <row r="390">
      <c r="B390" s="7" t="inlineStr">
        <is>
          <t xml:space="preserve">  ↳ QueenSpine</t>
        </is>
      </c>
      <c r="C390" s="7" t="inlineStr">
        <is>
          <t>Armament@Spines</t>
        </is>
      </c>
      <c r="L390" s="6" t="n">
        <v>20000</v>
      </c>
      <c r="M390" s="6" t="n">
        <v>78</v>
      </c>
      <c r="N390" s="6" t="n">
        <v>1</v>
      </c>
      <c r="O390" s="6" t="n"/>
      <c r="P390" s="6" t="n">
        <v>5480</v>
      </c>
      <c r="Q390" s="6" t="n">
        <v>1</v>
      </c>
      <c r="R390">
        <f>M390+IF(MAX(N390-1,0)&gt;0,IF(ISBLANK(O390),5*MAX(N390-1,0),IF(ISNUMBER(O390),O390*MAX(N390-1,0),SUM(IFERROR(VALUE(TEXTSPLIT(O390,",")),0)))),0)</f>
        <v/>
      </c>
      <c r="S390">
        <f>IFERROR(L390*MAX(N390,1)/R390*IF(ISBLANK(K389),1,K389),0)</f>
        <v/>
      </c>
      <c r="AB390" s="7" t="inlineStr">
        <is>
          <t>^MediumChemicalWeapon, ^ArrowWeapon</t>
        </is>
      </c>
    </row>
    <row r="391">
      <c r="A391" t="inlineStr">
        <is>
          <t>starcraft</t>
        </is>
      </c>
      <c r="B391" t="inlineStr">
        <is>
          <t>terran_raven</t>
        </is>
      </c>
      <c r="C391" t="inlineStr">
        <is>
          <t>Raven</t>
        </is>
      </c>
      <c r="D391" s="6" t="inlineStr">
        <is>
          <t>Helicopter</t>
        </is>
      </c>
      <c r="E391" s="6" t="n">
        <v>100000</v>
      </c>
      <c r="F391" s="6" t="n">
        <v>100</v>
      </c>
      <c r="G391" t="inlineStr">
        <is>
          <t>Helicopter</t>
        </is>
      </c>
      <c r="H391" s="6" t="n">
        <v>1</v>
      </c>
      <c r="I391" s="6" t="n">
        <v>1</v>
      </c>
      <c r="J391" s="6" t="n">
        <v>1</v>
      </c>
      <c r="P391">
        <f>MAX(P392)</f>
        <v/>
      </c>
      <c r="S391">
        <f>S392</f>
        <v/>
      </c>
      <c r="T391">
        <f>(E391/100000+F391/100+(P391/1000)*J391/5+S391/200)*200*I391*H391</f>
        <v/>
      </c>
      <c r="U391">
        <f>((E391*F391/25000)+((P391/1000)*J391*S391/2.5))*I391*H391</f>
        <v/>
      </c>
      <c r="V391">
        <f>(E391*F391*(P391/1000)*J391*S391*I391*H391)/12500000</f>
        <v/>
      </c>
      <c r="W391">
        <f>(T391+U391+V391)/3</f>
        <v/>
      </c>
      <c r="X391" s="6" t="n">
        <v>2000</v>
      </c>
      <c r="Y391">
        <f>IFERROR(W391-X391,"")</f>
        <v/>
      </c>
      <c r="Z391">
        <f>IFERROR(ABS(Y391)/MAX(X391,1),"")</f>
        <v/>
      </c>
      <c r="AA391">
        <f>IFERROR((X391-(((E391/100000+F391/100+S391/200)*200*I391*H391)+((E391*F391/25000)*I391*H391))/3)/(((J391/5)*200*I391*H391)+((J391*S391/2.5)*I391*H391)+((E391*F391*J391*S391*I391*H391)/12500000))/3*1000,"")</f>
        <v/>
      </c>
    </row>
    <row r="392">
      <c r="B392" s="7" t="inlineStr">
        <is>
          <t xml:space="preserve">  ↳ RavenRepair</t>
        </is>
      </c>
      <c r="C392" s="7" t="inlineStr">
        <is>
          <t>Armament@repair</t>
        </is>
      </c>
      <c r="L392" s="6" t="n">
        <v>-3000</v>
      </c>
      <c r="M392" s="6" t="n">
        <v>5</v>
      </c>
      <c r="N392" s="6" t="n">
        <v>10</v>
      </c>
      <c r="O392" s="6" t="n">
        <v>1</v>
      </c>
      <c r="P392" s="6" t="n">
        <v>5000</v>
      </c>
      <c r="Q392" s="6" t="n">
        <v>1</v>
      </c>
      <c r="R392">
        <f>M392+IF(MAX(N392-1,0)&gt;0,IF(ISBLANK(O392),5*MAX(N392-1,0),IF(ISNUMBER(O392),O392*MAX(N392-1,0),SUM(IFERROR(VALUE(TEXTSPLIT(O392,",")),0)))),0)</f>
        <v/>
      </c>
      <c r="S392">
        <f>IFERROR(L392*MAX(N392,1)/R392*IF(ISBLANK(K391),1,K391),0)</f>
        <v/>
      </c>
      <c r="AB392" s="7" t="inlineStr">
        <is>
          <t>^RepairWeapon</t>
        </is>
      </c>
    </row>
    <row r="393">
      <c r="A393" t="inlineStr">
        <is>
          <t>starcraft</t>
        </is>
      </c>
      <c r="B393" t="inlineStr">
        <is>
          <t>terran_sciencevessel</t>
        </is>
      </c>
      <c r="C393" t="inlineStr">
        <is>
          <t>Science Vessel</t>
        </is>
      </c>
      <c r="D393" s="6" t="inlineStr">
        <is>
          <t>Helicopter</t>
        </is>
      </c>
      <c r="E393" s="6" t="n">
        <v>200000</v>
      </c>
      <c r="F393" s="6" t="n">
        <v>66</v>
      </c>
      <c r="G393" t="inlineStr">
        <is>
          <t>Helicopter</t>
        </is>
      </c>
      <c r="H393" s="6" t="n">
        <v>0.6226</v>
      </c>
      <c r="I393" s="6" t="n">
        <v>1</v>
      </c>
      <c r="J393" s="6" t="n">
        <v>1</v>
      </c>
      <c r="P393">
        <f>MAX(P396)</f>
        <v/>
      </c>
      <c r="S393">
        <f>S396</f>
        <v/>
      </c>
      <c r="T393">
        <f>(E393/100000+F393/100+(P393/1000)*J393/5+S393/200)*200*I393*H393</f>
        <v/>
      </c>
      <c r="U393">
        <f>((E393*F393/25000)+((P393/1000)*J393*S393/2.5))*I393*H393</f>
        <v/>
      </c>
      <c r="V393">
        <f>(E393*F393*(P393/1000)*J393*S393*I393*H393)/12500000</f>
        <v/>
      </c>
      <c r="W393">
        <f>(T393+U393+V393)/3</f>
        <v/>
      </c>
      <c r="X393" s="6" t="n">
        <v>2200</v>
      </c>
      <c r="Y393">
        <f>IFERROR(W393-X393,"")</f>
        <v/>
      </c>
      <c r="Z393">
        <f>IFERROR(ABS(Y393)/MAX(X393,1),"")</f>
        <v/>
      </c>
      <c r="AA393">
        <f>IFERROR((X393-(((E393/100000+F393/100+S393/200)*200*I393*H393)+((E393*F393/25000)*I393*H393))/3)/(((J393/5)*200*I393*H393)+((J393*S393/2.5)*I393*H393)+((E393*F393*J393*S393*I393*H393)/12500000))/3*1000,"")</f>
        <v/>
      </c>
    </row>
    <row r="394">
      <c r="B394" s="7" t="inlineStr">
        <is>
          <t xml:space="preserve">  ↳ ScienceVesselDefenseMatrix</t>
        </is>
      </c>
      <c r="C394" s="7" t="inlineStr">
        <is>
          <t>Armament@IronCourtain</t>
        </is>
      </c>
      <c r="M394" s="6" t="n">
        <v>260</v>
      </c>
      <c r="N394" s="6" t="n">
        <v>1</v>
      </c>
      <c r="O394" s="6" t="n"/>
      <c r="P394" s="6" t="n">
        <v>7500</v>
      </c>
      <c r="Q394" s="6" t="n">
        <v>1</v>
      </c>
      <c r="R394">
        <f>M394+IF(MAX(N394-1,0)&gt;0,IF(ISBLANK(O394),5*MAX(N394-1,0),IF(ISNUMBER(O394),O394*MAX(N394-1,0),SUM(IFERROR(VALUE(TEXTSPLIT(O394,",")),0)))),0)</f>
        <v/>
      </c>
      <c r="S394">
        <f>IFERROR(L394*MAX(N394,1)/R394*IF(ISBLANK(K393),1,K393),0)</f>
        <v/>
      </c>
      <c r="AB394" s="7" t="inlineStr"/>
    </row>
    <row r="395">
      <c r="B395" s="7" t="inlineStr">
        <is>
          <t xml:space="preserve">  ↳ ScienceVesselIrradiate</t>
        </is>
      </c>
      <c r="C395" s="7" t="inlineStr">
        <is>
          <t>Armament@Irradiate</t>
        </is>
      </c>
      <c r="M395" s="6" t="n">
        <v>110</v>
      </c>
      <c r="N395" s="6" t="n">
        <v>1</v>
      </c>
      <c r="O395" s="6" t="n"/>
      <c r="P395" s="6" t="n">
        <v>7500</v>
      </c>
      <c r="Q395" s="6" t="n">
        <v>1</v>
      </c>
      <c r="R395">
        <f>M395+IF(MAX(N395-1,0)&gt;0,IF(ISBLANK(O395),5*MAX(N395-1,0),IF(ISNUMBER(O395),O395*MAX(N395-1,0),SUM(IFERROR(VALUE(TEXTSPLIT(O395,",")),0)))),0)</f>
        <v/>
      </c>
      <c r="S395">
        <f>IFERROR(L395*MAX(N395,1)/R395*IF(ISBLANK(K393),1,K393),0)</f>
        <v/>
      </c>
      <c r="AB395" s="7" t="inlineStr"/>
    </row>
    <row r="396">
      <c r="B396" s="7" t="inlineStr">
        <is>
          <t xml:space="preserve">  ↳ ScienceVessel_EMP</t>
        </is>
      </c>
      <c r="C396" s="7" t="inlineStr">
        <is>
          <t>Armament@EMP</t>
        </is>
      </c>
      <c r="L396" s="6" t="n">
        <v>100000</v>
      </c>
      <c r="M396" s="6" t="n">
        <v>360</v>
      </c>
      <c r="N396" s="6" t="n">
        <v>1</v>
      </c>
      <c r="O396" s="6" t="n"/>
      <c r="P396" s="6" t="n">
        <v>7500</v>
      </c>
      <c r="Q396" s="6" t="n">
        <v>1</v>
      </c>
      <c r="R396">
        <f>M396+IF(MAX(N396-1,0)&gt;0,IF(ISBLANK(O396),5*MAX(N396-1,0),IF(ISNUMBER(O396),O396*MAX(N396-1,0),SUM(IFERROR(VALUE(TEXTSPLIT(O396,",")),0)))),0)</f>
        <v/>
      </c>
      <c r="S396">
        <f>IFERROR(L396*MAX(N396,1)/R396*IF(ISBLANK(K393),1,K393),0)</f>
        <v/>
      </c>
      <c r="AB396" s="7" t="inlineStr">
        <is>
          <t>^Warhead_Tesla_Super</t>
        </is>
      </c>
    </row>
    <row r="397">
      <c r="A397" t="inlineStr">
        <is>
          <t>starcraft</t>
        </is>
      </c>
      <c r="B397" t="inlineStr">
        <is>
          <t>terran_sundog</t>
        </is>
      </c>
      <c r="C397" t="inlineStr">
        <is>
          <t>Sundog</t>
        </is>
      </c>
      <c r="D397" s="6" t="inlineStr">
        <is>
          <t>Helicopter</t>
        </is>
      </c>
      <c r="E397" s="6" t="n">
        <v>160000</v>
      </c>
      <c r="F397" s="6" t="n">
        <v>120</v>
      </c>
      <c r="G397" t="inlineStr">
        <is>
          <t>Helicopter</t>
        </is>
      </c>
      <c r="H397" s="6" t="n">
        <v>1</v>
      </c>
      <c r="I397" s="6" t="n">
        <v>1</v>
      </c>
      <c r="J397" s="6" t="n">
        <v>1</v>
      </c>
      <c r="K397" t="n">
        <v>0.005</v>
      </c>
      <c r="P397">
        <f>MAX(P398,P399,P400)</f>
        <v/>
      </c>
      <c r="S397">
        <f>S398+S399+S400</f>
        <v/>
      </c>
      <c r="T397">
        <f>(E397/100000+F397/100+(P397/1000)*J397/5+S397/200)*200*I397*H397</f>
        <v/>
      </c>
      <c r="U397">
        <f>((E397*F397/25000)+((P397/1000)*J397*S397/2.5))*I397*H397</f>
        <v/>
      </c>
      <c r="V397">
        <f>(E397*F397*(P397/1000)*J397*S397*I397*H397)/12500000</f>
        <v/>
      </c>
      <c r="W397">
        <f>(T397+U397+V397)/3</f>
        <v/>
      </c>
      <c r="X397" s="6" t="n">
        <v>2700</v>
      </c>
      <c r="Y397">
        <f>IFERROR(W397-X397,"")</f>
        <v/>
      </c>
      <c r="Z397">
        <f>IFERROR(ABS(Y397)/MAX(X397,1),"")</f>
        <v/>
      </c>
      <c r="AA397">
        <f>IFERROR((X397-(((E397/100000+F397/100+S397/200)*200*I397*H397)+((E397*F397/25000)*I397*H397))/3)/(((J397/5)*200*I397*H397)+((J397*S397/2.5)*I397*H397)+((E397*F397*J397*S397*I397*H397)/12500000))/3*1000,"")</f>
        <v/>
      </c>
    </row>
    <row r="398">
      <c r="B398" s="7" t="inlineStr">
        <is>
          <t xml:space="preserve">  ↳ SunDogLaser</t>
        </is>
      </c>
      <c r="C398" s="7" t="inlineStr">
        <is>
          <t>Armament@PRIMARY</t>
        </is>
      </c>
      <c r="L398" s="6" t="n">
        <v>16000</v>
      </c>
      <c r="M398" s="6" t="n">
        <v>39</v>
      </c>
      <c r="N398" s="6" t="n">
        <v>1</v>
      </c>
      <c r="O398" s="6" t="n"/>
      <c r="P398" s="6" t="n">
        <v>6060</v>
      </c>
      <c r="Q398" s="6" t="n">
        <v>1.25</v>
      </c>
      <c r="R398">
        <f>M398+IF(MAX(N398-1,0)&gt;0,IF(ISBLANK(O398),5*MAX(N398-1,0),IF(ISNUMBER(O398),O398*MAX(N398-1,0),SUM(IFERROR(VALUE(TEXTSPLIT(O398,",")),0)))),0)</f>
        <v/>
      </c>
      <c r="S398">
        <f>IFERROR(L398*MAX(N398,1)/R398*IF(ISBLANK(K397),1,K397),0)</f>
        <v/>
      </c>
      <c r="AB398" s="7" t="inlineStr">
        <is>
          <t>^Warhead_Laser_Heavy</t>
        </is>
      </c>
    </row>
    <row r="399">
      <c r="B399" s="7" t="inlineStr">
        <is>
          <t xml:space="preserve">  ↳ SunDogRockets</t>
        </is>
      </c>
      <c r="C399" s="7" t="inlineStr">
        <is>
          <t>Armament@SECONDARY1</t>
        </is>
      </c>
      <c r="L399" s="6" t="n">
        <v>10000</v>
      </c>
      <c r="M399" s="6" t="n">
        <v>39</v>
      </c>
      <c r="N399" s="6" t="n">
        <v>1</v>
      </c>
      <c r="O399" s="6" t="n"/>
      <c r="P399" s="6" t="n">
        <v>6060</v>
      </c>
      <c r="Q399" s="6" t="n">
        <v>1.25</v>
      </c>
      <c r="R399">
        <f>M399+IF(MAX(N399-1,0)&gt;0,IF(ISBLANK(O399),5*MAX(N399-1,0),IF(ISNUMBER(O399),O399*MAX(N399-1,0),SUM(IFERROR(VALUE(TEXTSPLIT(O399,",")),0)))),0)</f>
        <v/>
      </c>
      <c r="S399">
        <f>IFERROR(L399*MAX(N399,1)/R399*IF(ISBLANK(K397),1,K397),0)</f>
        <v/>
      </c>
      <c r="AB399" s="7" t="inlineStr">
        <is>
          <t>^Warhead_MissileAP_Heavy</t>
        </is>
      </c>
    </row>
    <row r="400">
      <c r="B400" s="7" t="inlineStr">
        <is>
          <t xml:space="preserve">  ↳ SunDogRockets</t>
        </is>
      </c>
      <c r="C400" s="7" t="inlineStr">
        <is>
          <t>Armament@SECONDARY2</t>
        </is>
      </c>
      <c r="L400" s="6" t="n">
        <v>10000</v>
      </c>
      <c r="M400" s="6" t="n">
        <v>39</v>
      </c>
      <c r="N400" s="6" t="n">
        <v>1</v>
      </c>
      <c r="O400" s="6" t="n"/>
      <c r="P400" s="6" t="n">
        <v>6060</v>
      </c>
      <c r="Q400" s="6" t="n">
        <v>1.25</v>
      </c>
      <c r="R400">
        <f>M400+IF(MAX(N400-1,0)&gt;0,IF(ISBLANK(O400),5*MAX(N400-1,0),IF(ISNUMBER(O400),O400*MAX(N400-1,0),SUM(IFERROR(VALUE(TEXTSPLIT(O400,",")),0)))),0)</f>
        <v/>
      </c>
      <c r="S400">
        <f>IFERROR(L400*MAX(N400,1)/R400*IF(ISBLANK(K397),1,K397),0)</f>
        <v/>
      </c>
      <c r="AB400" s="7" t="inlineStr">
        <is>
          <t>^Warhead_MissileAP_Heavy</t>
        </is>
      </c>
    </row>
    <row r="401">
      <c r="A401" t="inlineStr">
        <is>
          <t>starcraft</t>
        </is>
      </c>
      <c r="B401" t="inlineStr">
        <is>
          <t>terran_valkyrie</t>
        </is>
      </c>
      <c r="C401" t="inlineStr">
        <is>
          <t>Valkyrie</t>
        </is>
      </c>
      <c r="D401" s="6" t="inlineStr">
        <is>
          <t>Helicopter</t>
        </is>
      </c>
      <c r="E401" s="6" t="n">
        <v>120000</v>
      </c>
      <c r="F401" s="6" t="n">
        <v>140</v>
      </c>
      <c r="G401" t="inlineStr">
        <is>
          <t>Helicopter</t>
        </is>
      </c>
      <c r="H401" s="6" t="n">
        <v>1</v>
      </c>
      <c r="I401" s="6" t="n">
        <v>0.5</v>
      </c>
      <c r="J401" s="6" t="n">
        <v>1</v>
      </c>
      <c r="K401" t="n">
        <v>0.005</v>
      </c>
      <c r="P401">
        <f>MAX(P402,P403)</f>
        <v/>
      </c>
      <c r="S401">
        <f>S402+S403</f>
        <v/>
      </c>
      <c r="T401">
        <f>(E401/100000+F401/100+(P401/1000)*J401/5+S401/200)*200*I401*H401</f>
        <v/>
      </c>
      <c r="U401">
        <f>((E401*F401/25000)+((P401/1000)*J401*S401/2.5))*I401*H401</f>
        <v/>
      </c>
      <c r="V401">
        <f>(E401*F401*(P401/1000)*J401*S401*I401*H401)/12500000</f>
        <v/>
      </c>
      <c r="W401">
        <f>(T401+U401+V401)/3</f>
        <v/>
      </c>
      <c r="X401" s="6" t="n">
        <v>2000</v>
      </c>
      <c r="Y401">
        <f>IFERROR(W401-X401,"")</f>
        <v/>
      </c>
      <c r="Z401">
        <f>IFERROR(ABS(Y401)/MAX(X401,1),"")</f>
        <v/>
      </c>
      <c r="AA401">
        <f>IFERROR((X401-(((E401/100000+F401/100+S401/200)*200*I401*H401)+((E401*F401/25000)*I401*H401))/3)/(((J401/5)*200*I401*H401)+((J401*S401/2.5)*I401*H401)+((E401*F401*J401*S401*I401*H401)/12500000))/3*1000,"")</f>
        <v/>
      </c>
    </row>
    <row r="402">
      <c r="B402" s="7" t="inlineStr">
        <is>
          <t xml:space="preserve">  ↳ ValkyrieRockets</t>
        </is>
      </c>
      <c r="C402" s="7" t="inlineStr">
        <is>
          <t>Armament@SECONDARY1</t>
        </is>
      </c>
      <c r="L402" s="6" t="n">
        <v>8000</v>
      </c>
      <c r="M402" s="6" t="n">
        <v>67</v>
      </c>
      <c r="N402" s="6" t="n">
        <v>8</v>
      </c>
      <c r="O402" s="6" t="n">
        <v>4</v>
      </c>
      <c r="P402" s="6" t="n">
        <v>7380</v>
      </c>
      <c r="Q402" s="6" t="n">
        <v>1.25</v>
      </c>
      <c r="R402">
        <f>M402+IF(MAX(N402-1,0)&gt;0,IF(ISBLANK(O402),5*MAX(N402-1,0),IF(ISNUMBER(O402),O402*MAX(N402-1,0),SUM(IFERROR(VALUE(TEXTSPLIT(O402,",")),0)))),0)</f>
        <v/>
      </c>
      <c r="S402">
        <f>IFERROR(L402*MAX(N402,1)/R402*IF(ISBLANK(K401),1,K401),0)</f>
        <v/>
      </c>
      <c r="AB402" s="7" t="inlineStr">
        <is>
          <t>^Warhead_MissileAP_Heavy</t>
        </is>
      </c>
    </row>
    <row r="403">
      <c r="B403" s="7" t="inlineStr">
        <is>
          <t xml:space="preserve">  ↳ ValkyrieRockets</t>
        </is>
      </c>
      <c r="C403" s="7" t="inlineStr">
        <is>
          <t>Armament@SECONDARY2</t>
        </is>
      </c>
      <c r="L403" s="6" t="n">
        <v>8000</v>
      </c>
      <c r="M403" s="6" t="n">
        <v>67</v>
      </c>
      <c r="N403" s="6" t="n">
        <v>8</v>
      </c>
      <c r="O403" s="6" t="n">
        <v>4</v>
      </c>
      <c r="P403" s="6" t="n">
        <v>7380</v>
      </c>
      <c r="Q403" s="6" t="n">
        <v>1.25</v>
      </c>
      <c r="R403">
        <f>M403+IF(MAX(N403-1,0)&gt;0,IF(ISBLANK(O403),5*MAX(N403-1,0),IF(ISNUMBER(O403),O403*MAX(N403-1,0),SUM(IFERROR(VALUE(TEXTSPLIT(O403,",")),0)))),0)</f>
        <v/>
      </c>
      <c r="S403">
        <f>IFERROR(L403*MAX(N403,1)/R403*IF(ISBLANK(K401),1,K401),0)</f>
        <v/>
      </c>
      <c r="AB403" s="7" t="inlineStr">
        <is>
          <t>^Warhead_MissileAP_Heavy</t>
        </is>
      </c>
    </row>
    <row r="404">
      <c r="A404" t="inlineStr">
        <is>
          <t>starcraft</t>
        </is>
      </c>
      <c r="B404" t="inlineStr">
        <is>
          <t>terran_wraith</t>
        </is>
      </c>
      <c r="C404" t="inlineStr">
        <is>
          <t>Wraith</t>
        </is>
      </c>
      <c r="D404" s="6" t="inlineStr">
        <is>
          <t>Helicopter</t>
        </is>
      </c>
      <c r="E404" s="6" t="n">
        <v>50000</v>
      </c>
      <c r="F404" s="6" t="n">
        <v>120</v>
      </c>
      <c r="G404" t="inlineStr">
        <is>
          <t>Helicopter</t>
        </is>
      </c>
      <c r="H404" s="6" t="n">
        <v>1</v>
      </c>
      <c r="I404" s="6" t="n">
        <v>1</v>
      </c>
      <c r="J404" s="6" t="n">
        <v>1</v>
      </c>
      <c r="P404">
        <f>MAX(P405,P406,P407)</f>
        <v/>
      </c>
      <c r="S404">
        <f>S405+S406+S407</f>
        <v/>
      </c>
      <c r="T404">
        <f>(E404/100000+F404/100+(P404/1000)*J404/5+S404/200)*200*I404*H404</f>
        <v/>
      </c>
      <c r="U404">
        <f>((E404*F404/25000)+((P404/1000)*J404*S404/2.5))*I404*H404</f>
        <v/>
      </c>
      <c r="V404">
        <f>(E404*F404*(P404/1000)*J404*S404*I404*H404)/12500000</f>
        <v/>
      </c>
      <c r="W404">
        <f>(T404+U404+V404)/3</f>
        <v/>
      </c>
      <c r="X404" s="6" t="n">
        <v>1400</v>
      </c>
      <c r="Y404">
        <f>IFERROR(W404-X404,"")</f>
        <v/>
      </c>
      <c r="Z404">
        <f>IFERROR(ABS(Y404)/MAX(X404,1),"")</f>
        <v/>
      </c>
      <c r="AA404">
        <f>IFERROR((X404-(((E404/100000+F404/100+S404/200)*200*I404*H404)+((E404*F404/25000)*I404*H404))/3)/(((J404/5)*200*I404*H404)+((J404*S404/2.5)*I404*H404)+((E404*F404*J404*S404*I404*H404)/12500000))/3*1000,"")</f>
        <v/>
      </c>
    </row>
    <row r="405">
      <c r="B405" s="7" t="inlineStr">
        <is>
          <t xml:space="preserve">  ↳ WraithLaser</t>
        </is>
      </c>
      <c r="C405" s="7" t="inlineStr">
        <is>
          <t>Armament@PRIMARY</t>
        </is>
      </c>
      <c r="L405" s="6" t="n">
        <v>16000</v>
      </c>
      <c r="M405" s="6" t="n">
        <v>32</v>
      </c>
      <c r="N405" s="6" t="n">
        <v>1</v>
      </c>
      <c r="O405" s="6" t="n"/>
      <c r="P405" s="6" t="n">
        <v>5076</v>
      </c>
      <c r="Q405" s="6" t="n">
        <v>1.25</v>
      </c>
      <c r="R405">
        <f>M405+IF(MAX(N405-1,0)&gt;0,IF(ISBLANK(O405),5*MAX(N405-1,0),IF(ISNUMBER(O405),O405*MAX(N405-1,0),SUM(IFERROR(VALUE(TEXTSPLIT(O405,",")),0)))),0)</f>
        <v/>
      </c>
      <c r="S405">
        <f>IFERROR(L405*MAX(N405,1)/R405*IF(ISBLANK(K404),1,K404),0)</f>
        <v/>
      </c>
      <c r="AB405" s="7" t="inlineStr">
        <is>
          <t>^Warhead_Laser_Heavy</t>
        </is>
      </c>
    </row>
    <row r="406">
      <c r="B406" s="7" t="inlineStr">
        <is>
          <t xml:space="preserve">  ↳ WraithRockets_AA</t>
        </is>
      </c>
      <c r="C406" s="7" t="inlineStr">
        <is>
          <t>Armament@SECONDARY1</t>
        </is>
      </c>
      <c r="L406" s="6" t="n">
        <v>10000</v>
      </c>
      <c r="M406" s="6" t="n">
        <v>24</v>
      </c>
      <c r="N406" s="6" t="n">
        <v>1</v>
      </c>
      <c r="O406" s="6" t="n"/>
      <c r="P406" s="6" t="n">
        <v>5076</v>
      </c>
      <c r="Q406" s="6" t="n">
        <v>1.25</v>
      </c>
      <c r="R406">
        <f>M406+IF(MAX(N406-1,0)&gt;0,IF(ISBLANK(O406),5*MAX(N406-1,0),IF(ISNUMBER(O406),O406*MAX(N406-1,0),SUM(IFERROR(VALUE(TEXTSPLIT(O406,",")),0)))),0)</f>
        <v/>
      </c>
      <c r="S406">
        <f>IFERROR(L406*MAX(N406,1)/R406*IF(ISBLANK(K404),1,K404),0)</f>
        <v/>
      </c>
      <c r="AB406" s="7" t="inlineStr">
        <is>
          <t>^Warhead_MissileAA_Heavy</t>
        </is>
      </c>
    </row>
    <row r="407">
      <c r="B407" s="7" t="inlineStr">
        <is>
          <t xml:space="preserve">  ↳ WraithRockets_AA</t>
        </is>
      </c>
      <c r="C407" s="7" t="inlineStr">
        <is>
          <t>Armament@SECONDARY2</t>
        </is>
      </c>
      <c r="L407" s="6" t="n">
        <v>10000</v>
      </c>
      <c r="M407" s="6" t="n">
        <v>24</v>
      </c>
      <c r="N407" s="6" t="n">
        <v>1</v>
      </c>
      <c r="O407" s="6" t="n"/>
      <c r="P407" s="6" t="n">
        <v>5076</v>
      </c>
      <c r="Q407" s="6" t="n">
        <v>1.25</v>
      </c>
      <c r="R407">
        <f>M407+IF(MAX(N407-1,0)&gt;0,IF(ISBLANK(O407),5*MAX(N407-1,0),IF(ISNUMBER(O407),O407*MAX(N407-1,0),SUM(IFERROR(VALUE(TEXTSPLIT(O407,",")),0)))),0)</f>
        <v/>
      </c>
      <c r="S407">
        <f>IFERROR(L407*MAX(N407,1)/R407*IF(ISBLANK(K404),1,K404),0)</f>
        <v/>
      </c>
      <c r="AB407" s="7" t="inlineStr">
        <is>
          <t>^Warhead_MissileAA_Heavy</t>
        </is>
      </c>
    </row>
    <row r="408">
      <c r="A408" t="inlineStr">
        <is>
          <t>starcraft</t>
        </is>
      </c>
      <c r="B408" t="inlineStr">
        <is>
          <t>terran_wyvern</t>
        </is>
      </c>
      <c r="C408" t="inlineStr">
        <is>
          <t>Wyvern</t>
        </is>
      </c>
      <c r="D408" s="6" t="inlineStr">
        <is>
          <t>Helicopter</t>
        </is>
      </c>
      <c r="E408" s="6" t="n">
        <v>180000</v>
      </c>
      <c r="F408" s="6" t="n">
        <v>70</v>
      </c>
      <c r="G408" t="inlineStr">
        <is>
          <t>Helicopter</t>
        </is>
      </c>
      <c r="H408" s="6" t="n">
        <v>0.75</v>
      </c>
      <c r="I408" s="6" t="n">
        <v>1</v>
      </c>
      <c r="J408" s="6" t="n">
        <v>1</v>
      </c>
      <c r="P408">
        <f>MAX(P409,P410)</f>
        <v/>
      </c>
      <c r="S408">
        <f>S409+S410</f>
        <v/>
      </c>
      <c r="T408">
        <f>(E408/100000+F408/100+(P408/1000)*J408/5+S408/200)*200*I408*H408</f>
        <v/>
      </c>
      <c r="U408">
        <f>((E408*F408/25000)+((P408/1000)*J408*S408/2.5))*I408*H408</f>
        <v/>
      </c>
      <c r="V408">
        <f>(E408*F408*(P408/1000)*J408*S408*I408*H408)/12500000</f>
        <v/>
      </c>
      <c r="W408">
        <f>(T408+U408+V408)/3</f>
        <v/>
      </c>
      <c r="X408" s="6" t="n">
        <v>3600</v>
      </c>
      <c r="Y408">
        <f>IFERROR(W408-X408,"")</f>
        <v/>
      </c>
      <c r="Z408">
        <f>IFERROR(ABS(Y408)/MAX(X408,1),"")</f>
        <v/>
      </c>
      <c r="AA408">
        <f>IFERROR((X408-(((E408/100000+F408/100+S408/200)*200*I408*H408)+((E408*F408/25000)*I408*H408))/3)/(((J408/5)*200*I408*H408)+((J408*S408/2.5)*I408*H408)+((E408*F408*J408*S408*I408*H408)/12500000))/3*1000,"")</f>
        <v/>
      </c>
    </row>
    <row r="409">
      <c r="B409" s="7" t="inlineStr">
        <is>
          <t xml:space="preserve">  ↳ WyvernRockets</t>
        </is>
      </c>
      <c r="C409" s="7" t="inlineStr">
        <is>
          <t>Armament@SECONDARY1</t>
        </is>
      </c>
      <c r="L409" s="6" t="n">
        <v>16000</v>
      </c>
      <c r="M409" s="6" t="n">
        <v>90</v>
      </c>
      <c r="N409" s="6" t="n">
        <v>4</v>
      </c>
      <c r="O409" s="6" t="n">
        <v>15</v>
      </c>
      <c r="P409" s="6" t="n">
        <v>8000</v>
      </c>
      <c r="Q409" s="6" t="n">
        <v>1.25</v>
      </c>
      <c r="R409">
        <f>M409+IF(MAX(N409-1,0)&gt;0,IF(ISBLANK(O409),5*MAX(N409-1,0),IF(ISNUMBER(O409),O409*MAX(N409-1,0),SUM(IFERROR(VALUE(TEXTSPLIT(O409,",")),0)))),0)</f>
        <v/>
      </c>
      <c r="S409">
        <f>IFERROR(L409*MAX(N409,1)/R409*IF(ISBLANK(K408),1,K408),0)</f>
        <v/>
      </c>
      <c r="AB409" s="7" t="inlineStr">
        <is>
          <t>^Warhead_CannonHE_Heavy, ^Warhead_MissileAP_Heavy</t>
        </is>
      </c>
    </row>
    <row r="410">
      <c r="B410" s="7" t="inlineStr">
        <is>
          <t xml:space="preserve">  ↳ WyvernRockets</t>
        </is>
      </c>
      <c r="C410" s="7" t="inlineStr">
        <is>
          <t>Armament@SECONDARY2</t>
        </is>
      </c>
      <c r="L410" s="6" t="n">
        <v>16000</v>
      </c>
      <c r="M410" s="6" t="n">
        <v>90</v>
      </c>
      <c r="N410" s="6" t="n">
        <v>4</v>
      </c>
      <c r="O410" s="6" t="n">
        <v>15</v>
      </c>
      <c r="P410" s="6" t="n">
        <v>8000</v>
      </c>
      <c r="Q410" s="6" t="n">
        <v>1.25</v>
      </c>
      <c r="R410">
        <f>M410+IF(MAX(N410-1,0)&gt;0,IF(ISBLANK(O410),5*MAX(N410-1,0),IF(ISNUMBER(O410),O410*MAX(N410-1,0),SUM(IFERROR(VALUE(TEXTSPLIT(O410,",")),0)))),0)</f>
        <v/>
      </c>
      <c r="S410">
        <f>IFERROR(L410*MAX(N410,1)/R410*IF(ISBLANK(K408),1,K408),0)</f>
        <v/>
      </c>
      <c r="AB410" s="7" t="inlineStr">
        <is>
          <t>^Warhead_CannonHE_Heavy, ^Warhead_MissileAP_Heavy</t>
        </is>
      </c>
    </row>
    <row r="411">
      <c r="A411" t="inlineStr">
        <is>
          <t>warcraft2</t>
        </is>
      </c>
      <c r="B411" t="inlineStr">
        <is>
          <t>wc2_orcs_goblinzeppelin</t>
        </is>
      </c>
      <c r="C411" t="inlineStr">
        <is>
          <t>Goblin Zeppelin</t>
        </is>
      </c>
      <c r="D411" s="6" t="inlineStr">
        <is>
          <t>Helicopter</t>
        </is>
      </c>
      <c r="E411" s="6" t="n">
        <v>25000</v>
      </c>
      <c r="F411" s="6" t="n">
        <v>165</v>
      </c>
      <c r="G411" t="inlineStr">
        <is>
          <t>Helicopter</t>
        </is>
      </c>
      <c r="H411" s="6" t="n">
        <v>1</v>
      </c>
      <c r="I411" s="6" t="n">
        <v>1</v>
      </c>
      <c r="J411" s="6" t="n">
        <v>1</v>
      </c>
      <c r="X411" s="6" t="n">
        <v>350</v>
      </c>
    </row>
    <row r="412">
      <c r="A412" t="inlineStr">
        <is>
          <t>warcraft2</t>
        </is>
      </c>
      <c r="B412" t="inlineStr">
        <is>
          <t>wc2_humans_flyingmachine</t>
        </is>
      </c>
      <c r="C412" t="inlineStr">
        <is>
          <t>Flying Machine</t>
        </is>
      </c>
      <c r="D412" s="6" t="inlineStr">
        <is>
          <t>Helicopter</t>
        </is>
      </c>
      <c r="E412" s="6" t="n">
        <v>25000</v>
      </c>
      <c r="F412" s="6" t="n">
        <v>165</v>
      </c>
      <c r="G412" t="inlineStr">
        <is>
          <t>Helicopter</t>
        </is>
      </c>
      <c r="H412" s="6" t="n">
        <v>1</v>
      </c>
      <c r="I412" s="6" t="n">
        <v>1</v>
      </c>
      <c r="J412" s="6" t="n">
        <v>1</v>
      </c>
      <c r="X412" s="6" t="n">
        <v>350</v>
      </c>
    </row>
    <row r="413">
      <c r="A413" t="inlineStr">
        <is>
          <t>warcraft2</t>
        </is>
      </c>
      <c r="B413" t="inlineStr">
        <is>
          <t>wc2_humans_gyrocoptermachine</t>
        </is>
      </c>
      <c r="C413" t="inlineStr">
        <is>
          <t>Gyrocopter Machine</t>
        </is>
      </c>
      <c r="D413" s="6" t="inlineStr">
        <is>
          <t>Helicopter</t>
        </is>
      </c>
      <c r="E413" s="6" t="n">
        <v>25000</v>
      </c>
      <c r="F413" s="6" t="n">
        <v>165</v>
      </c>
      <c r="G413" t="inlineStr">
        <is>
          <t>Helicopter</t>
        </is>
      </c>
      <c r="H413" s="6" t="n">
        <v>1</v>
      </c>
      <c r="I413" s="6" t="n">
        <v>1</v>
      </c>
      <c r="J413" s="6" t="n">
        <v>1</v>
      </c>
      <c r="X413" s="6" t="n">
        <v>350</v>
      </c>
    </row>
    <row r="414">
      <c r="A414" s="4" t="inlineStr">
        <is>
          <t>UnarmedTransportHelicopter</t>
        </is>
      </c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  <c r="AB414" s="5" t="n"/>
    </row>
    <row r="415">
      <c r="A415" t="inlineStr">
        <is>
          <t>shared</t>
        </is>
      </c>
      <c r="B415" t="inlineStr">
        <is>
          <t>TRAN</t>
        </is>
      </c>
      <c r="C415" t="inlineStr">
        <is>
          <t>Chinook Transport</t>
        </is>
      </c>
      <c r="D415" s="6" t="inlineStr">
        <is>
          <t>UnarmedTransportHelicopter</t>
        </is>
      </c>
      <c r="E415" s="6" t="n">
        <v>100000</v>
      </c>
      <c r="F415" s="6" t="n">
        <v>150</v>
      </c>
      <c r="G415" t="inlineStr">
        <is>
          <t>Helicopter</t>
        </is>
      </c>
      <c r="H415" s="6" t="n">
        <v>1</v>
      </c>
      <c r="I415" s="6" t="n">
        <v>1</v>
      </c>
      <c r="J415" s="6" t="n">
        <v>1</v>
      </c>
      <c r="X415" s="6" t="n">
        <v>1500</v>
      </c>
    </row>
    <row r="416">
      <c r="A416" t="inlineStr">
        <is>
          <t>tiberiandawn</t>
        </is>
      </c>
      <c r="B416" t="inlineStr">
        <is>
          <t>td_gdi_chinooktransport</t>
        </is>
      </c>
      <c r="C416" t="inlineStr">
        <is>
          <t>GDI Chinook Transport</t>
        </is>
      </c>
      <c r="D416" s="6" t="inlineStr">
        <is>
          <t>UnarmedTransportHelicopter</t>
        </is>
      </c>
      <c r="E416" s="6" t="n">
        <v>100000</v>
      </c>
      <c r="F416" s="6" t="n">
        <v>150</v>
      </c>
      <c r="G416" t="inlineStr">
        <is>
          <t>Helicopter</t>
        </is>
      </c>
      <c r="H416" s="6" t="n">
        <v>0.7333</v>
      </c>
      <c r="I416" s="6" t="n">
        <v>1</v>
      </c>
      <c r="J416" s="6" t="n">
        <v>1</v>
      </c>
      <c r="X416" s="6" t="n">
        <v>3000</v>
      </c>
    </row>
    <row r="417">
      <c r="A417" t="inlineStr">
        <is>
          <t>tiberiandawn</t>
        </is>
      </c>
      <c r="B417" t="inlineStr">
        <is>
          <t>td_nod_chinooktransport</t>
        </is>
      </c>
      <c r="C417" t="inlineStr">
        <is>
          <t>Nod Chinook Transport</t>
        </is>
      </c>
      <c r="D417" s="6" t="inlineStr">
        <is>
          <t>UnarmedTransportHelicopter</t>
        </is>
      </c>
      <c r="E417" s="6" t="n">
        <v>100000</v>
      </c>
      <c r="F417" s="6" t="n">
        <v>150</v>
      </c>
      <c r="G417" t="inlineStr">
        <is>
          <t>Helicopter</t>
        </is>
      </c>
      <c r="H417" s="6" t="n">
        <v>0.7333</v>
      </c>
      <c r="I417" s="6" t="n">
        <v>1</v>
      </c>
      <c r="J417" s="6" t="n">
        <v>1</v>
      </c>
      <c r="X417" s="6" t="n">
        <v>3100</v>
      </c>
    </row>
    <row r="418">
      <c r="A418" t="inlineStr">
        <is>
          <t>redalert</t>
        </is>
      </c>
      <c r="B418" t="inlineStr">
        <is>
          <t>ra1_soviets_hiptransport</t>
        </is>
      </c>
      <c r="C418" t="inlineStr">
        <is>
          <t>Hip Transport</t>
        </is>
      </c>
      <c r="D418" s="6" t="inlineStr">
        <is>
          <t>UnarmedTransportHelicopter</t>
        </is>
      </c>
      <c r="E418" s="6" t="n">
        <v>150000</v>
      </c>
      <c r="F418" s="6" t="n">
        <v>100</v>
      </c>
      <c r="G418" t="inlineStr">
        <is>
          <t>Helicopter</t>
        </is>
      </c>
      <c r="H418" s="6" t="n">
        <v>0.7333</v>
      </c>
      <c r="I418" s="6" t="n">
        <v>1</v>
      </c>
      <c r="J418" s="6" t="n">
        <v>1</v>
      </c>
      <c r="X418" s="6" t="n">
        <v>2500</v>
      </c>
    </row>
    <row r="419">
      <c r="A419" t="inlineStr">
        <is>
          <t>redalert</t>
        </is>
      </c>
      <c r="B419" t="inlineStr">
        <is>
          <t>ra1_allies_alliedchinooktransport</t>
        </is>
      </c>
      <c r="C419" t="inlineStr">
        <is>
          <t>Allied Chinook Transport</t>
        </is>
      </c>
      <c r="D419" s="6" t="inlineStr">
        <is>
          <t>UnarmedTransportHelicopter</t>
        </is>
      </c>
      <c r="E419" s="6" t="n">
        <v>125000</v>
      </c>
      <c r="F419" s="6" t="n">
        <v>125</v>
      </c>
      <c r="G419" t="inlineStr">
        <is>
          <t>Helicopter</t>
        </is>
      </c>
      <c r="H419" s="6" t="n">
        <v>0.7333</v>
      </c>
      <c r="I419" s="6" t="n">
        <v>1</v>
      </c>
      <c r="J419" s="6" t="n">
        <v>1</v>
      </c>
      <c r="X419" s="6" t="n">
        <v>3600</v>
      </c>
    </row>
    <row r="420">
      <c r="A420" t="inlineStr">
        <is>
          <t>starcraft</t>
        </is>
      </c>
      <c r="B420" t="inlineStr">
        <is>
          <t>protoss_shuttle</t>
        </is>
      </c>
      <c r="C420" t="inlineStr">
        <is>
          <t>Shuttle</t>
        </is>
      </c>
      <c r="D420" s="6" t="inlineStr">
        <is>
          <t>UnarmedTransportHelicopter</t>
        </is>
      </c>
      <c r="E420" s="6" t="n">
        <v>100000</v>
      </c>
      <c r="F420" s="6" t="n">
        <v>150</v>
      </c>
      <c r="G420" t="inlineStr">
        <is>
          <t>Helicopter</t>
        </is>
      </c>
      <c r="H420" s="6" t="n">
        <v>1</v>
      </c>
      <c r="I420" s="6" t="n">
        <v>1</v>
      </c>
      <c r="J420" s="6" t="n">
        <v>1</v>
      </c>
      <c r="X420" s="6" t="n">
        <v>6000</v>
      </c>
    </row>
    <row r="421">
      <c r="A421" t="inlineStr">
        <is>
          <t>starcraft</t>
        </is>
      </c>
      <c r="B421" t="inlineStr">
        <is>
          <t>zerg_broodweaver</t>
        </is>
      </c>
      <c r="C421" t="inlineStr">
        <is>
          <t>Broodweaver</t>
        </is>
      </c>
      <c r="D421" s="6" t="inlineStr">
        <is>
          <t>UnarmedTransportHelicopter</t>
        </is>
      </c>
      <c r="E421" s="6" t="n">
        <v>50000</v>
      </c>
      <c r="F421" s="6" t="n">
        <v>45</v>
      </c>
      <c r="G421" t="inlineStr">
        <is>
          <t>Helicopter</t>
        </is>
      </c>
      <c r="H421" s="6" t="n">
        <v>1</v>
      </c>
      <c r="I421" s="6" t="n">
        <v>1</v>
      </c>
      <c r="J421" s="6" t="n">
        <v>2</v>
      </c>
      <c r="P421">
        <f>MAX(P422)</f>
        <v/>
      </c>
      <c r="S421">
        <f>S422</f>
        <v/>
      </c>
      <c r="T421">
        <f>(E421/100000+F421/100+(P421/1000)*J421/5+S421/200)*200*I421*H421</f>
        <v/>
      </c>
      <c r="U421">
        <f>((E421*F421/25000)+((P421/1000)*J421*S421/2.5))*I421*H421</f>
        <v/>
      </c>
      <c r="V421">
        <f>(E421*F421*(P421/1000)*J421*S421*I421*H421)/12500000</f>
        <v/>
      </c>
      <c r="W421">
        <f>(T421+U421+V421)/3</f>
        <v/>
      </c>
      <c r="X421" s="6" t="n">
        <v>2000</v>
      </c>
      <c r="Y421">
        <f>IFERROR(W421-X421,"")</f>
        <v/>
      </c>
      <c r="Z421">
        <f>IFERROR(ABS(Y421)/MAX(X421,1),"")</f>
        <v/>
      </c>
      <c r="AA421">
        <f>IFERROR((X421-(((E421/100000+F421/100+S421/200)*200*I421*H421)+((E421*F421/25000)*I421*H421))/3)/(((J421/5)*200*I421*H421)+((J421*S421/2.5)*I421*H421)+((E421*F421*J421*S421*I421*H421)/12500000))/3*1000,"")</f>
        <v/>
      </c>
    </row>
    <row r="422">
      <c r="B422" s="7" t="inlineStr">
        <is>
          <t xml:space="preserve">  ↳ BroodweaverLeech</t>
        </is>
      </c>
      <c r="C422" s="7" t="inlineStr">
        <is>
          <t>Armament</t>
        </is>
      </c>
      <c r="L422" s="6" t="n">
        <v>-3000</v>
      </c>
      <c r="M422" s="6" t="n">
        <v>60</v>
      </c>
      <c r="N422" s="6" t="n">
        <v>10</v>
      </c>
      <c r="O422" s="6" t="n">
        <v>1</v>
      </c>
      <c r="P422" s="6" t="n">
        <v>4500</v>
      </c>
      <c r="Q422" s="6" t="n">
        <v>1</v>
      </c>
      <c r="R422">
        <f>M422+IF(MAX(N422-1,0)&gt;0,IF(ISBLANK(O422),5*MAX(N422-1,0),IF(ISNUMBER(O422),O422*MAX(N422-1,0),SUM(IFERROR(VALUE(TEXTSPLIT(O422,",")),0)))),0)</f>
        <v/>
      </c>
      <c r="S422">
        <f>IFERROR(L422*MAX(N422,1)/R422*IF(ISBLANK(K421),1,K421),0)</f>
        <v/>
      </c>
      <c r="AB422" s="7" t="inlineStr">
        <is>
          <t>^HealingWeapon</t>
        </is>
      </c>
    </row>
    <row r="423">
      <c r="A423" t="inlineStr">
        <is>
          <t>starcraft</t>
        </is>
      </c>
      <c r="B423" t="inlineStr">
        <is>
          <t>terran_dropship</t>
        </is>
      </c>
      <c r="C423" t="inlineStr">
        <is>
          <t>Dropship</t>
        </is>
      </c>
      <c r="D423" s="6" t="inlineStr">
        <is>
          <t>UnarmedTransportHelicopter</t>
        </is>
      </c>
      <c r="E423" s="6" t="n">
        <v>125000</v>
      </c>
      <c r="F423" s="6" t="n">
        <v>125</v>
      </c>
      <c r="G423" t="inlineStr">
        <is>
          <t>Helicopter</t>
        </is>
      </c>
      <c r="H423" s="6" t="n">
        <v>1</v>
      </c>
      <c r="I423" s="6" t="n">
        <v>1</v>
      </c>
      <c r="J423" s="6" t="n">
        <v>1</v>
      </c>
      <c r="X423" s="6" t="n">
        <v>3600</v>
      </c>
    </row>
    <row r="424">
      <c r="A424" t="inlineStr">
        <is>
          <t>starcraft</t>
        </is>
      </c>
      <c r="B424" t="inlineStr">
        <is>
          <t>terran_medivac</t>
        </is>
      </c>
      <c r="C424" t="inlineStr">
        <is>
          <t>Medivac</t>
        </is>
      </c>
      <c r="D424" s="6" t="inlineStr">
        <is>
          <t>UnarmedTransportHelicopter</t>
        </is>
      </c>
      <c r="E424" s="6" t="n">
        <v>125000</v>
      </c>
      <c r="F424" s="6" t="n">
        <v>125</v>
      </c>
      <c r="G424" t="inlineStr">
        <is>
          <t>Helicopter</t>
        </is>
      </c>
      <c r="H424" s="6" t="n">
        <v>1</v>
      </c>
      <c r="I424" s="6" t="n">
        <v>1</v>
      </c>
      <c r="J424" s="6" t="n">
        <v>1</v>
      </c>
      <c r="P424">
        <f>MAX(P425)</f>
        <v/>
      </c>
      <c r="S424">
        <f>S425</f>
        <v/>
      </c>
      <c r="T424">
        <f>(E424/100000+F424/100+(P424/1000)*J424/5+S424/200)*200*I424*H424</f>
        <v/>
      </c>
      <c r="U424">
        <f>((E424*F424/25000)+((P424/1000)*J424*S424/2.5))*I424*H424</f>
        <v/>
      </c>
      <c r="V424">
        <f>(E424*F424*(P424/1000)*J424*S424*I424*H424)/12500000</f>
        <v/>
      </c>
      <c r="W424">
        <f>(T424+U424+V424)/3</f>
        <v/>
      </c>
      <c r="X424" s="6" t="n">
        <v>5000</v>
      </c>
      <c r="Y424">
        <f>IFERROR(W424-X424,"")</f>
        <v/>
      </c>
      <c r="Z424">
        <f>IFERROR(ABS(Y424)/MAX(X424,1),"")</f>
        <v/>
      </c>
      <c r="AA424">
        <f>IFERROR((X424-(((E424/100000+F424/100+S424/200)*200*I424*H424)+((E424*F424/25000)*I424*H424))/3)/(((J424/5)*200*I424*H424)+((J424*S424/2.5)*I424*H424)+((E424*F424*J424*S424*I424*H424)/12500000))/3*1000,"")</f>
        <v/>
      </c>
    </row>
    <row r="425">
      <c r="B425" s="7" t="inlineStr">
        <is>
          <t xml:space="preserve">  ↳ MedicHeal</t>
        </is>
      </c>
      <c r="C425" s="7" t="inlineStr">
        <is>
          <t>Armament</t>
        </is>
      </c>
      <c r="L425" s="6" t="n">
        <v>-3000</v>
      </c>
      <c r="M425" s="6" t="n">
        <v>10</v>
      </c>
      <c r="N425" s="6" t="n">
        <v>1</v>
      </c>
      <c r="O425" s="6" t="n"/>
      <c r="P425" s="6" t="n">
        <v>6000</v>
      </c>
      <c r="Q425" s="6" t="n">
        <v>1</v>
      </c>
      <c r="R425">
        <f>M425+IF(MAX(N425-1,0)&gt;0,IF(ISBLANK(O425),5*MAX(N425-1,0),IF(ISNUMBER(O425),O425*MAX(N425-1,0),SUM(IFERROR(VALUE(TEXTSPLIT(O425,",")),0)))),0)</f>
        <v/>
      </c>
      <c r="S425">
        <f>IFERROR(L425*MAX(N425,1)/R425*IF(ISBLANK(K424),1,K424),0)</f>
        <v/>
      </c>
      <c r="AB425" s="7" t="inlineStr">
        <is>
          <t>^HealingWeapon</t>
        </is>
      </c>
    </row>
    <row r="426">
      <c r="A426" s="4" t="inlineStr">
        <is>
          <t>Spaceship</t>
        </is>
      </c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  <c r="AB426" s="5" t="n"/>
    </row>
    <row r="427">
      <c r="A427" t="inlineStr">
        <is>
          <t>tiberiansun</t>
        </is>
      </c>
      <c r="B427" t="inlineStr">
        <is>
          <t>cabal_hunterdronecarrier</t>
        </is>
      </c>
      <c r="C427" t="inlineStr">
        <is>
          <t>Hunter Drone Carrier</t>
        </is>
      </c>
      <c r="D427" s="6" t="inlineStr">
        <is>
          <t>Spaceship</t>
        </is>
      </c>
      <c r="E427" s="6" t="n">
        <v>300000</v>
      </c>
      <c r="F427" s="6" t="n">
        <v>50</v>
      </c>
      <c r="G427" t="inlineStr">
        <is>
          <t>Spaceship</t>
        </is>
      </c>
      <c r="H427" s="6" t="n">
        <v>1</v>
      </c>
      <c r="I427" s="6" t="n">
        <v>1</v>
      </c>
      <c r="J427" s="6" t="n">
        <v>1</v>
      </c>
      <c r="P427">
        <f>MAX(P429,P430)</f>
        <v/>
      </c>
      <c r="S427">
        <f>S429+S430</f>
        <v/>
      </c>
      <c r="T427">
        <f>(E427/100000+F427/100+(P427/1000)*J427/5+S427/200)*200*I427*H427</f>
        <v/>
      </c>
      <c r="U427">
        <f>((E427*F427/25000)+((P427/1000)*J427*S427/2.5))*I427*H427</f>
        <v/>
      </c>
      <c r="V427">
        <f>(E427*F427*(P427/1000)*J427*S427*I427*H427)/12500000</f>
        <v/>
      </c>
      <c r="W427">
        <f>(T427+U427+V427)/3</f>
        <v/>
      </c>
      <c r="X427" s="6" t="n">
        <v>4000</v>
      </c>
      <c r="Y427">
        <f>IFERROR(W427-X427,"")</f>
        <v/>
      </c>
      <c r="Z427">
        <f>IFERROR(ABS(Y427)/MAX(X427,1),"")</f>
        <v/>
      </c>
      <c r="AA427">
        <f>IFERROR((X427-(((E427/100000+F427/100+S427/200)*200*I427*H427)+((E427*F427/25000)*I427*H427))/3)/(((J427/5)*200*I427*H427)+((J427*S427/2.5)*I427*H427)+((E427*F427*J427*S427*I427*H427)/12500000))/3*1000,"")</f>
        <v/>
      </c>
    </row>
    <row r="428">
      <c r="B428" s="7" t="inlineStr">
        <is>
          <t xml:space="preserve">  ↳ CabalOverkillDroneLauncher</t>
        </is>
      </c>
      <c r="C428" s="7" t="inlineStr">
        <is>
          <t>Armament@drones</t>
        </is>
      </c>
      <c r="M428" s="6" t="n">
        <v>25</v>
      </c>
      <c r="N428" s="6" t="n">
        <v>1</v>
      </c>
      <c r="O428" s="6" t="n"/>
      <c r="P428" s="6" t="n">
        <v>6400</v>
      </c>
      <c r="Q428" s="6" t="n">
        <v>1</v>
      </c>
      <c r="R428">
        <f>M428+IF(MAX(N428-1,0)&gt;0,IF(ISBLANK(O428),5*MAX(N428-1,0),IF(ISNUMBER(O428),O428*MAX(N428-1,0),SUM(IFERROR(VALUE(TEXTSPLIT(O428,",")),0)))),0)</f>
        <v/>
      </c>
      <c r="S428">
        <f>IFERROR(L428*MAX(N428,1)/R428*IF(ISBLANK(K427),1,K427),0)</f>
        <v/>
      </c>
      <c r="AB428" s="7" t="inlineStr"/>
    </row>
    <row r="429">
      <c r="B429" s="7" t="inlineStr">
        <is>
          <t xml:space="preserve">  ↳ CabalOverkillCharge</t>
        </is>
      </c>
      <c r="C429" s="7" t="inlineStr">
        <is>
          <t>Armament@charge</t>
        </is>
      </c>
      <c r="L429" s="6" t="n">
        <v>24000</v>
      </c>
      <c r="M429" s="6" t="n">
        <v>125</v>
      </c>
      <c r="N429" s="6" t="n">
        <v>1</v>
      </c>
      <c r="O429" s="6" t="n"/>
      <c r="P429" s="6" t="n">
        <v>6400</v>
      </c>
      <c r="Q429" s="6" t="n">
        <v>1.25</v>
      </c>
      <c r="R429">
        <f>M429+IF(MAX(N429-1,0)&gt;0,IF(ISBLANK(O429),5*MAX(N429-1,0),IF(ISNUMBER(O429),O429*MAX(N429-1,0),SUM(IFERROR(VALUE(TEXTSPLIT(O429,",")),0)))),0)</f>
        <v/>
      </c>
      <c r="S429">
        <f>IFERROR(L429*MAX(N429,1)/R429*IF(ISBLANK(K427),1,K427),0)</f>
        <v/>
      </c>
      <c r="AB429" s="7" t="inlineStr">
        <is>
          <t>^Warhead_Tesla_Heavy</t>
        </is>
      </c>
    </row>
    <row r="430">
      <c r="B430" s="7" t="inlineStr">
        <is>
          <t xml:space="preserve">  ↳ CabalOverkillLaser</t>
        </is>
      </c>
      <c r="C430" s="7" t="inlineStr">
        <is>
          <t>Armament</t>
        </is>
      </c>
      <c r="L430" s="6" t="n">
        <v>2000</v>
      </c>
      <c r="M430" s="6" t="n">
        <v>50</v>
      </c>
      <c r="N430" s="6" t="n">
        <v>50</v>
      </c>
      <c r="O430" s="6" t="n">
        <v>1</v>
      </c>
      <c r="P430" s="6" t="n">
        <v>6400</v>
      </c>
      <c r="Q430" s="6" t="n">
        <v>1.25</v>
      </c>
      <c r="R430">
        <f>M430+IF(MAX(N430-1,0)&gt;0,IF(ISBLANK(O430),5*MAX(N430-1,0),IF(ISNUMBER(O430),O430*MAX(N430-1,0),SUM(IFERROR(VALUE(TEXTSPLIT(O430,",")),0)))),0)</f>
        <v/>
      </c>
      <c r="S430">
        <f>IFERROR(L430*MAX(N430,1)/R430*IF(ISBLANK(K427),1,K427),0)</f>
        <v/>
      </c>
      <c r="AB430" s="7" t="inlineStr">
        <is>
          <t>^Warhead_Laser_Heavy</t>
        </is>
      </c>
    </row>
    <row r="431">
      <c r="A431" t="inlineStr">
        <is>
          <t>tiberiansun</t>
        </is>
      </c>
      <c r="B431" t="inlineStr">
        <is>
          <t>cabal_mothership</t>
        </is>
      </c>
      <c r="C431" t="inlineStr">
        <is>
          <t>Mothership</t>
        </is>
      </c>
      <c r="D431" s="6" t="inlineStr">
        <is>
          <t>Spaceship</t>
        </is>
      </c>
      <c r="E431" s="6" t="n">
        <v>500000</v>
      </c>
      <c r="F431" s="6" t="n">
        <v>50</v>
      </c>
      <c r="G431" t="inlineStr">
        <is>
          <t>Spaceship</t>
        </is>
      </c>
      <c r="H431" s="6" t="n">
        <v>1</v>
      </c>
      <c r="I431" s="6" t="n">
        <v>0.3</v>
      </c>
      <c r="J431" s="6" t="n">
        <v>1</v>
      </c>
      <c r="P431">
        <f>MAX(P432,P433)</f>
        <v/>
      </c>
      <c r="S431">
        <f>S432+S433</f>
        <v/>
      </c>
      <c r="T431">
        <f>(E431/100000+F431/100+(P431/1000)*J431/5+S431/200)*200*I431*H431</f>
        <v/>
      </c>
      <c r="U431">
        <f>((E431*F431/25000)+((P431/1000)*J431*S431/2.5))*I431*H431</f>
        <v/>
      </c>
      <c r="V431">
        <f>(E431*F431*(P431/1000)*J431*S431*I431*H431)/12500000</f>
        <v/>
      </c>
      <c r="W431">
        <f>(T431+U431+V431)/3</f>
        <v/>
      </c>
      <c r="X431" s="6" t="n">
        <v>10000</v>
      </c>
      <c r="Y431">
        <f>IFERROR(W431-X431,"")</f>
        <v/>
      </c>
      <c r="Z431">
        <f>IFERROR(ABS(Y431)/MAX(X431,1),"")</f>
        <v/>
      </c>
      <c r="AA431">
        <f>IFERROR((X431-(((E431/100000+F431/100+S431/200)*200*I431*H431)+((E431*F431/25000)*I431*H431))/3)/(((J431/5)*200*I431*H431)+((J431*S431/2.5)*I431*H431)+((E431*F431*J431*S431*I431*H431)/12500000))/3*1000,"")</f>
        <v/>
      </c>
    </row>
    <row r="432">
      <c r="B432" s="7" t="inlineStr">
        <is>
          <t xml:space="preserve">  ↳ CabalHunterKillerHeavyLaser</t>
        </is>
      </c>
      <c r="C432" s="7" t="inlineStr">
        <is>
          <t>Armament@PRIMARY</t>
        </is>
      </c>
      <c r="L432" s="6" t="n">
        <v>20000</v>
      </c>
      <c r="M432" s="6" t="n">
        <v>26</v>
      </c>
      <c r="N432" s="6" t="n">
        <v>1</v>
      </c>
      <c r="O432" s="6" t="n"/>
      <c r="P432" s="6" t="n">
        <v>6170</v>
      </c>
      <c r="Q432" s="6" t="n">
        <v>1.25</v>
      </c>
      <c r="R432">
        <f>M432+IF(MAX(N432-1,0)&gt;0,IF(ISBLANK(O432),5*MAX(N432-1,0),IF(ISNUMBER(O432),O432*MAX(N432-1,0),SUM(IFERROR(VALUE(TEXTSPLIT(O432,",")),0)))),0)</f>
        <v/>
      </c>
      <c r="S432">
        <f>IFERROR(L432*MAX(N432,1)/R432*IF(ISBLANK(K431),1,K431),0)</f>
        <v/>
      </c>
      <c r="AB432" s="7" t="inlineStr">
        <is>
          <t>^Warhead_Laser_Heavy</t>
        </is>
      </c>
    </row>
    <row r="433">
      <c r="B433" s="7" t="inlineStr">
        <is>
          <t xml:space="preserve">  ↳ CabalMothershipRockets</t>
        </is>
      </c>
      <c r="C433" s="7" t="inlineStr">
        <is>
          <t>Armament@ROCKETS</t>
        </is>
      </c>
      <c r="L433" s="6" t="n">
        <v>60000</v>
      </c>
      <c r="M433" s="6" t="n">
        <v>34</v>
      </c>
      <c r="N433" s="6" t="n">
        <v>4</v>
      </c>
      <c r="O433" s="6" t="n">
        <v>2</v>
      </c>
      <c r="P433" s="6" t="n">
        <v>5846</v>
      </c>
      <c r="Q433" s="6" t="n">
        <v>1</v>
      </c>
      <c r="R433">
        <f>M433+IF(MAX(N433-1,0)&gt;0,IF(ISBLANK(O433),5*MAX(N433-1,0),IF(ISNUMBER(O433),O433*MAX(N433-1,0),SUM(IFERROR(VALUE(TEXTSPLIT(O433,",")),0)))),0)</f>
        <v/>
      </c>
      <c r="S433">
        <f>IFERROR(L433*MAX(N433,1)/R433*IF(ISBLANK(K431),1,K431),0)</f>
        <v/>
      </c>
      <c r="AB433" s="7" t="inlineStr">
        <is>
          <t>^TeslaWeapon, ^HeavyMissile, ^MediumFlameWeapon, ^MediumChemicalWeapon, ^Grenade, ^ArrowWeapon</t>
        </is>
      </c>
    </row>
    <row r="434">
      <c r="A434" t="inlineStr">
        <is>
          <t>tiberiansun</t>
        </is>
      </c>
      <c r="B434" t="inlineStr">
        <is>
          <t>ts_gdi_kodiakcommandship</t>
        </is>
      </c>
      <c r="C434" t="inlineStr">
        <is>
          <t>Kodiak Command Ship</t>
        </is>
      </c>
      <c r="D434" s="6" t="inlineStr">
        <is>
          <t>Spaceship</t>
        </is>
      </c>
      <c r="E434" s="6" t="n">
        <v>900000</v>
      </c>
      <c r="F434" s="6" t="n">
        <v>30</v>
      </c>
      <c r="G434" t="inlineStr">
        <is>
          <t>Spaceship</t>
        </is>
      </c>
      <c r="H434" s="6" t="n">
        <v>0.3793</v>
      </c>
      <c r="I434" s="6" t="n">
        <v>1</v>
      </c>
      <c r="J434" s="6" t="n">
        <v>1</v>
      </c>
      <c r="P434">
        <f>MAX(P435,P436,P437)</f>
        <v/>
      </c>
      <c r="S434">
        <f>S435+S436+S437</f>
        <v/>
      </c>
      <c r="T434">
        <f>(E434/100000+F434/100+(P434/1000)*J434/5+S434/200)*200*I434*H434</f>
        <v/>
      </c>
      <c r="U434">
        <f>((E434*F434/25000)+((P434/1000)*J434*S434/2.5))*I434*H434</f>
        <v/>
      </c>
      <c r="V434">
        <f>(E434*F434*(P434/1000)*J434*S434*I434*H434)/12500000</f>
        <v/>
      </c>
      <c r="W434">
        <f>(T434+U434+V434)/3</f>
        <v/>
      </c>
      <c r="X434" s="6" t="n">
        <v>10000</v>
      </c>
      <c r="Y434">
        <f>IFERROR(W434-X434,"")</f>
        <v/>
      </c>
      <c r="Z434">
        <f>IFERROR(ABS(Y434)/MAX(X434,1),"")</f>
        <v/>
      </c>
      <c r="AA434">
        <f>IFERROR((X434-(((E434/100000+F434/100+S434/200)*200*I434*H434)+((E434*F434/25000)*I434*H434))/3)/(((J434/5)*200*I434*H434)+((J434*S434/2.5)*I434*H434)+((E434*F434*J434*S434*I434*H434)/12500000))/3*1000,"")</f>
        <v/>
      </c>
    </row>
    <row r="435">
      <c r="B435" s="7" t="inlineStr">
        <is>
          <t xml:space="preserve">  ↳ KodiakCannon</t>
        </is>
      </c>
      <c r="C435" s="7" t="inlineStr">
        <is>
          <t>Armament@PRIMARY</t>
        </is>
      </c>
      <c r="L435" s="6" t="n">
        <v>40000</v>
      </c>
      <c r="M435" s="6" t="n">
        <v>92</v>
      </c>
      <c r="N435" s="6" t="n">
        <v>3</v>
      </c>
      <c r="O435" s="6" t="n">
        <v>4</v>
      </c>
      <c r="P435" s="6" t="n">
        <v>9165</v>
      </c>
      <c r="Q435" s="6" t="n">
        <v>1.25</v>
      </c>
      <c r="R435">
        <f>M435+IF(MAX(N435-1,0)&gt;0,IF(ISBLANK(O435),5*MAX(N435-1,0),IF(ISNUMBER(O435),O435*MAX(N435-1,0),SUM(IFERROR(VALUE(TEXTSPLIT(O435,",")),0)))),0)</f>
        <v/>
      </c>
      <c r="S435">
        <f>IFERROR(L435*MAX(N435,1)/R435*IF(ISBLANK(K434),1,K434),0)</f>
        <v/>
      </c>
      <c r="AB435" s="7" t="inlineStr">
        <is>
          <t>^Warhead_CannonHE_Heavy</t>
        </is>
      </c>
    </row>
    <row r="436">
      <c r="B436" s="7" t="inlineStr">
        <is>
          <t xml:space="preserve">  ↳ KodiakCannonSonic</t>
        </is>
      </c>
      <c r="C436" s="7" t="inlineStr">
        <is>
          <t>Armament@Upgrade</t>
        </is>
      </c>
      <c r="L436" s="6" t="n">
        <v>16000</v>
      </c>
      <c r="M436" s="6" t="n">
        <v>86</v>
      </c>
      <c r="N436" s="6" t="n">
        <v>3</v>
      </c>
      <c r="O436" s="6" t="n">
        <v>4</v>
      </c>
      <c r="P436" s="6" t="n">
        <v>9165</v>
      </c>
      <c r="Q436" s="6" t="n">
        <v>1.25</v>
      </c>
      <c r="R436">
        <f>M436+IF(MAX(N436-1,0)&gt;0,IF(ISBLANK(O436),5*MAX(N436-1,0),IF(ISNUMBER(O436),O436*MAX(N436-1,0),SUM(IFERROR(VALUE(TEXTSPLIT(O436,",")),0)))),0)</f>
        <v/>
      </c>
      <c r="S436">
        <f>IFERROR(L436*MAX(N436,1)/R436*IF(ISBLANK(K434),1,K434),0)</f>
        <v/>
      </c>
      <c r="AB436" s="7" t="inlineStr">
        <is>
          <t>^Warhead_CannonHE_Heavy, ^Warhead_Sonic_Heavy</t>
        </is>
      </c>
    </row>
    <row r="437">
      <c r="B437" s="7" t="inlineStr">
        <is>
          <t xml:space="preserve">  ↳ KodiakAAGuns</t>
        </is>
      </c>
      <c r="C437" s="7" t="inlineStr">
        <is>
          <t>Armament@SECONDARY</t>
        </is>
      </c>
      <c r="L437" s="6" t="n">
        <v>6000</v>
      </c>
      <c r="M437" s="6" t="n">
        <v>4</v>
      </c>
      <c r="N437" s="6" t="n">
        <v>1</v>
      </c>
      <c r="O437" s="6" t="n"/>
      <c r="P437" s="6" t="n">
        <v>8450</v>
      </c>
      <c r="Q437" s="6" t="n">
        <v>1</v>
      </c>
      <c r="R437">
        <f>M437+IF(MAX(N437-1,0)&gt;0,IF(ISBLANK(O437),5*MAX(N437-1,0),IF(ISNUMBER(O437),O437*MAX(N437-1,0),SUM(IFERROR(VALUE(TEXTSPLIT(O437,",")),0)))),0)</f>
        <v/>
      </c>
      <c r="S437">
        <f>IFERROR(L437*MAX(N437,1)/R437*IF(ISBLANK(K434),1,K434),0)</f>
        <v/>
      </c>
      <c r="AB437" s="7" t="inlineStr">
        <is>
          <t>^Warhead_Flak_Medium</t>
        </is>
      </c>
    </row>
    <row r="438">
      <c r="A438" t="inlineStr">
        <is>
          <t>redalert2</t>
        </is>
      </c>
      <c r="B438" t="inlineStr">
        <is>
          <t>ra2_soviets_kirovairship</t>
        </is>
      </c>
      <c r="C438" t="inlineStr">
        <is>
          <t>Kirov Airship</t>
        </is>
      </c>
      <c r="D438" s="6" t="inlineStr">
        <is>
          <t>Spaceship</t>
        </is>
      </c>
      <c r="E438" s="6" t="n">
        <v>800000</v>
      </c>
      <c r="F438" s="6" t="n">
        <v>30</v>
      </c>
      <c r="G438" t="inlineStr">
        <is>
          <t>Spaceship</t>
        </is>
      </c>
      <c r="H438" s="6" t="n">
        <v>0.5205</v>
      </c>
      <c r="I438" s="6" t="n">
        <v>1</v>
      </c>
      <c r="J438" s="6" t="n">
        <v>1</v>
      </c>
      <c r="P438">
        <f>MAX(P439,P440,P441,P442,P443,P444)</f>
        <v/>
      </c>
      <c r="S438">
        <f>S439+S440+S441+S442+S443+S444</f>
        <v/>
      </c>
      <c r="T438">
        <f>(E438/100000+F438/100+(P438/1000)*J438/5+S438/200)*200*I438*H438</f>
        <v/>
      </c>
      <c r="U438">
        <f>((E438*F438/25000)+((P438/1000)*J438*S438/2.5))*I438*H438</f>
        <v/>
      </c>
      <c r="V438">
        <f>(E438*F438*(P438/1000)*J438*S438*I438*H438)/12500000</f>
        <v/>
      </c>
      <c r="W438">
        <f>(T438+U438+V438)/3</f>
        <v/>
      </c>
      <c r="X438" s="6" t="n">
        <v>4000</v>
      </c>
      <c r="Y438">
        <f>IFERROR(W438-X438,"")</f>
        <v/>
      </c>
      <c r="Z438">
        <f>IFERROR(ABS(Y438)/MAX(X438,1),"")</f>
        <v/>
      </c>
      <c r="AA438">
        <f>IFERROR((X438-(((E438/100000+F438/100+S438/200)*200*I438*H438)+((E438*F438/25000)*I438*H438))/3)/(((J438/5)*200*I438*H438)+((J438*S438/2.5)*I438*H438)+((E438*F438*J438*S438*I438*H438)/12500000))/3*1000,"")</f>
        <v/>
      </c>
    </row>
    <row r="439">
      <c r="B439" s="7" t="inlineStr">
        <is>
          <t xml:space="preserve">  ↳ RA2KirovBomb</t>
        </is>
      </c>
      <c r="C439" s="7" t="inlineStr">
        <is>
          <t>Armament@PRIMARY</t>
        </is>
      </c>
      <c r="L439" s="6" t="n">
        <v>80000</v>
      </c>
      <c r="M439" s="6" t="n">
        <v>50</v>
      </c>
      <c r="N439" s="6" t="n">
        <v>1</v>
      </c>
      <c r="O439" s="6" t="n"/>
      <c r="P439" s="6" t="n">
        <v>2500</v>
      </c>
      <c r="Q439" s="6" t="n">
        <v>1.25</v>
      </c>
      <c r="R439">
        <f>M439+IF(MAX(N439-1,0)&gt;0,IF(ISBLANK(O439),5*MAX(N439-1,0),IF(ISNUMBER(O439),O439*MAX(N439-1,0),SUM(IFERROR(VALUE(TEXTSPLIT(O439,",")),0)))),0)</f>
        <v/>
      </c>
      <c r="S439">
        <f>IFERROR(L439*MAX(N439,1)/R439*IF(ISBLANK(K438),1,K438),0)</f>
        <v/>
      </c>
      <c r="AB439" s="7" t="inlineStr">
        <is>
          <t>^Warhead_Demolition_Heavy</t>
        </is>
      </c>
    </row>
    <row r="440">
      <c r="B440" s="7" t="inlineStr">
        <is>
          <t xml:space="preserve">  ↳ RA2KirovBomb_rad</t>
        </is>
      </c>
      <c r="C440" s="7" t="inlineStr">
        <is>
          <t>Armament@PRIMARYRad</t>
        </is>
      </c>
      <c r="L440" s="6" t="n">
        <v>96000</v>
      </c>
      <c r="M440" s="6" t="n">
        <v>50</v>
      </c>
      <c r="N440" s="6" t="n">
        <v>1</v>
      </c>
      <c r="O440" s="6" t="n"/>
      <c r="P440" s="6" t="n">
        <v>2500</v>
      </c>
      <c r="Q440" s="6" t="n">
        <v>1.25</v>
      </c>
      <c r="R440">
        <f>M440+IF(MAX(N440-1,0)&gt;0,IF(ISBLANK(O440),5*MAX(N440-1,0),IF(ISNUMBER(O440),O440*MAX(N440-1,0),SUM(IFERROR(VALUE(TEXTSPLIT(O440,",")),0)))),0)</f>
        <v/>
      </c>
      <c r="S440">
        <f>IFERROR(L440*MAX(N440,1)/R440*IF(ISBLANK(K438),1,K438),0)</f>
        <v/>
      </c>
      <c r="AB440" s="7" t="inlineStr">
        <is>
          <t>^Warhead_Chemical_Heavy, ^Warhead_Demolition_Heavy</t>
        </is>
      </c>
    </row>
    <row r="441">
      <c r="B441" s="7" t="inlineStr">
        <is>
          <t xml:space="preserve">  ↳ RA2KirovBomb_fire</t>
        </is>
      </c>
      <c r="C441" s="7" t="inlineStr">
        <is>
          <t>Armament@PRIMARYFire</t>
        </is>
      </c>
      <c r="L441" s="6" t="n">
        <v>80000</v>
      </c>
      <c r="M441" s="6" t="n">
        <v>50</v>
      </c>
      <c r="N441" s="6" t="n">
        <v>1</v>
      </c>
      <c r="O441" s="6" t="n"/>
      <c r="P441" s="6" t="n">
        <v>2500</v>
      </c>
      <c r="Q441" s="6" t="n">
        <v>1.25</v>
      </c>
      <c r="R441">
        <f>M441+IF(MAX(N441-1,0)&gt;0,IF(ISBLANK(O441),5*MAX(N441-1,0),IF(ISNUMBER(O441),O441*MAX(N441-1,0),SUM(IFERROR(VALUE(TEXTSPLIT(O441,",")),0)))),0)</f>
        <v/>
      </c>
      <c r="S441">
        <f>IFERROR(L441*MAX(N441,1)/R441*IF(ISBLANK(K438),1,K438),0)</f>
        <v/>
      </c>
      <c r="AB441" s="7" t="inlineStr">
        <is>
          <t>^Warhead_Demolition_Heavy</t>
        </is>
      </c>
    </row>
    <row r="442">
      <c r="B442" s="7" t="inlineStr">
        <is>
          <t xml:space="preserve">  ↳ RA2KirovBomb_tesla</t>
        </is>
      </c>
      <c r="C442" s="7" t="inlineStr">
        <is>
          <t>Armament@PRIMARYTesla</t>
        </is>
      </c>
      <c r="L442" s="6" t="n">
        <v>160000</v>
      </c>
      <c r="M442" s="6" t="n">
        <v>50</v>
      </c>
      <c r="N442" s="6" t="n">
        <v>1</v>
      </c>
      <c r="O442" s="6" t="n"/>
      <c r="P442" s="6" t="n">
        <v>2500</v>
      </c>
      <c r="Q442" s="6" t="n">
        <v>1.25</v>
      </c>
      <c r="R442">
        <f>M442+IF(MAX(N442-1,0)&gt;0,IF(ISBLANK(O442),5*MAX(N442-1,0),IF(ISNUMBER(O442),O442*MAX(N442-1,0),SUM(IFERROR(VALUE(TEXTSPLIT(O442,",")),0)))),0)</f>
        <v/>
      </c>
      <c r="S442">
        <f>IFERROR(L442*MAX(N442,1)/R442*IF(ISBLANK(K438),1,K438),0)</f>
        <v/>
      </c>
      <c r="AB442" s="7" t="inlineStr">
        <is>
          <t>^Warhead_Tesla_Super, ^Warhead_Demolition_Heavy</t>
        </is>
      </c>
    </row>
    <row r="443">
      <c r="B443" s="7" t="inlineStr">
        <is>
          <t xml:space="preserve">  ↳ RA2KirovBomb_nuclear</t>
        </is>
      </c>
      <c r="C443" s="7" t="inlineStr">
        <is>
          <t>Armament@PRIMARYNuclear</t>
        </is>
      </c>
      <c r="L443" s="6" t="n">
        <v>160000</v>
      </c>
      <c r="M443" s="6" t="n">
        <v>50</v>
      </c>
      <c r="N443" s="6" t="n">
        <v>1</v>
      </c>
      <c r="O443" s="6" t="n"/>
      <c r="P443" s="6" t="n">
        <v>2500</v>
      </c>
      <c r="Q443" s="6" t="n">
        <v>1.375</v>
      </c>
      <c r="R443">
        <f>M443+IF(MAX(N443-1,0)&gt;0,IF(ISBLANK(O443),5*MAX(N443-1,0),IF(ISNUMBER(O443),O443*MAX(N443-1,0),SUM(IFERROR(VALUE(TEXTSPLIT(O443,",")),0)))),0)</f>
        <v/>
      </c>
      <c r="S443">
        <f>IFERROR(L443*MAX(N443,1)/R443*IF(ISBLANK(K438),1,K438),0)</f>
        <v/>
      </c>
      <c r="AB443" s="7" t="inlineStr">
        <is>
          <t>^Warhead_Nuclear_Super, ^Warhead_Demolition_Heavy</t>
        </is>
      </c>
    </row>
    <row r="444">
      <c r="B444" s="7" t="inlineStr">
        <is>
          <t xml:space="preserve">  ↳ RA2KirovBomb_nuclear_elite</t>
        </is>
      </c>
      <c r="C444" s="7" t="inlineStr">
        <is>
          <t>Armament@PRIMARYNuclearELITE</t>
        </is>
      </c>
      <c r="L444" s="6" t="n">
        <v>200000</v>
      </c>
      <c r="M444" s="6" t="n">
        <v>50</v>
      </c>
      <c r="N444" s="6" t="n">
        <v>1</v>
      </c>
      <c r="O444" s="6" t="n"/>
      <c r="P444" s="6" t="n">
        <v>2500</v>
      </c>
      <c r="Q444" s="6" t="n">
        <v>1.375</v>
      </c>
      <c r="R444">
        <f>M444+IF(MAX(N444-1,0)&gt;0,IF(ISBLANK(O444),5*MAX(N444-1,0),IF(ISNUMBER(O444),O444*MAX(N444-1,0),SUM(IFERROR(VALUE(TEXTSPLIT(O444,",")),0)))),0)</f>
        <v/>
      </c>
      <c r="S444">
        <f>IFERROR(L444*MAX(N444,1)/R444*IF(ISBLANK(K438),1,K438),0)</f>
        <v/>
      </c>
      <c r="AB444" s="7" t="inlineStr">
        <is>
          <t>^Warhead_Nuclear_Super, ^Warhead_Demolition_Heavy</t>
        </is>
      </c>
    </row>
    <row r="445">
      <c r="A445" t="inlineStr">
        <is>
          <t>redalert2</t>
        </is>
      </c>
      <c r="B445" t="inlineStr">
        <is>
          <t>yuri_floatingdisk</t>
        </is>
      </c>
      <c r="C445" t="inlineStr">
        <is>
          <t>Floating Disk</t>
        </is>
      </c>
      <c r="D445" s="6" t="inlineStr">
        <is>
          <t>Spaceship</t>
        </is>
      </c>
      <c r="E445" s="6" t="n">
        <v>125000</v>
      </c>
      <c r="F445" s="6" t="n">
        <v>80</v>
      </c>
      <c r="G445" t="inlineStr">
        <is>
          <t>Spaceship</t>
        </is>
      </c>
      <c r="H445" s="6" t="n">
        <v>0.5046</v>
      </c>
      <c r="I445" s="6" t="n">
        <v>1</v>
      </c>
      <c r="J445" s="6" t="n">
        <v>1</v>
      </c>
      <c r="P445">
        <f>MAX(P446,P447,P448)</f>
        <v/>
      </c>
      <c r="S445">
        <f>S446+S447+S448</f>
        <v/>
      </c>
      <c r="T445">
        <f>(E445/100000+F445/100+(P445/1000)*J445/5+S445/200)*200*I445*H445</f>
        <v/>
      </c>
      <c r="U445">
        <f>((E445*F445/25000)+((P445/1000)*J445*S445/2.5))*I445*H445</f>
        <v/>
      </c>
      <c r="V445">
        <f>(E445*F445*(P445/1000)*J445*S445*I445*H445)/12500000</f>
        <v/>
      </c>
      <c r="W445">
        <f>(T445+U445+V445)/3</f>
        <v/>
      </c>
      <c r="X445" s="6" t="n">
        <v>2400</v>
      </c>
      <c r="Y445">
        <f>IFERROR(W445-X445,"")</f>
        <v/>
      </c>
      <c r="Z445">
        <f>IFERROR(ABS(Y445)/MAX(X445,1),"")</f>
        <v/>
      </c>
      <c r="AA445">
        <f>IFERROR((X445-(((E445/100000+F445/100+S445/200)*200*I445*H445)+((E445*F445/25000)*I445*H445))/3)/(((J445/5)*200*I445*H445)+((J445*S445/2.5)*I445*H445)+((E445*F445*J445*S445*I445*H445)/12500000))/3*1000,"")</f>
        <v/>
      </c>
    </row>
    <row r="446">
      <c r="B446" s="7" t="inlineStr">
        <is>
          <t xml:space="preserve">  ↳ RA2DiskLaser</t>
        </is>
      </c>
      <c r="C446" s="7" t="inlineStr">
        <is>
          <t>Armament@PRIMARY</t>
        </is>
      </c>
      <c r="L446" s="6" t="n">
        <v>24000</v>
      </c>
      <c r="M446" s="6" t="n">
        <v>40</v>
      </c>
      <c r="N446" s="6" t="n">
        <v>1</v>
      </c>
      <c r="O446" s="6" t="n"/>
      <c r="P446" s="6" t="n">
        <v>6840</v>
      </c>
      <c r="Q446" s="6" t="n">
        <v>1.25</v>
      </c>
      <c r="R446">
        <f>M446+IF(MAX(N446-1,0)&gt;0,IF(ISBLANK(O446),5*MAX(N446-1,0),IF(ISNUMBER(O446),O446*MAX(N446-1,0),SUM(IFERROR(VALUE(TEXTSPLIT(O446,",")),0)))),0)</f>
        <v/>
      </c>
      <c r="S446">
        <f>IFERROR(L446*MAX(N446,1)/R446*IF(ISBLANK(K445),1,K445),0)</f>
        <v/>
      </c>
      <c r="AB446" s="7" t="inlineStr">
        <is>
          <t>^Warhead_Laser_Heavy</t>
        </is>
      </c>
    </row>
    <row r="447">
      <c r="B447" s="7" t="inlineStr">
        <is>
          <t xml:space="preserve">  ↳ RA2DiskLaser_elite</t>
        </is>
      </c>
      <c r="C447" s="7" t="inlineStr">
        <is>
          <t>Armament@ELITE</t>
        </is>
      </c>
      <c r="L447" s="6" t="n">
        <v>48000</v>
      </c>
      <c r="M447" s="6" t="n">
        <v>40</v>
      </c>
      <c r="N447" s="6" t="n">
        <v>1</v>
      </c>
      <c r="O447" s="6" t="n"/>
      <c r="P447" s="6" t="n">
        <v>7840</v>
      </c>
      <c r="Q447" s="6" t="n">
        <v>1.25</v>
      </c>
      <c r="R447">
        <f>M447+IF(MAX(N447-1,0)&gt;0,IF(ISBLANK(O447),5*MAX(N447-1,0),IF(ISNUMBER(O447),O447*MAX(N447-1,0),SUM(IFERROR(VALUE(TEXTSPLIT(O447,",")),0)))),0)</f>
        <v/>
      </c>
      <c r="S447">
        <f>IFERROR(L447*MAX(N447,1)/R447*IF(ISBLANK(K445),1,K445),0)</f>
        <v/>
      </c>
      <c r="AB447" s="7" t="inlineStr">
        <is>
          <t>^Warhead_Laser_Heavy</t>
        </is>
      </c>
    </row>
    <row r="448">
      <c r="B448" s="7" t="inlineStr">
        <is>
          <t xml:space="preserve">  ↳ RA2DiskDrain</t>
        </is>
      </c>
      <c r="C448" s="7" t="inlineStr">
        <is>
          <t>Armament@SECOND</t>
        </is>
      </c>
      <c r="L448" s="6" t="n">
        <v>4000</v>
      </c>
      <c r="M448" s="6" t="n">
        <v>5</v>
      </c>
      <c r="N448" s="6" t="n">
        <v>1</v>
      </c>
      <c r="O448" s="6" t="n"/>
      <c r="P448" s="6" t="n">
        <v>125</v>
      </c>
      <c r="Q448" s="6" t="n">
        <v>1.25</v>
      </c>
      <c r="R448">
        <f>M448+IF(MAX(N448-1,0)&gt;0,IF(ISBLANK(O448),5*MAX(N448-1,0),IF(ISNUMBER(O448),O448*MAX(N448-1,0),SUM(IFERROR(VALUE(TEXTSPLIT(O448,",")),0)))),0)</f>
        <v/>
      </c>
      <c r="S448">
        <f>IFERROR(L448*MAX(N448,1)/R448*IF(ISBLANK(K445),1,K445),0)</f>
        <v/>
      </c>
      <c r="AB448" s="7" t="inlineStr">
        <is>
          <t>^Warhead_Tesla_Heavy, ^Warhead_Magic_Heavy</t>
        </is>
      </c>
    </row>
    <row r="449">
      <c r="B449" s="7" t="inlineStr">
        <is>
          <t xml:space="preserve">  ↳ RA2DiskSteal</t>
        </is>
      </c>
      <c r="C449" s="7" t="inlineStr">
        <is>
          <t>Armament@Steal</t>
        </is>
      </c>
      <c r="M449" s="6" t="n">
        <v>5</v>
      </c>
      <c r="N449" s="6" t="n">
        <v>1</v>
      </c>
      <c r="O449" s="6" t="n"/>
      <c r="P449" s="6" t="n">
        <v>125</v>
      </c>
      <c r="Q449" s="6" t="n">
        <v>1</v>
      </c>
      <c r="R449">
        <f>M449+IF(MAX(N449-1,0)&gt;0,IF(ISBLANK(O449),5*MAX(N449-1,0),IF(ISNUMBER(O449),O449*MAX(N449-1,0),SUM(IFERROR(VALUE(TEXTSPLIT(O449,",")),0)))),0)</f>
        <v/>
      </c>
      <c r="S449">
        <f>IFERROR(L449*MAX(N449,1)/R449*IF(ISBLANK(K445),1,K445),0)</f>
        <v/>
      </c>
      <c r="AB449" s="7" t="inlineStr"/>
    </row>
    <row r="450">
      <c r="A450" t="inlineStr">
        <is>
          <t>redalert2mod</t>
        </is>
      </c>
      <c r="B450" t="inlineStr">
        <is>
          <t>steelconsortium_cloudbreaker</t>
        </is>
      </c>
      <c r="C450" t="inlineStr">
        <is>
          <t>Cloud Breaker</t>
        </is>
      </c>
      <c r="D450" s="6" t="inlineStr">
        <is>
          <t>Spaceship</t>
        </is>
      </c>
      <c r="E450" s="6" t="n">
        <v>250000</v>
      </c>
      <c r="F450" s="6" t="n">
        <v>50</v>
      </c>
      <c r="G450" t="inlineStr">
        <is>
          <t>Spaceship</t>
        </is>
      </c>
      <c r="H450" s="6" t="n">
        <v>0.75</v>
      </c>
      <c r="I450" s="6" t="n">
        <v>1</v>
      </c>
      <c r="J450" s="6" t="n">
        <v>1.25</v>
      </c>
      <c r="K450" t="n">
        <v>0.005</v>
      </c>
      <c r="P450">
        <f>MAX(P451,P452,P453,P454)</f>
        <v/>
      </c>
      <c r="S450">
        <f>S451+S452+S453+S454</f>
        <v/>
      </c>
      <c r="T450">
        <f>(E450/100000+F450/100+(P450/1000)*J450/5+S450/200)*200*I450*H450</f>
        <v/>
      </c>
      <c r="U450">
        <f>((E450*F450/25000)+((P450/1000)*J450*S450/2.5))*I450*H450</f>
        <v/>
      </c>
      <c r="V450">
        <f>(E450*F450*(P450/1000)*J450*S450*I450*H450)/12500000</f>
        <v/>
      </c>
      <c r="W450">
        <f>(T450+U450+V450)/3</f>
        <v/>
      </c>
      <c r="X450" s="6" t="n">
        <v>5000</v>
      </c>
      <c r="Y450">
        <f>IFERROR(W450-X450,"")</f>
        <v/>
      </c>
      <c r="Z450">
        <f>IFERROR(ABS(Y450)/MAX(X450,1),"")</f>
        <v/>
      </c>
      <c r="AA450">
        <f>IFERROR((X450-(((E450/100000+F450/100+S450/200)*200*I450*H450)+((E450*F450/25000)*I450*H450))/3)/(((J450/5)*200*I450*H450)+((J450*S450/2.5)*I450*H450)+((E450*F450*J450*S450*I450*H450)/12500000))/3*1000,"")</f>
        <v/>
      </c>
    </row>
    <row r="451">
      <c r="B451" s="7" t="inlineStr">
        <is>
          <t xml:space="preserve">  ↳ SteelCruiserCannons</t>
        </is>
      </c>
      <c r="C451" s="7" t="inlineStr">
        <is>
          <t>Armament@PRIMARY</t>
        </is>
      </c>
      <c r="L451" s="6" t="n">
        <v>8000</v>
      </c>
      <c r="M451" s="6" t="n">
        <v>5</v>
      </c>
      <c r="N451" s="6" t="n">
        <v>1</v>
      </c>
      <c r="O451" s="6" t="n"/>
      <c r="P451" s="6" t="n">
        <v>7000</v>
      </c>
      <c r="Q451" s="6" t="n">
        <v>1</v>
      </c>
      <c r="R451">
        <f>M451+IF(MAX(N451-1,0)&gt;0,IF(ISBLANK(O451),5*MAX(N451-1,0),IF(ISNUMBER(O451),O451*MAX(N451-1,0),SUM(IFERROR(VALUE(TEXTSPLIT(O451,",")),0)))),0)</f>
        <v/>
      </c>
      <c r="S451">
        <f>IFERROR(L451*MAX(N451,1)/R451*IF(ISBLANK(K450),1,K450),0)</f>
        <v/>
      </c>
      <c r="AB451" s="7" t="inlineStr">
        <is>
          <t>^Warhead_Bullet_Medium</t>
        </is>
      </c>
    </row>
    <row r="452">
      <c r="B452" s="7" t="inlineStr">
        <is>
          <t xml:space="preserve">  ↳ SteelCruiserCannons_elite</t>
        </is>
      </c>
      <c r="C452" s="7" t="inlineStr">
        <is>
          <t>Armament@PRIMARYELITE</t>
        </is>
      </c>
      <c r="L452" s="6" t="n">
        <v>8000</v>
      </c>
      <c r="M452" s="6" t="n">
        <v>5</v>
      </c>
      <c r="N452" s="6" t="n">
        <v>2</v>
      </c>
      <c r="O452" s="6" t="n">
        <v>1</v>
      </c>
      <c r="P452" s="6" t="n">
        <v>8000</v>
      </c>
      <c r="Q452" s="6" t="n">
        <v>1</v>
      </c>
      <c r="R452">
        <f>M452+IF(MAX(N452-1,0)&gt;0,IF(ISBLANK(O452),5*MAX(N452-1,0),IF(ISNUMBER(O452),O452*MAX(N452-1,0),SUM(IFERROR(VALUE(TEXTSPLIT(O452,",")),0)))),0)</f>
        <v/>
      </c>
      <c r="S452">
        <f>IFERROR(L452*MAX(N452,1)/R452*IF(ISBLANK(K450),1,K450),0)</f>
        <v/>
      </c>
      <c r="AB452" s="7" t="inlineStr">
        <is>
          <t>^Warhead_Bullet_Medium</t>
        </is>
      </c>
    </row>
    <row r="453">
      <c r="B453" s="7" t="inlineStr">
        <is>
          <t xml:space="preserve">  ↳ SteelCruiserArtillery</t>
        </is>
      </c>
      <c r="C453" s="7" t="inlineStr">
        <is>
          <t>Armament@CANNON</t>
        </is>
      </c>
      <c r="L453" s="6" t="n">
        <v>32000</v>
      </c>
      <c r="M453" s="6" t="n">
        <v>20</v>
      </c>
      <c r="N453" s="6" t="n">
        <v>1</v>
      </c>
      <c r="O453" s="6" t="n"/>
      <c r="P453" s="6" t="n">
        <v>7000</v>
      </c>
      <c r="Q453" s="6" t="n">
        <v>0.875</v>
      </c>
      <c r="R453">
        <f>M453+IF(MAX(N453-1,0)&gt;0,IF(ISBLANK(O453),5*MAX(N453-1,0),IF(ISNUMBER(O453),O453*MAX(N453-1,0),SUM(IFERROR(VALUE(TEXTSPLIT(O453,",")),0)))),0)</f>
        <v/>
      </c>
      <c r="S453">
        <f>IFERROR(L453*MAX(N453,1)/R453*IF(ISBLANK(K450),1,K450),0)</f>
        <v/>
      </c>
      <c r="AB453" s="7" t="inlineStr">
        <is>
          <t>^Warhead_CannonHE_Medium, ^Warhead_Demolition_Light</t>
        </is>
      </c>
    </row>
    <row r="454">
      <c r="B454" s="7" t="inlineStr">
        <is>
          <t xml:space="preserve">  ↳ SteelCruiserArtillery_elite</t>
        </is>
      </c>
      <c r="C454" s="7" t="inlineStr">
        <is>
          <t>Armament@CANNONELITE</t>
        </is>
      </c>
      <c r="L454" s="6" t="n">
        <v>32000</v>
      </c>
      <c r="M454" s="6" t="n">
        <v>20</v>
      </c>
      <c r="N454" s="6" t="n">
        <v>2</v>
      </c>
      <c r="O454" s="6" t="n">
        <v>3</v>
      </c>
      <c r="P454" s="6" t="n">
        <v>8000</v>
      </c>
      <c r="Q454" s="6" t="n">
        <v>0.875</v>
      </c>
      <c r="R454">
        <f>M454+IF(MAX(N454-1,0)&gt;0,IF(ISBLANK(O454),5*MAX(N454-1,0),IF(ISNUMBER(O454),O454*MAX(N454-1,0),SUM(IFERROR(VALUE(TEXTSPLIT(O454,",")),0)))),0)</f>
        <v/>
      </c>
      <c r="S454">
        <f>IFERROR(L454*MAX(N454,1)/R454*IF(ISBLANK(K450),1,K450),0)</f>
        <v/>
      </c>
      <c r="AB454" s="7" t="inlineStr">
        <is>
          <t>^Warhead_CannonHE_Medium, ^Warhead_Demolition_Light</t>
        </is>
      </c>
    </row>
    <row r="455">
      <c r="A455" t="inlineStr">
        <is>
          <t>redalert2mod</t>
        </is>
      </c>
      <c r="B455" t="inlineStr">
        <is>
          <t>steelconsortium_empressstation</t>
        </is>
      </c>
      <c r="C455" t="inlineStr">
        <is>
          <t>Empress Station</t>
        </is>
      </c>
      <c r="D455" s="6" t="inlineStr">
        <is>
          <t>Spaceship</t>
        </is>
      </c>
      <c r="E455" s="6" t="n">
        <v>1500000</v>
      </c>
      <c r="F455" s="6" t="n">
        <v>25</v>
      </c>
      <c r="G455" t="inlineStr">
        <is>
          <t>Spaceship</t>
        </is>
      </c>
      <c r="H455" s="6" t="n">
        <v>0.75</v>
      </c>
      <c r="I455" s="6" t="n">
        <v>1</v>
      </c>
      <c r="J455" s="6" t="n">
        <v>1.25</v>
      </c>
      <c r="K455" t="n">
        <v>0.001</v>
      </c>
      <c r="P455">
        <f>MAX(P456)</f>
        <v/>
      </c>
      <c r="S455">
        <f>S456</f>
        <v/>
      </c>
      <c r="T455">
        <f>(E455/100000+F455/100+(P455/1000)*J455/5+S455/200)*200*I455*H455</f>
        <v/>
      </c>
      <c r="U455">
        <f>((E455*F455/25000)+((P455/1000)*J455*S455/2.5))*I455*H455</f>
        <v/>
      </c>
      <c r="V455">
        <f>(E455*F455*(P455/1000)*J455*S455*I455*H455)/12500000</f>
        <v/>
      </c>
      <c r="W455">
        <f>(T455+U455+V455)/3</f>
        <v/>
      </c>
      <c r="X455" s="6" t="n">
        <v>5000</v>
      </c>
      <c r="Y455">
        <f>IFERROR(W455-X455,"")</f>
        <v/>
      </c>
      <c r="Z455">
        <f>IFERROR(ABS(Y455)/MAX(X455,1),"")</f>
        <v/>
      </c>
      <c r="AA455">
        <f>IFERROR((X455-(((E455/100000+F455/100+S455/200)*200*I455*H455)+((E455*F455/25000)*I455*H455))/3)/(((J455/5)*200*I455*H455)+((J455*S455/2.5)*I455*H455)+((E455*F455*J455*S455*I455*H455)/12500000))/3*1000,"")</f>
        <v/>
      </c>
    </row>
    <row r="456">
      <c r="B456" s="7" t="inlineStr">
        <is>
          <t xml:space="preserve">  ↳ SteelInspectorIonCannon</t>
        </is>
      </c>
      <c r="C456" s="7" t="inlineStr">
        <is>
          <t>Armament@PRIMARY</t>
        </is>
      </c>
      <c r="L456" s="6" t="n">
        <v>250000</v>
      </c>
      <c r="M456" s="6" t="n">
        <v>25</v>
      </c>
      <c r="N456" s="6" t="n">
        <v>1</v>
      </c>
      <c r="O456" s="6" t="n"/>
      <c r="P456" s="6" t="n">
        <v>2500</v>
      </c>
      <c r="Q456" s="6" t="n">
        <v>1.25</v>
      </c>
      <c r="R456">
        <f>M456+IF(MAX(N456-1,0)&gt;0,IF(ISBLANK(O456),5*MAX(N456-1,0),IF(ISNUMBER(O456),O456*MAX(N456-1,0),SUM(IFERROR(VALUE(TEXTSPLIT(O456,",")),0)))),0)</f>
        <v/>
      </c>
      <c r="S456">
        <f>IFERROR(L456*MAX(N456,1)/R456*IF(ISBLANK(K455),1,K455),0)</f>
        <v/>
      </c>
      <c r="AB456" s="7" t="inlineStr">
        <is>
          <t>^Warhead_Tesla_Heavy, ^Warhead_Tesla_Super</t>
        </is>
      </c>
    </row>
    <row r="457">
      <c r="A457" t="inlineStr">
        <is>
          <t>redalert2mod</t>
        </is>
      </c>
      <c r="B457" t="inlineStr">
        <is>
          <t>schwarzermond_dieglocke</t>
        </is>
      </c>
      <c r="C457" t="inlineStr">
        <is>
          <t>Die Glocke</t>
        </is>
      </c>
      <c r="D457" s="6" t="inlineStr">
        <is>
          <t>Spaceship</t>
        </is>
      </c>
      <c r="E457" s="6" t="n">
        <v>3750000</v>
      </c>
      <c r="F457" s="6" t="n">
        <v>40</v>
      </c>
      <c r="G457" t="inlineStr">
        <is>
          <t>Spaceship</t>
        </is>
      </c>
      <c r="H457" s="6" t="n">
        <v>0.4571</v>
      </c>
      <c r="I457" s="6" t="n">
        <v>1</v>
      </c>
      <c r="J457" s="6" t="n">
        <v>1</v>
      </c>
      <c r="P457">
        <f>MAX(P458)</f>
        <v/>
      </c>
      <c r="S457">
        <f>S458</f>
        <v/>
      </c>
      <c r="T457">
        <f>(E457/100000+F457/100+(P457/1000)*J457/5+S457/200)*200*I457*H457</f>
        <v/>
      </c>
      <c r="U457">
        <f>((E457*F457/25000)+((P457/1000)*J457*S457/2.5))*I457*H457</f>
        <v/>
      </c>
      <c r="V457">
        <f>(E457*F457*(P457/1000)*J457*S457*I457*H457)/12500000</f>
        <v/>
      </c>
      <c r="W457">
        <f>(T457+U457+V457)/3</f>
        <v/>
      </c>
      <c r="X457" s="6" t="n">
        <v>15000</v>
      </c>
      <c r="Y457">
        <f>IFERROR(W457-X457,"")</f>
        <v/>
      </c>
      <c r="Z457">
        <f>IFERROR(ABS(Y457)/MAX(X457,1),"")</f>
        <v/>
      </c>
      <c r="AA457">
        <f>IFERROR((X457-(((E457/100000+F457/100+S457/200)*200*I457*H457)+((E457*F457/25000)*I457*H457))/3)/(((J457/5)*200*I457*H457)+((J457*S457/2.5)*I457*H457)+((E457*F457*J457*S457*I457*H457)/12500000))/3*1000,"")</f>
        <v/>
      </c>
    </row>
    <row r="458">
      <c r="B458" s="7" t="inlineStr">
        <is>
          <t xml:space="preserve">  ↳ NaxDieGlocke</t>
        </is>
      </c>
      <c r="C458" s="7" t="inlineStr">
        <is>
          <t>Armament@PRIMARY</t>
        </is>
      </c>
      <c r="L458" s="6" t="n">
        <v>10000</v>
      </c>
      <c r="M458" s="6" t="n">
        <v>60</v>
      </c>
      <c r="N458" s="6" t="n">
        <v>1</v>
      </c>
      <c r="O458" s="6" t="n"/>
      <c r="P458" s="6" t="n">
        <v>2500</v>
      </c>
      <c r="Q458" s="6" t="n">
        <v>1.25</v>
      </c>
      <c r="R458">
        <f>M458+IF(MAX(N458-1,0)&gt;0,IF(ISBLANK(O458),5*MAX(N458-1,0),IF(ISNUMBER(O458),O458*MAX(N458-1,0),SUM(IFERROR(VALUE(TEXTSPLIT(O458,",")),0)))),0)</f>
        <v/>
      </c>
      <c r="S458">
        <f>IFERROR(L458*MAX(N458,1)/R458*IF(ISBLANK(K457),1,K457),0)</f>
        <v/>
      </c>
      <c r="AB458" s="7" t="inlineStr">
        <is>
          <t>^Warhead_Chemical_Heavy</t>
        </is>
      </c>
    </row>
    <row r="459">
      <c r="A459" t="inlineStr">
        <is>
          <t>redalert2mod</t>
        </is>
      </c>
      <c r="B459" t="inlineStr">
        <is>
          <t>schwarzermond_haunebuii</t>
        </is>
      </c>
      <c r="C459" t="inlineStr">
        <is>
          <t>Haunebu II</t>
        </is>
      </c>
      <c r="D459" s="6" t="inlineStr">
        <is>
          <t>Spaceship</t>
        </is>
      </c>
      <c r="E459" s="6" t="n">
        <v>250000</v>
      </c>
      <c r="F459" s="6" t="n">
        <v>66</v>
      </c>
      <c r="G459" t="inlineStr">
        <is>
          <t>Spaceship</t>
        </is>
      </c>
      <c r="H459" s="6" t="n">
        <v>1</v>
      </c>
      <c r="I459" s="6" t="n">
        <v>0.75</v>
      </c>
      <c r="J459" s="6" t="n">
        <v>1</v>
      </c>
      <c r="P459">
        <f>MAX(P460,P461)</f>
        <v/>
      </c>
      <c r="S459">
        <f>S460+S461</f>
        <v/>
      </c>
      <c r="T459">
        <f>(E459/100000+F459/100+(P459/1000)*J459/5+S459/200)*200*I459*H459</f>
        <v/>
      </c>
      <c r="U459">
        <f>((E459*F459/25000)+((P459/1000)*J459*S459/2.5))*I459*H459</f>
        <v/>
      </c>
      <c r="V459">
        <f>(E459*F459*(P459/1000)*J459*S459*I459*H459)/12500000</f>
        <v/>
      </c>
      <c r="W459">
        <f>(T459+U459+V459)/3</f>
        <v/>
      </c>
      <c r="X459" s="6" t="n">
        <v>3200</v>
      </c>
      <c r="Y459">
        <f>IFERROR(W459-X459,"")</f>
        <v/>
      </c>
      <c r="Z459">
        <f>IFERROR(ABS(Y459)/MAX(X459,1),"")</f>
        <v/>
      </c>
      <c r="AA459">
        <f>IFERROR((X459-(((E459/100000+F459/100+S459/200)*200*I459*H459)+((E459*F459/25000)*I459*H459))/3)/(((J459/5)*200*I459*H459)+((J459*S459/2.5)*I459*H459)+((E459*F459*J459*S459*I459*H459)/12500000))/3*1000,"")</f>
        <v/>
      </c>
    </row>
    <row r="460">
      <c r="B460" s="7" t="inlineStr">
        <is>
          <t xml:space="preserve">  ↳ NaxHaenebuQuadCannon</t>
        </is>
      </c>
      <c r="C460" s="7" t="inlineStr">
        <is>
          <t>Armament@PRIMARY</t>
        </is>
      </c>
      <c r="L460" s="6" t="n">
        <v>6000</v>
      </c>
      <c r="M460" s="6" t="n">
        <v>66</v>
      </c>
      <c r="N460" s="6" t="n">
        <v>6</v>
      </c>
      <c r="O460" s="6" t="n">
        <v>0</v>
      </c>
      <c r="P460" s="6" t="n">
        <v>6666</v>
      </c>
      <c r="Q460" s="6" t="n">
        <v>1</v>
      </c>
      <c r="R460">
        <f>M460+IF(MAX(N460-1,0)&gt;0,IF(ISBLANK(O460),5*MAX(N460-1,0),IF(ISNUMBER(O460),O460*MAX(N460-1,0),SUM(IFERROR(VALUE(TEXTSPLIT(O460,",")),0)))),0)</f>
        <v/>
      </c>
      <c r="S460">
        <f>IFERROR(L460*MAX(N460,1)/R460*IF(ISBLANK(K459),1,K459),0)</f>
        <v/>
      </c>
      <c r="AB460" s="7" t="inlineStr">
        <is>
          <t>^Warhead_Concussion_Light, ^Warhead_MissileAP_Heavy, ^Warhead_Flak_Medium</t>
        </is>
      </c>
    </row>
    <row r="461">
      <c r="B461" s="7" t="inlineStr">
        <is>
          <t xml:space="preserve">  ↳ NaxHaenebuQuadCannon_elite</t>
        </is>
      </c>
      <c r="C461" s="7" t="inlineStr">
        <is>
          <t>Armament@ELITE</t>
        </is>
      </c>
      <c r="L461" s="6" t="n">
        <v>6000</v>
      </c>
      <c r="M461" s="6" t="n">
        <v>66</v>
      </c>
      <c r="N461" s="6" t="n">
        <v>7</v>
      </c>
      <c r="O461" s="6" t="n">
        <v>0</v>
      </c>
      <c r="P461" s="6" t="n">
        <v>7777</v>
      </c>
      <c r="Q461" s="6" t="n">
        <v>1</v>
      </c>
      <c r="R461">
        <f>M461+IF(MAX(N461-1,0)&gt;0,IF(ISBLANK(O461),5*MAX(N461-1,0),IF(ISNUMBER(O461),O461*MAX(N461-1,0),SUM(IFERROR(VALUE(TEXTSPLIT(O461,",")),0)))),0)</f>
        <v/>
      </c>
      <c r="S461">
        <f>IFERROR(L461*MAX(N461,1)/R461*IF(ISBLANK(K459),1,K459),0)</f>
        <v/>
      </c>
      <c r="AB461" s="7" t="inlineStr">
        <is>
          <t>^Warhead_Concussion_Light, ^Warhead_MissileAP_Heavy, ^Warhead_Flak_Medium</t>
        </is>
      </c>
    </row>
    <row r="462">
      <c r="A462" t="inlineStr">
        <is>
          <t>redalert2mod</t>
        </is>
      </c>
      <c r="B462" t="inlineStr">
        <is>
          <t>schwarzermond_haunebuiii</t>
        </is>
      </c>
      <c r="C462" t="inlineStr">
        <is>
          <t>Haunebu III</t>
        </is>
      </c>
      <c r="D462" s="6" t="inlineStr">
        <is>
          <t>Spaceship</t>
        </is>
      </c>
      <c r="E462" s="6" t="n">
        <v>375000</v>
      </c>
      <c r="F462" s="6" t="n">
        <v>55</v>
      </c>
      <c r="G462" t="inlineStr">
        <is>
          <t>Spaceship</t>
        </is>
      </c>
      <c r="H462" s="6" t="n">
        <v>0.4571</v>
      </c>
      <c r="I462" s="6" t="n">
        <v>1</v>
      </c>
      <c r="J462" s="6" t="n">
        <v>1</v>
      </c>
      <c r="P462">
        <f>MAX(P463,P464,P465)</f>
        <v/>
      </c>
      <c r="S462">
        <f>S463+S464+S465</f>
        <v/>
      </c>
      <c r="T462">
        <f>(E462/100000+F462/100+(P462/1000)*J462/5+S462/200)*200*I462*H462</f>
        <v/>
      </c>
      <c r="U462">
        <f>((E462*F462/25000)+((P462/1000)*J462*S462/2.5))*I462*H462</f>
        <v/>
      </c>
      <c r="V462">
        <f>(E462*F462*(P462/1000)*J462*S462*I462*H462)/12500000</f>
        <v/>
      </c>
      <c r="W462">
        <f>(T462+U462+V462)/3</f>
        <v/>
      </c>
      <c r="X462" s="6" t="n">
        <v>4000</v>
      </c>
      <c r="Y462">
        <f>IFERROR(W462-X462,"")</f>
        <v/>
      </c>
      <c r="Z462">
        <f>IFERROR(ABS(Y462)/MAX(X462,1),"")</f>
        <v/>
      </c>
      <c r="AA462">
        <f>IFERROR((X462-(((E462/100000+F462/100+S462/200)*200*I462*H462)+((E462*F462/25000)*I462*H462))/3)/(((J462/5)*200*I462*H462)+((J462*S462/2.5)*I462*H462)+((E462*F462*J462*S462*I462*H462)/12500000))/3*1000,"")</f>
        <v/>
      </c>
    </row>
    <row r="463">
      <c r="B463" s="7" t="inlineStr">
        <is>
          <t xml:space="preserve">  ↳ NaxHaenebuQuadCannon</t>
        </is>
      </c>
      <c r="C463" s="7" t="inlineStr">
        <is>
          <t>Armament@PRIMARY</t>
        </is>
      </c>
      <c r="L463" s="6" t="n">
        <v>6000</v>
      </c>
      <c r="M463" s="6" t="n">
        <v>66</v>
      </c>
      <c r="N463" s="6" t="n">
        <v>6</v>
      </c>
      <c r="O463" s="6" t="n">
        <v>0</v>
      </c>
      <c r="P463" s="6" t="n">
        <v>6666</v>
      </c>
      <c r="Q463" s="6" t="n">
        <v>1</v>
      </c>
      <c r="R463">
        <f>M463+IF(MAX(N463-1,0)&gt;0,IF(ISBLANK(O463),5*MAX(N463-1,0),IF(ISNUMBER(O463),O463*MAX(N463-1,0),SUM(IFERROR(VALUE(TEXTSPLIT(O463,",")),0)))),0)</f>
        <v/>
      </c>
      <c r="S463">
        <f>IFERROR(L463*MAX(N463,1)/R463*IF(ISBLANK(K462),1,K462),0)</f>
        <v/>
      </c>
      <c r="AB463" s="7" t="inlineStr">
        <is>
          <t>^Warhead_Concussion_Light, ^Warhead_MissileAP_Heavy, ^Warhead_Flak_Medium</t>
        </is>
      </c>
    </row>
    <row r="464">
      <c r="B464" s="7" t="inlineStr">
        <is>
          <t xml:space="preserve">  ↳ NaxHaenebuQuadCannon_elite</t>
        </is>
      </c>
      <c r="C464" s="7" t="inlineStr">
        <is>
          <t>Armament@ELITE</t>
        </is>
      </c>
      <c r="L464" s="6" t="n">
        <v>6000</v>
      </c>
      <c r="M464" s="6" t="n">
        <v>66</v>
      </c>
      <c r="N464" s="6" t="n">
        <v>7</v>
      </c>
      <c r="O464" s="6" t="n">
        <v>0</v>
      </c>
      <c r="P464" s="6" t="n">
        <v>7777</v>
      </c>
      <c r="Q464" s="6" t="n">
        <v>1</v>
      </c>
      <c r="R464">
        <f>M464+IF(MAX(N464-1,0)&gt;0,IF(ISBLANK(O464),5*MAX(N464-1,0),IF(ISNUMBER(O464),O464*MAX(N464-1,0),SUM(IFERROR(VALUE(TEXTSPLIT(O464,",")),0)))),0)</f>
        <v/>
      </c>
      <c r="S464">
        <f>IFERROR(L464*MAX(N464,1)/R464*IF(ISBLANK(K462),1,K462),0)</f>
        <v/>
      </c>
      <c r="AB464" s="7" t="inlineStr">
        <is>
          <t>^Warhead_Concussion_Light, ^Warhead_MissileAP_Heavy, ^Warhead_Flak_Medium</t>
        </is>
      </c>
    </row>
    <row r="465">
      <c r="B465" s="7" t="inlineStr">
        <is>
          <t xml:space="preserve">  ↳ NaxiCowDrop</t>
        </is>
      </c>
      <c r="C465" s="7" t="inlineStr">
        <is>
          <t>Armament@SECOND</t>
        </is>
      </c>
      <c r="L465" s="6" t="n">
        <v>10000</v>
      </c>
      <c r="M465" s="6" t="n">
        <v>50</v>
      </c>
      <c r="N465" s="6" t="n">
        <v>1</v>
      </c>
      <c r="O465" s="6" t="n"/>
      <c r="P465" s="6" t="n">
        <v>2000</v>
      </c>
      <c r="Q465" s="6" t="n">
        <v>1.25</v>
      </c>
      <c r="R465">
        <f>M465+IF(MAX(N465-1,0)&gt;0,IF(ISBLANK(O465),5*MAX(N465-1,0),IF(ISNUMBER(O465),O465*MAX(N465-1,0),SUM(IFERROR(VALUE(TEXTSPLIT(O465,",")),0)))),0)</f>
        <v/>
      </c>
      <c r="S465">
        <f>IFERROR(L465*MAX(N465,1)/R465*IF(ISBLANK(K462),1,K462),0)</f>
        <v/>
      </c>
      <c r="AB465" s="7" t="inlineStr">
        <is>
          <t>^Warhead_Demolition_Heavy</t>
        </is>
      </c>
    </row>
    <row r="466">
      <c r="A466" t="inlineStr">
        <is>
          <t>redalert2mod</t>
        </is>
      </c>
      <c r="B466" t="inlineStr">
        <is>
          <t>futuretech_harbingergunship</t>
        </is>
      </c>
      <c r="C466" t="inlineStr">
        <is>
          <t>Harbinger Gunship</t>
        </is>
      </c>
      <c r="D466" s="6" t="inlineStr">
        <is>
          <t>Spaceship</t>
        </is>
      </c>
      <c r="E466" s="6" t="n">
        <v>400000</v>
      </c>
      <c r="F466" s="6" t="n">
        <v>125</v>
      </c>
      <c r="G466" t="inlineStr">
        <is>
          <t>Spaceship</t>
        </is>
      </c>
      <c r="H466" s="6" t="n">
        <v>0.289</v>
      </c>
      <c r="I466" s="6" t="n">
        <v>1</v>
      </c>
      <c r="J466" s="6" t="n">
        <v>1</v>
      </c>
      <c r="K466" t="n">
        <v>0.005</v>
      </c>
      <c r="P466">
        <f>MAX(P467,P468,P469,P470)</f>
        <v/>
      </c>
      <c r="S466">
        <f>S467+S468+S469+S470</f>
        <v/>
      </c>
      <c r="T466">
        <f>(E466/100000+F466/100+(P466/1000)*J466/5+S466/200)*200*I466*H466</f>
        <v/>
      </c>
      <c r="U466">
        <f>((E466*F466/25000)+((P466/1000)*J466*S466/2.5))*I466*H466</f>
        <v/>
      </c>
      <c r="V466">
        <f>(E466*F466*(P466/1000)*J466*S466*I466*H466)/12500000</f>
        <v/>
      </c>
      <c r="W466">
        <f>(T466+U466+V466)/3</f>
        <v/>
      </c>
      <c r="X466" s="6" t="n">
        <v>10000</v>
      </c>
      <c r="Y466">
        <f>IFERROR(W466-X466,"")</f>
        <v/>
      </c>
      <c r="Z466">
        <f>IFERROR(ABS(Y466)/MAX(X466,1),"")</f>
        <v/>
      </c>
      <c r="AA466">
        <f>IFERROR((X466-(((E466/100000+F466/100+S466/200)*200*I466*H466)+((E466*F466/25000)*I466*H466))/3)/(((J466/5)*200*I466*H466)+((J466*S466/2.5)*I466*H466)+((E466*F466*J466*S466*I466*H466)/12500000))/3*1000,"")</f>
        <v/>
      </c>
    </row>
    <row r="467">
      <c r="B467" s="7" t="inlineStr">
        <is>
          <t xml:space="preserve">  ↳ FutureHarbingerCannon</t>
        </is>
      </c>
      <c r="C467" s="7" t="inlineStr">
        <is>
          <t>Armament@PRIMARY</t>
        </is>
      </c>
      <c r="L467" s="6" t="n">
        <v>40000</v>
      </c>
      <c r="M467" s="6" t="n">
        <v>70</v>
      </c>
      <c r="N467" s="6" t="n">
        <v>2</v>
      </c>
      <c r="O467" s="6" t="n">
        <v>5</v>
      </c>
      <c r="P467" s="6" t="n">
        <v>6030</v>
      </c>
      <c r="Q467" s="6" t="n">
        <v>1.25</v>
      </c>
      <c r="R467">
        <f>M467+IF(MAX(N467-1,0)&gt;0,IF(ISBLANK(O467),5*MAX(N467-1,0),IF(ISNUMBER(O467),O467*MAX(N467-1,0),SUM(IFERROR(VALUE(TEXTSPLIT(O467,",")),0)))),0)</f>
        <v/>
      </c>
      <c r="S467">
        <f>IFERROR(L467*MAX(N467,1)/R467*IF(ISBLANK(K466),1,K466),0)</f>
        <v/>
      </c>
      <c r="AB467" s="7" t="inlineStr">
        <is>
          <t>^Warhead_CannonHE_Heavy</t>
        </is>
      </c>
    </row>
    <row r="468">
      <c r="B468" s="7" t="inlineStr">
        <is>
          <t xml:space="preserve">  ↳ FutureHarbingerCannon_elite</t>
        </is>
      </c>
      <c r="C468" s="7" t="inlineStr">
        <is>
          <t>Armament@PRIMARYELITE</t>
        </is>
      </c>
      <c r="L468" s="6" t="n">
        <v>40000</v>
      </c>
      <c r="M468" s="6" t="n">
        <v>70</v>
      </c>
      <c r="N468" s="6" t="n">
        <v>4</v>
      </c>
      <c r="O468" s="6" t="n">
        <v>5</v>
      </c>
      <c r="P468" s="6" t="n">
        <v>7030</v>
      </c>
      <c r="Q468" s="6" t="n">
        <v>1.25</v>
      </c>
      <c r="R468">
        <f>M468+IF(MAX(N468-1,0)&gt;0,IF(ISBLANK(O468),5*MAX(N468-1,0),IF(ISNUMBER(O468),O468*MAX(N468-1,0),SUM(IFERROR(VALUE(TEXTSPLIT(O468,",")),0)))),0)</f>
        <v/>
      </c>
      <c r="S468">
        <f>IFERROR(L468*MAX(N468,1)/R468*IF(ISBLANK(K466),1,K466),0)</f>
        <v/>
      </c>
      <c r="AB468" s="7" t="inlineStr">
        <is>
          <t>^Warhead_CannonHE_Heavy</t>
        </is>
      </c>
    </row>
    <row r="469">
      <c r="B469" s="7" t="inlineStr">
        <is>
          <t xml:space="preserve">  ↳ HarbingerChainguns</t>
        </is>
      </c>
      <c r="C469" s="7" t="inlineStr">
        <is>
          <t>Armament@AA</t>
        </is>
      </c>
      <c r="L469" s="6" t="n">
        <v>12000</v>
      </c>
      <c r="M469" s="6" t="n">
        <v>9</v>
      </c>
      <c r="N469" s="6" t="n">
        <v>1</v>
      </c>
      <c r="O469" s="6" t="n"/>
      <c r="P469" s="6" t="n">
        <v>6030</v>
      </c>
      <c r="Q469" s="6" t="n">
        <v>1</v>
      </c>
      <c r="R469">
        <f>M469+IF(MAX(N469-1,0)&gt;0,IF(ISBLANK(O469),5*MAX(N469-1,0),IF(ISNUMBER(O469),O469*MAX(N469-1,0),SUM(IFERROR(VALUE(TEXTSPLIT(O469,",")),0)))),0)</f>
        <v/>
      </c>
      <c r="S469">
        <f>IFERROR(L469*MAX(N469,1)/R469*IF(ISBLANK(K466),1,K466),0)</f>
        <v/>
      </c>
      <c r="AB469" s="7" t="inlineStr">
        <is>
          <t>^Warhead_Flak_Medium</t>
        </is>
      </c>
    </row>
    <row r="470">
      <c r="B470" s="7" t="inlineStr">
        <is>
          <t xml:space="preserve">  ↳ HarbingerChainguns_elite</t>
        </is>
      </c>
      <c r="C470" s="7" t="inlineStr">
        <is>
          <t>Armament@AAELITE</t>
        </is>
      </c>
      <c r="L470" s="6" t="n">
        <v>12000</v>
      </c>
      <c r="M470" s="6" t="n">
        <v>9</v>
      </c>
      <c r="N470" s="6" t="n">
        <v>2</v>
      </c>
      <c r="O470" s="6" t="n">
        <v>1</v>
      </c>
      <c r="P470" s="6" t="n">
        <v>7030</v>
      </c>
      <c r="Q470" s="6" t="n">
        <v>1</v>
      </c>
      <c r="R470">
        <f>M470+IF(MAX(N470-1,0)&gt;0,IF(ISBLANK(O470),5*MAX(N470-1,0),IF(ISNUMBER(O470),O470*MAX(N470-1,0),SUM(IFERROR(VALUE(TEXTSPLIT(O470,",")),0)))),0)</f>
        <v/>
      </c>
      <c r="S470">
        <f>IFERROR(L470*MAX(N470,1)/R470*IF(ISBLANK(K466),1,K466),0)</f>
        <v/>
      </c>
      <c r="AB470" s="7" t="inlineStr">
        <is>
          <t>^Warhead_Flak_Medium</t>
        </is>
      </c>
    </row>
    <row r="471">
      <c r="A471" t="inlineStr">
        <is>
          <t>d2k</t>
        </is>
      </c>
      <c r="B471" t="inlineStr">
        <is>
          <t>ordos_wraith</t>
        </is>
      </c>
      <c r="C471" t="inlineStr">
        <is>
          <t>Wraith</t>
        </is>
      </c>
      <c r="D471" s="6" t="inlineStr">
        <is>
          <t>Spaceship</t>
        </is>
      </c>
      <c r="E471" s="6" t="n">
        <v>375000</v>
      </c>
      <c r="F471" s="6" t="n">
        <v>45</v>
      </c>
      <c r="G471" t="inlineStr">
        <is>
          <t>Spaceship</t>
        </is>
      </c>
      <c r="H471" s="6" t="n">
        <v>0.3143</v>
      </c>
      <c r="I471" s="6" t="n">
        <v>1</v>
      </c>
      <c r="J471" s="6" t="n">
        <v>1</v>
      </c>
      <c r="P471">
        <f>MAX(P472)</f>
        <v/>
      </c>
      <c r="S471">
        <f>S472</f>
        <v/>
      </c>
      <c r="T471">
        <f>(E471/100000+F471/100+(P471/1000)*J471/5+S471/200)*200*I471*H471</f>
        <v/>
      </c>
      <c r="U471">
        <f>((E471*F471/25000)+((P471/1000)*J471*S471/2.5))*I471*H471</f>
        <v/>
      </c>
      <c r="V471">
        <f>(E471*F471*(P471/1000)*J471*S471*I471*H471)/12500000</f>
        <v/>
      </c>
      <c r="W471">
        <f>(T471+U471+V471)/3</f>
        <v/>
      </c>
      <c r="X471" s="6" t="n">
        <v>7000</v>
      </c>
      <c r="Y471">
        <f>IFERROR(W471-X471,"")</f>
        <v/>
      </c>
      <c r="Z471">
        <f>IFERROR(ABS(Y471)/MAX(X471,1),"")</f>
        <v/>
      </c>
      <c r="AA471">
        <f>IFERROR((X471-(((E471/100000+F471/100+S471/200)*200*I471*H471)+((E471*F471/25000)*I471*H471))/3)/(((J471/5)*200*I471*H471)+((J471*S471/2.5)*I471*H471)+((E471*F471*J471*S471*I471*H471)/12500000))/3*1000,"")</f>
        <v/>
      </c>
    </row>
    <row r="472">
      <c r="B472" s="7" t="inlineStr">
        <is>
          <t xml:space="preserve">  ↳ Wraith_ToxinMissiles</t>
        </is>
      </c>
      <c r="C472" s="7" t="inlineStr">
        <is>
          <t>Armament@PRIMARY</t>
        </is>
      </c>
      <c r="L472" s="6" t="n">
        <v>60000</v>
      </c>
      <c r="M472" s="6" t="n">
        <v>125</v>
      </c>
      <c r="N472" s="6" t="n">
        <v>4</v>
      </c>
      <c r="O472" s="6" t="n">
        <v>25</v>
      </c>
      <c r="P472" s="6" t="n">
        <v>8370</v>
      </c>
      <c r="Q472" s="6" t="n">
        <v>1.25</v>
      </c>
      <c r="R472">
        <f>M472+IF(MAX(N472-1,0)&gt;0,IF(ISBLANK(O472),5*MAX(N472-1,0),IF(ISNUMBER(O472),O472*MAX(N472-1,0),SUM(IFERROR(VALUE(TEXTSPLIT(O472,",")),0)))),0)</f>
        <v/>
      </c>
      <c r="S472">
        <f>IFERROR(L472*MAX(N472,1)/R472*IF(ISBLANK(K471),1,K471),0)</f>
        <v/>
      </c>
      <c r="AB472" s="7" t="inlineStr">
        <is>
          <t>^Warhead_CannonHE_Heavy, ^Warhead_MissileAP_Heavy</t>
        </is>
      </c>
    </row>
    <row r="473">
      <c r="A473" t="inlineStr">
        <is>
          <t>d2k</t>
        </is>
      </c>
      <c r="B473" t="inlineStr">
        <is>
          <t>ixian_farasha</t>
        </is>
      </c>
      <c r="C473" t="inlineStr">
        <is>
          <t>Farasha</t>
        </is>
      </c>
      <c r="D473" s="6" t="inlineStr">
        <is>
          <t>Spaceship</t>
        </is>
      </c>
      <c r="E473" s="6" t="n">
        <v>250000</v>
      </c>
      <c r="F473" s="6" t="n">
        <v>40</v>
      </c>
      <c r="G473" t="inlineStr">
        <is>
          <t>Spaceship</t>
        </is>
      </c>
      <c r="H473" s="6" t="n">
        <v>0.75</v>
      </c>
      <c r="I473" s="6" t="n">
        <v>1</v>
      </c>
      <c r="J473" s="6" t="n">
        <v>1.25</v>
      </c>
      <c r="P473">
        <f>MAX(P476,P477)</f>
        <v/>
      </c>
      <c r="S473">
        <f>S476+S477</f>
        <v/>
      </c>
      <c r="T473">
        <f>(E473/100000+F473/100+(P473/1000)*J473/5+S473/200)*200*I473*H473</f>
        <v/>
      </c>
      <c r="U473">
        <f>((E473*F473/25000)+((P473/1000)*J473*S473/2.5))*I473*H473</f>
        <v/>
      </c>
      <c r="V473">
        <f>(E473*F473*(P473/1000)*J473*S473*I473*H473)/12500000</f>
        <v/>
      </c>
      <c r="W473">
        <f>(T473+U473+V473)/3</f>
        <v/>
      </c>
      <c r="X473" s="6" t="n">
        <v>6000</v>
      </c>
      <c r="Y473">
        <f>IFERROR(W473-X473,"")</f>
        <v/>
      </c>
      <c r="Z473">
        <f>IFERROR(ABS(Y473)/MAX(X473,1),"")</f>
        <v/>
      </c>
      <c r="AA473">
        <f>IFERROR((X473-(((E473/100000+F473/100+S473/200)*200*I473*H473)+((E473*F473/25000)*I473*H473))/3)/(((J473/5)*200*I473*H473)+((J473*S473/2.5)*I473*H473)+((E473*F473*J473*S473*I473*H473)/12500000))/3*1000,"")</f>
        <v/>
      </c>
    </row>
    <row r="474">
      <c r="B474" s="7" t="inlineStr">
        <is>
          <t xml:space="preserve">  ↳ d2k_dronelauncher</t>
        </is>
      </c>
      <c r="C474" s="7" t="inlineStr">
        <is>
          <t>Armament@drones</t>
        </is>
      </c>
      <c r="M474" s="6" t="n">
        <v>25</v>
      </c>
      <c r="N474" s="6" t="n">
        <v>1</v>
      </c>
      <c r="O474" s="6" t="n"/>
      <c r="P474" s="6" t="n">
        <v>6400</v>
      </c>
      <c r="Q474" s="6" t="n">
        <v>1</v>
      </c>
      <c r="R474">
        <f>M474+IF(MAX(N474-1,0)&gt;0,IF(ISBLANK(O474),5*MAX(N474-1,0),IF(ISNUMBER(O474),O474*MAX(N474-1,0),SUM(IFERROR(VALUE(TEXTSPLIT(O474,",")),0)))),0)</f>
        <v/>
      </c>
      <c r="S474">
        <f>IFERROR(L474*MAX(N474,1)/R474*IF(ISBLANK(K473),1,K473),0)</f>
        <v/>
      </c>
      <c r="AB474" s="7" t="inlineStr"/>
    </row>
    <row r="475">
      <c r="B475" s="7" t="inlineStr">
        <is>
          <t xml:space="preserve">  ↳ d2k_farasha_charge</t>
        </is>
      </c>
      <c r="C475" s="7" t="inlineStr">
        <is>
          <t>Armament@charge</t>
        </is>
      </c>
      <c r="M475" s="6" t="n">
        <v>125</v>
      </c>
      <c r="N475" s="6" t="n">
        <v>1</v>
      </c>
      <c r="O475" s="6" t="n"/>
      <c r="P475" s="6" t="n">
        <v>6400</v>
      </c>
      <c r="Q475" s="6" t="n">
        <v>1</v>
      </c>
      <c r="R475">
        <f>M475+IF(MAX(N475-1,0)&gt;0,IF(ISBLANK(O475),5*MAX(N475-1,0),IF(ISNUMBER(O475),O475*MAX(N475-1,0),SUM(IFERROR(VALUE(TEXTSPLIT(O475,",")),0)))),0)</f>
        <v/>
      </c>
      <c r="S475">
        <f>IFERROR(L475*MAX(N475,1)/R475*IF(ISBLANK(K473),1,K473),0)</f>
        <v/>
      </c>
      <c r="AB475" s="7" t="inlineStr"/>
    </row>
    <row r="476">
      <c r="B476" s="7" t="inlineStr">
        <is>
          <t xml:space="preserve">  ↳ ixian_farasha</t>
        </is>
      </c>
      <c r="C476" s="7" t="inlineStr">
        <is>
          <t>Armament</t>
        </is>
      </c>
      <c r="L476" s="6" t="n">
        <v>6000</v>
      </c>
      <c r="M476" s="6" t="n">
        <v>50</v>
      </c>
      <c r="N476" s="6" t="n">
        <v>50</v>
      </c>
      <c r="O476" s="6" t="n">
        <v>1</v>
      </c>
      <c r="P476" s="6" t="n">
        <v>6400</v>
      </c>
      <c r="Q476" s="6" t="n">
        <v>1</v>
      </c>
      <c r="R476">
        <f>M476+IF(MAX(N476-1,0)&gt;0,IF(ISBLANK(O476),5*MAX(N476-1,0),IF(ISNUMBER(O476),O476*MAX(N476-1,0),SUM(IFERROR(VALUE(TEXTSPLIT(O476,",")),0)))),0)</f>
        <v/>
      </c>
      <c r="S476">
        <f>IFERROR(L476*MAX(N476,1)/R476*IF(ISBLANK(K473),1,K473),0)</f>
        <v/>
      </c>
      <c r="AB476" s="7" t="inlineStr">
        <is>
          <t>^TeslaWeapon, ^HeavyFlameWeapon, ^RailgunWeapon</t>
        </is>
      </c>
    </row>
    <row r="477">
      <c r="B477" s="7" t="inlineStr">
        <is>
          <t xml:space="preserve">  ↳ d2k_farasha_aa</t>
        </is>
      </c>
      <c r="C477" s="7" t="inlineStr">
        <is>
          <t>Armament@AA</t>
        </is>
      </c>
      <c r="L477" s="6" t="n">
        <v>6000</v>
      </c>
      <c r="M477" s="6" t="n">
        <v>50</v>
      </c>
      <c r="N477" s="6" t="n">
        <v>50</v>
      </c>
      <c r="O477" s="6" t="n">
        <v>1</v>
      </c>
      <c r="P477" s="6" t="n">
        <v>6400</v>
      </c>
      <c r="Q477" s="6" t="n">
        <v>1</v>
      </c>
      <c r="R477">
        <f>M477+IF(MAX(N477-1,0)&gt;0,IF(ISBLANK(O477),5*MAX(N477-1,0),IF(ISNUMBER(O477),O477*MAX(N477-1,0),SUM(IFERROR(VALUE(TEXTSPLIT(O477,",")),0)))),0)</f>
        <v/>
      </c>
      <c r="S477">
        <f>IFERROR(L477*MAX(N477,1)/R477*IF(ISBLANK(K473),1,K473),0)</f>
        <v/>
      </c>
      <c r="AB477" s="7" t="inlineStr">
        <is>
          <t>ixian_farasha</t>
        </is>
      </c>
    </row>
    <row r="478">
      <c r="A478" t="inlineStr">
        <is>
          <t>starcraft</t>
        </is>
      </c>
      <c r="B478" t="inlineStr">
        <is>
          <t>protoss_carrier</t>
        </is>
      </c>
      <c r="C478" t="inlineStr">
        <is>
          <t>Carrier</t>
        </is>
      </c>
      <c r="D478" s="6" t="inlineStr">
        <is>
          <t>Spaceship</t>
        </is>
      </c>
      <c r="E478" s="6" t="n">
        <v>300000</v>
      </c>
      <c r="F478" s="6" t="n">
        <v>45</v>
      </c>
      <c r="G478" t="inlineStr">
        <is>
          <t>Spaceship</t>
        </is>
      </c>
      <c r="H478" s="6" t="n">
        <v>0.75</v>
      </c>
      <c r="I478" s="6" t="n">
        <v>1</v>
      </c>
      <c r="J478" s="6" t="n">
        <v>0.75</v>
      </c>
      <c r="X478" s="6" t="n">
        <v>3000</v>
      </c>
    </row>
    <row r="479">
      <c r="B479" s="7" t="inlineStr">
        <is>
          <t xml:space="preserve">  ↳ InterceptorLauncher</t>
        </is>
      </c>
      <c r="C479" s="7" t="inlineStr">
        <is>
          <t>Armament</t>
        </is>
      </c>
      <c r="M479" s="6" t="n">
        <v>100</v>
      </c>
      <c r="N479" s="6" t="n">
        <v>5</v>
      </c>
      <c r="O479" s="6" t="n">
        <v>10</v>
      </c>
      <c r="P479" s="6" t="n">
        <v>10000</v>
      </c>
      <c r="Q479" s="6" t="n">
        <v>1</v>
      </c>
      <c r="R479">
        <f>M479+IF(MAX(N479-1,0)&gt;0,IF(ISBLANK(O479),5*MAX(N479-1,0),IF(ISNUMBER(O479),O479*MAX(N479-1,0),SUM(IFERROR(VALUE(TEXTSPLIT(O479,",")),0)))),0)</f>
        <v/>
      </c>
      <c r="S479">
        <f>IFERROR(L479*MAX(N479,1)/R479*IF(ISBLANK(K478),1,K478),0)</f>
        <v/>
      </c>
      <c r="AB479" s="7" t="inlineStr"/>
    </row>
    <row r="480">
      <c r="A480" t="inlineStr">
        <is>
          <t>starcraft</t>
        </is>
      </c>
      <c r="B480" t="inlineStr">
        <is>
          <t>protoss_starshipsovereign</t>
        </is>
      </c>
      <c r="C480" t="inlineStr">
        <is>
          <t>Starship Sovereign</t>
        </is>
      </c>
      <c r="D480" s="6" t="inlineStr">
        <is>
          <t>Spaceship</t>
        </is>
      </c>
      <c r="E480" s="6" t="n">
        <v>750000</v>
      </c>
      <c r="F480" s="6" t="n">
        <v>40</v>
      </c>
      <c r="G480" t="inlineStr">
        <is>
          <t>Spaceship</t>
        </is>
      </c>
      <c r="H480" s="6" t="n">
        <v>0.75</v>
      </c>
      <c r="I480" s="6" t="n">
        <v>1</v>
      </c>
      <c r="J480" s="6" t="n">
        <v>1.25</v>
      </c>
      <c r="K480" t="n">
        <v>0.0075</v>
      </c>
      <c r="P480">
        <f>MAX(P481)</f>
        <v/>
      </c>
      <c r="S480">
        <f>S481</f>
        <v/>
      </c>
      <c r="T480">
        <f>(E480/100000+F480/100+(P480/1000)*J480/5+S480/200)*200*I480*H480</f>
        <v/>
      </c>
      <c r="U480">
        <f>((E480*F480/25000)+((P480/1000)*J480*S480/2.5))*I480*H480</f>
        <v/>
      </c>
      <c r="V480">
        <f>(E480*F480*(P480/1000)*J480*S480*I480*H480)/12500000</f>
        <v/>
      </c>
      <c r="W480">
        <f>(T480+U480+V480)/3</f>
        <v/>
      </c>
      <c r="X480" s="6" t="n">
        <v>10000</v>
      </c>
      <c r="Y480">
        <f>IFERROR(W480-X480,"")</f>
        <v/>
      </c>
      <c r="Z480">
        <f>IFERROR(ABS(Y480)/MAX(X480,1),"")</f>
        <v/>
      </c>
      <c r="AA480">
        <f>IFERROR((X480-(((E480/100000+F480/100+S480/200)*200*I480*H480)+((E480*F480/25000)*I480*H480))/3)/(((J480/5)*200*I480*H480)+((J480*S480/2.5)*I480*H480)+((E480*F480*J480*S480*I480*H480)/12500000))/3*1000,"")</f>
        <v/>
      </c>
    </row>
    <row r="481">
      <c r="B481" s="7" t="inlineStr">
        <is>
          <t xml:space="preserve">  ↳ StarshipSovereignBeam</t>
        </is>
      </c>
      <c r="C481" s="7" t="inlineStr">
        <is>
          <t>Armament</t>
        </is>
      </c>
      <c r="L481" s="6" t="n">
        <v>12000</v>
      </c>
      <c r="M481" s="6" t="n">
        <v>10</v>
      </c>
      <c r="N481" s="6" t="n">
        <v>1</v>
      </c>
      <c r="O481" s="6" t="n"/>
      <c r="P481" s="6" t="n">
        <v>8475</v>
      </c>
      <c r="Q481" s="6" t="n">
        <v>1</v>
      </c>
      <c r="R481">
        <f>M481+IF(MAX(N481-1,0)&gt;0,IF(ISBLANK(O481),5*MAX(N481-1,0),IF(ISNUMBER(O481),O481*MAX(N481-1,0),SUM(IFERROR(VALUE(TEXTSPLIT(O481,",")),0)))),0)</f>
        <v/>
      </c>
      <c r="S481">
        <f>IFERROR(L481*MAX(N481,1)/R481*IF(ISBLANK(K480),1,K480),0)</f>
        <v/>
      </c>
      <c r="AB481" s="7" t="inlineStr">
        <is>
          <t>^LightMissile, ^SmallArms, ^Chaingun, ^FlakWeapon, ^TeslaWeapon, ^LaserWeapon</t>
        </is>
      </c>
    </row>
    <row r="482">
      <c r="A482" t="inlineStr">
        <is>
          <t>starcraft</t>
        </is>
      </c>
      <c r="B482" t="inlineStr">
        <is>
          <t>zerg_behemoth</t>
        </is>
      </c>
      <c r="C482" t="inlineStr">
        <is>
          <t>Behemoth</t>
        </is>
      </c>
      <c r="D482" s="6" t="inlineStr">
        <is>
          <t>Spaceship</t>
        </is>
      </c>
      <c r="E482" s="6" t="n">
        <v>600000</v>
      </c>
      <c r="F482" s="6" t="n">
        <v>30</v>
      </c>
      <c r="G482" t="inlineStr">
        <is>
          <t>Spaceship</t>
        </is>
      </c>
      <c r="H482" s="6" t="n">
        <v>0.75</v>
      </c>
      <c r="I482" s="6" t="n">
        <v>1</v>
      </c>
      <c r="J482" s="6" t="n">
        <v>1.25</v>
      </c>
      <c r="P482">
        <f>MAX(P483)</f>
        <v/>
      </c>
      <c r="S482">
        <f>S483</f>
        <v/>
      </c>
      <c r="T482">
        <f>(E482/100000+F482/100+(P482/1000)*J482/5+S482/200)*200*I482*H482</f>
        <v/>
      </c>
      <c r="U482">
        <f>((E482*F482/25000)+((P482/1000)*J482*S482/2.5))*I482*H482</f>
        <v/>
      </c>
      <c r="V482">
        <f>(E482*F482*(P482/1000)*J482*S482*I482*H482)/12500000</f>
        <v/>
      </c>
      <c r="W482">
        <f>(T482+U482+V482)/3</f>
        <v/>
      </c>
      <c r="X482" s="6" t="n">
        <v>7200</v>
      </c>
      <c r="Y482">
        <f>IFERROR(W482-X482,"")</f>
        <v/>
      </c>
      <c r="Z482">
        <f>IFERROR(ABS(Y482)/MAX(X482,1),"")</f>
        <v/>
      </c>
      <c r="AA482">
        <f>IFERROR((X482-(((E482/100000+F482/100+S482/200)*200*I482*H482)+((E482*F482/25000)*I482*H482))/3)/(((J482/5)*200*I482*H482)+((J482*S482/2.5)*I482*H482)+((E482*F482*J482*S482*I482*H482)/12500000))/3*1000,"")</f>
        <v/>
      </c>
    </row>
    <row r="483">
      <c r="B483" s="7" t="inlineStr">
        <is>
          <t xml:space="preserve">  ↳ BehemothShoot</t>
        </is>
      </c>
      <c r="C483" s="7" t="inlineStr">
        <is>
          <t>Armament</t>
        </is>
      </c>
      <c r="L483" s="6" t="n">
        <v>12000</v>
      </c>
      <c r="M483" s="6" t="n">
        <v>60</v>
      </c>
      <c r="N483" s="6" t="n">
        <v>1</v>
      </c>
      <c r="O483" s="6" t="n"/>
      <c r="P483" s="6" t="n">
        <v>5230</v>
      </c>
      <c r="Q483" s="6" t="n">
        <v>1</v>
      </c>
      <c r="R483">
        <f>M483+IF(MAX(N483-1,0)&gt;0,IF(ISBLANK(O483),5*MAX(N483-1,0),IF(ISNUMBER(O483),O483*MAX(N483-1,0),SUM(IFERROR(VALUE(TEXTSPLIT(O483,",")),0)))),0)</f>
        <v/>
      </c>
      <c r="S483">
        <f>IFERROR(L483*MAX(N483,1)/R483*IF(ISBLANK(K482),1,K482),0)</f>
        <v/>
      </c>
      <c r="AB483" s="7" t="inlineStr">
        <is>
          <t>^LightFlameWeapon, ^MediumChemicalWeapon, ^HeavyMissile, ^Grenade, ^ShrapnelWeapon, ^HeavyBomb</t>
        </is>
      </c>
    </row>
    <row r="484">
      <c r="A484" t="inlineStr">
        <is>
          <t>starcraft</t>
        </is>
      </c>
      <c r="B484" t="inlineStr">
        <is>
          <t>terran_battlecruiser</t>
        </is>
      </c>
      <c r="C484" t="inlineStr">
        <is>
          <t>Battlecruiser</t>
        </is>
      </c>
      <c r="D484" s="6" t="inlineStr">
        <is>
          <t>Spaceship</t>
        </is>
      </c>
      <c r="E484" s="6" t="n">
        <v>500000</v>
      </c>
      <c r="F484" s="6" t="n">
        <v>30</v>
      </c>
      <c r="G484" t="inlineStr">
        <is>
          <t>Spaceship</t>
        </is>
      </c>
      <c r="H484" s="6" t="n">
        <v>0.75</v>
      </c>
      <c r="I484" s="6" t="n">
        <v>1</v>
      </c>
      <c r="J484" s="6" t="n">
        <v>1</v>
      </c>
      <c r="P484">
        <f>MAX(P485,P486)</f>
        <v/>
      </c>
      <c r="S484">
        <f>S485+S486</f>
        <v/>
      </c>
      <c r="T484">
        <f>(E484/100000+F484/100+(P484/1000)*J484/5+S484/200)*200*I484*H484</f>
        <v/>
      </c>
      <c r="U484">
        <f>((E484*F484/25000)+((P484/1000)*J484*S484/2.5))*I484*H484</f>
        <v/>
      </c>
      <c r="V484">
        <f>(E484*F484*(P484/1000)*J484*S484*I484*H484)/12500000</f>
        <v/>
      </c>
      <c r="W484">
        <f>(T484+U484+V484)/3</f>
        <v/>
      </c>
      <c r="X484" s="6" t="n">
        <v>4000</v>
      </c>
      <c r="Y484">
        <f>IFERROR(W484-X484,"")</f>
        <v/>
      </c>
      <c r="Z484">
        <f>IFERROR(ABS(Y484)/MAX(X484,1),"")</f>
        <v/>
      </c>
      <c r="AA484">
        <f>IFERROR((X484-(((E484/100000+F484/100+S484/200)*200*I484*H484)+((E484*F484/25000)*I484*H484))/3)/(((J484/5)*200*I484*H484)+((J484*S484/2.5)*I484*H484)+((E484*F484*J484*S484*I484*H484)/12500000))/3*1000,"")</f>
        <v/>
      </c>
    </row>
    <row r="485">
      <c r="B485" s="7" t="inlineStr">
        <is>
          <t xml:space="preserve">  ↳ BCLaser</t>
        </is>
      </c>
      <c r="C485" s="7" t="inlineStr">
        <is>
          <t>Armament</t>
        </is>
      </c>
      <c r="L485" s="6" t="n">
        <v>36000</v>
      </c>
      <c r="M485" s="6" t="n">
        <v>38</v>
      </c>
      <c r="N485" s="6" t="n">
        <v>1</v>
      </c>
      <c r="O485" s="6" t="n"/>
      <c r="P485" s="6" t="n">
        <v>6800</v>
      </c>
      <c r="Q485" s="6" t="n">
        <v>1.25</v>
      </c>
      <c r="R485">
        <f>M485+IF(MAX(N485-1,0)&gt;0,IF(ISBLANK(O485),5*MAX(N485-1,0),IF(ISNUMBER(O485),O485*MAX(N485-1,0),SUM(IFERROR(VALUE(TEXTSPLIT(O485,",")),0)))),0)</f>
        <v/>
      </c>
      <c r="S485">
        <f>IFERROR(L485*MAX(N485,1)/R485*IF(ISBLANK(K484),1,K484),0)</f>
        <v/>
      </c>
      <c r="AB485" s="7" t="inlineStr">
        <is>
          <t>^Warhead_CannonHE_Heavy</t>
        </is>
      </c>
    </row>
    <row r="486">
      <c r="B486" s="7" t="inlineStr">
        <is>
          <t xml:space="preserve">  ↳ BCYamatoCannon</t>
        </is>
      </c>
      <c r="C486" s="7" t="inlineStr">
        <is>
          <t>Armament@Yamato</t>
        </is>
      </c>
      <c r="L486" s="6" t="n">
        <v>144000</v>
      </c>
      <c r="M486" s="6" t="n">
        <v>38</v>
      </c>
      <c r="N486" s="6" t="n">
        <v>1</v>
      </c>
      <c r="O486" s="6" t="n"/>
      <c r="P486" s="6" t="n">
        <v>6800</v>
      </c>
      <c r="Q486" s="6" t="n">
        <v>1.25</v>
      </c>
      <c r="R486">
        <f>M486+IF(MAX(N486-1,0)&gt;0,IF(ISBLANK(O486),5*MAX(N486-1,0),IF(ISNUMBER(O486),O486*MAX(N486-1,0),SUM(IFERROR(VALUE(TEXTSPLIT(O486,",")),0)))),0)</f>
        <v/>
      </c>
      <c r="S486">
        <f>IFERROR(L486*MAX(N486,1)/R486*IF(ISBLANK(K484),1,K484),0)</f>
        <v/>
      </c>
      <c r="AB486" s="7" t="inlineStr">
        <is>
          <t>^Warhead_CannonHE_Heavy</t>
        </is>
      </c>
    </row>
    <row r="487">
      <c r="A487" t="inlineStr">
        <is>
          <t>starcraft</t>
        </is>
      </c>
      <c r="B487" t="inlineStr">
        <is>
          <t>terran_phobos</t>
        </is>
      </c>
      <c r="C487" t="inlineStr">
        <is>
          <t>Phobos</t>
        </is>
      </c>
      <c r="D487" s="6" t="inlineStr">
        <is>
          <t>Spaceship</t>
        </is>
      </c>
      <c r="E487" s="6" t="n">
        <v>1000000</v>
      </c>
      <c r="F487" s="6" t="n">
        <v>25</v>
      </c>
      <c r="G487" t="inlineStr">
        <is>
          <t>Spaceship</t>
        </is>
      </c>
      <c r="H487" s="6" t="n">
        <v>0.75</v>
      </c>
      <c r="I487" s="6" t="n">
        <v>1</v>
      </c>
      <c r="J487" s="6" t="n">
        <v>1.25</v>
      </c>
      <c r="P487">
        <f>MAX(P488,P489)</f>
        <v/>
      </c>
      <c r="S487">
        <f>S488+S489</f>
        <v/>
      </c>
      <c r="T487">
        <f>(E487/100000+F487/100+(P487/1000)*J487/5+S487/200)*200*I487*H487</f>
        <v/>
      </c>
      <c r="U487">
        <f>((E487*F487/25000)+((P487/1000)*J487*S487/2.5))*I487*H487</f>
        <v/>
      </c>
      <c r="V487">
        <f>(E487*F487*(P487/1000)*J487*S487*I487*H487)/12500000</f>
        <v/>
      </c>
      <c r="W487">
        <f>(T487+U487+V487)/3</f>
        <v/>
      </c>
      <c r="X487" s="6" t="n">
        <v>10000</v>
      </c>
      <c r="Y487">
        <f>IFERROR(W487-X487,"")</f>
        <v/>
      </c>
      <c r="Z487">
        <f>IFERROR(ABS(Y487)/MAX(X487,1),"")</f>
        <v/>
      </c>
      <c r="AA487">
        <f>IFERROR((X487-(((E487/100000+F487/100+S487/200)*200*I487*H487)+((E487*F487/25000)*I487*H487))/3)/(((J487/5)*200*I487*H487)+((J487*S487/2.5)*I487*H487)+((E487*F487*J487*S487*I487*H487)/12500000))/3*1000,"")</f>
        <v/>
      </c>
    </row>
    <row r="488">
      <c r="B488" s="7" t="inlineStr">
        <is>
          <t xml:space="preserve">  ↳ PhobosLaser</t>
        </is>
      </c>
      <c r="C488" s="7" t="inlineStr">
        <is>
          <t>Armament</t>
        </is>
      </c>
      <c r="L488" s="6" t="n">
        <v>48000</v>
      </c>
      <c r="M488" s="6" t="n">
        <v>80</v>
      </c>
      <c r="N488" s="6" t="n">
        <v>4</v>
      </c>
      <c r="O488" s="6" t="n">
        <v>4</v>
      </c>
      <c r="P488" s="6" t="n">
        <v>9000</v>
      </c>
      <c r="Q488" s="6" t="n">
        <v>1.25</v>
      </c>
      <c r="R488">
        <f>M488+IF(MAX(N488-1,0)&gt;0,IF(ISBLANK(O488),5*MAX(N488-1,0),IF(ISNUMBER(O488),O488*MAX(N488-1,0),SUM(IFERROR(VALUE(TEXTSPLIT(O488,",")),0)))),0)</f>
        <v/>
      </c>
      <c r="S488">
        <f>IFERROR(L488*MAX(N488,1)/R488*IF(ISBLANK(K487),1,K487),0)</f>
        <v/>
      </c>
      <c r="AB488" s="7" t="inlineStr">
        <is>
          <t>^Warhead_CannonHE_Heavy</t>
        </is>
      </c>
    </row>
    <row r="489">
      <c r="B489" s="7" t="inlineStr">
        <is>
          <t xml:space="preserve">  ↳ BCYamatoCannon</t>
        </is>
      </c>
      <c r="C489" s="7" t="inlineStr">
        <is>
          <t>Armament@Yamato</t>
        </is>
      </c>
      <c r="L489" s="6" t="n">
        <v>144000</v>
      </c>
      <c r="M489" s="6" t="n">
        <v>38</v>
      </c>
      <c r="N489" s="6" t="n">
        <v>1</v>
      </c>
      <c r="O489" s="6" t="n"/>
      <c r="P489" s="6" t="n">
        <v>6800</v>
      </c>
      <c r="Q489" s="6" t="n">
        <v>1.25</v>
      </c>
      <c r="R489">
        <f>M489+IF(MAX(N489-1,0)&gt;0,IF(ISBLANK(O489),5*MAX(N489-1,0),IF(ISNUMBER(O489),O489*MAX(N489-1,0),SUM(IFERROR(VALUE(TEXTSPLIT(O489,",")),0)))),0)</f>
        <v/>
      </c>
      <c r="S489">
        <f>IFERROR(L489*MAX(N489,1)/R489*IF(ISBLANK(K487),1,K487),0)</f>
        <v/>
      </c>
      <c r="AB489" s="7" t="inlineStr">
        <is>
          <t>^Warhead_CannonHE_Heavy</t>
        </is>
      </c>
    </row>
    <row r="490">
      <c r="A490" t="inlineStr">
        <is>
          <t>starcraft</t>
        </is>
      </c>
      <c r="B490" t="inlineStr">
        <is>
          <t>terran_pythean</t>
        </is>
      </c>
      <c r="C490" t="inlineStr">
        <is>
          <t>Pythean</t>
        </is>
      </c>
      <c r="D490" s="6" t="inlineStr">
        <is>
          <t>Spaceship</t>
        </is>
      </c>
      <c r="E490" s="6" t="n">
        <v>400000</v>
      </c>
      <c r="F490" s="6" t="n">
        <v>40</v>
      </c>
      <c r="G490" t="inlineStr">
        <is>
          <t>Spaceship</t>
        </is>
      </c>
      <c r="H490" s="6" t="n">
        <v>0.75</v>
      </c>
      <c r="I490" s="6" t="n">
        <v>1.25</v>
      </c>
      <c r="J490" s="6" t="n">
        <v>1</v>
      </c>
      <c r="P490">
        <f>MAX(P491)</f>
        <v/>
      </c>
      <c r="S490">
        <f>S491</f>
        <v/>
      </c>
      <c r="T490">
        <f>(E490/100000+F490/100+(P490/1000)*J490/5+S490/200)*200*I490*H490</f>
        <v/>
      </c>
      <c r="U490">
        <f>((E490*F490/25000)+((P490/1000)*J490*S490/2.5))*I490*H490</f>
        <v/>
      </c>
      <c r="V490">
        <f>(E490*F490*(P490/1000)*J490*S490*I490*H490)/12500000</f>
        <v/>
      </c>
      <c r="W490">
        <f>(T490+U490+V490)/3</f>
        <v/>
      </c>
      <c r="X490" s="6" t="n">
        <v>5500</v>
      </c>
      <c r="Y490">
        <f>IFERROR(W490-X490,"")</f>
        <v/>
      </c>
      <c r="Z490">
        <f>IFERROR(ABS(Y490)/MAX(X490,1),"")</f>
        <v/>
      </c>
      <c r="AA490">
        <f>IFERROR((X490-(((E490/100000+F490/100+S490/200)*200*I490*H490)+((E490*F490/25000)*I490*H490))/3)/(((J490/5)*200*I490*H490)+((J490*S490/2.5)*I490*H490)+((E490*F490*J490*S490*I490*H490)/12500000))/3*1000,"")</f>
        <v/>
      </c>
    </row>
    <row r="491">
      <c r="B491" s="7" t="inlineStr">
        <is>
          <t xml:space="preserve">  ↳ JimRaynorMachineGun</t>
        </is>
      </c>
      <c r="C491" s="7" t="inlineStr">
        <is>
          <t>Armament</t>
        </is>
      </c>
      <c r="L491" s="6" t="n">
        <v>4000</v>
      </c>
      <c r="M491" s="6" t="n">
        <v>12</v>
      </c>
      <c r="N491" s="6" t="n">
        <v>5</v>
      </c>
      <c r="O491" s="6" t="n">
        <v>2</v>
      </c>
      <c r="P491" s="6" t="n">
        <v>7446</v>
      </c>
      <c r="Q491" s="6" t="n">
        <v>1.25</v>
      </c>
      <c r="R491">
        <f>M491+IF(MAX(N491-1,0)&gt;0,IF(ISBLANK(O491),5*MAX(N491-1,0),IF(ISNUMBER(O491),O491*MAX(N491-1,0),SUM(IFERROR(VALUE(TEXTSPLIT(O491,",")),0)))),0)</f>
        <v/>
      </c>
      <c r="S491">
        <f>IFERROR(L491*MAX(N491,1)/R491*IF(ISBLANK(K490),1,K490),0)</f>
        <v/>
      </c>
      <c r="AB491" s="7" t="inlineStr">
        <is>
          <t>^Warhead_MissileHE_Heavy, ^Warhead_CannonHE_Heavy</t>
        </is>
      </c>
    </row>
    <row r="492">
      <c r="A492" t="inlineStr">
        <is>
          <t>warcraft2</t>
        </is>
      </c>
      <c r="B492" t="inlineStr">
        <is>
          <t>wc2_orcs_dragon</t>
        </is>
      </c>
      <c r="C492" t="inlineStr">
        <is>
          <t>Dragon</t>
        </is>
      </c>
      <c r="D492" s="6" t="inlineStr">
        <is>
          <t>Spaceship</t>
        </is>
      </c>
      <c r="E492" s="6" t="n">
        <v>150000</v>
      </c>
      <c r="F492" s="6" t="n">
        <v>125</v>
      </c>
      <c r="G492" t="inlineStr">
        <is>
          <t>Spaceship</t>
        </is>
      </c>
      <c r="H492" s="6" t="n">
        <v>0.75</v>
      </c>
      <c r="I492" s="6" t="n">
        <v>1</v>
      </c>
      <c r="J492" s="6" t="n">
        <v>1.25</v>
      </c>
      <c r="P492">
        <f>MAX(P493,P494)</f>
        <v/>
      </c>
      <c r="S492">
        <f>S493+S494</f>
        <v/>
      </c>
      <c r="T492">
        <f>(E492/100000+F492/100+(P492/1000)*J492/5+S492/200)*200*I492*H492</f>
        <v/>
      </c>
      <c r="U492">
        <f>((E492*F492/25000)+((P492/1000)*J492*S492/2.5))*I492*H492</f>
        <v/>
      </c>
      <c r="V492">
        <f>(E492*F492*(P492/1000)*J492*S492*I492*H492)/12500000</f>
        <v/>
      </c>
      <c r="W492">
        <f>(T492+U492+V492)/3</f>
        <v/>
      </c>
      <c r="X492" s="6" t="n">
        <v>2000</v>
      </c>
      <c r="Y492">
        <f>IFERROR(W492-X492,"")</f>
        <v/>
      </c>
      <c r="Z492">
        <f>IFERROR(ABS(Y492)/MAX(X492,1),"")</f>
        <v/>
      </c>
      <c r="AA492">
        <f>IFERROR((X492-(((E492/100000+F492/100+S492/200)*200*I492*H492)+((E492*F492/25000)*I492*H492))/3)/(((J492/5)*200*I492*H492)+((J492*S492/2.5)*I492*H492)+((E492*F492*J492*S492*I492*H492)/12500000))/3*1000,"")</f>
        <v/>
      </c>
    </row>
    <row r="493">
      <c r="B493" s="7" t="inlineStr">
        <is>
          <t xml:space="preserve">  ↳ wc2dragonFireVisible</t>
        </is>
      </c>
      <c r="C493" s="7" t="inlineStr">
        <is>
          <t>Armament@VISIBLE</t>
        </is>
      </c>
      <c r="L493" s="6" t="n">
        <v>30000</v>
      </c>
      <c r="M493" s="6" t="n">
        <v>120</v>
      </c>
      <c r="N493" s="6" t="n">
        <v>2</v>
      </c>
      <c r="O493" s="6" t="n">
        <v>0</v>
      </c>
      <c r="P493" s="6" t="n">
        <v>5010</v>
      </c>
      <c r="Q493" s="6" t="n">
        <v>1.25</v>
      </c>
      <c r="R493">
        <f>M493+IF(MAX(N493-1,0)&gt;0,IF(ISBLANK(O493),5*MAX(N493-1,0),IF(ISNUMBER(O493),O493*MAX(N493-1,0),SUM(IFERROR(VALUE(TEXTSPLIT(O493,",")),0)))),0)</f>
        <v/>
      </c>
      <c r="S493">
        <f>IFERROR(L493*MAX(N493,1)/R493*IF(ISBLANK(K492),1,K492),0)</f>
        <v/>
      </c>
      <c r="AB493" s="7" t="inlineStr">
        <is>
          <t>^Warhead_Flame_Heavy</t>
        </is>
      </c>
    </row>
    <row r="494">
      <c r="B494" s="7" t="inlineStr">
        <is>
          <t xml:space="preserve">  ↳ wc2dragonFireExplosion</t>
        </is>
      </c>
      <c r="C494" s="7" t="inlineStr">
        <is>
          <t>Armament@EXPLOSIONS</t>
        </is>
      </c>
      <c r="L494" s="6" t="n">
        <v>30000</v>
      </c>
      <c r="M494" s="6" t="n">
        <v>120</v>
      </c>
      <c r="N494" s="6" t="n">
        <v>3</v>
      </c>
      <c r="O494" s="6" t="n">
        <v>0</v>
      </c>
      <c r="P494" s="6" t="n">
        <v>5010</v>
      </c>
      <c r="Q494" s="6" t="n">
        <v>1.25</v>
      </c>
      <c r="R494">
        <f>M494+IF(MAX(N494-1,0)&gt;0,IF(ISBLANK(O494),5*MAX(N494-1,0),IF(ISNUMBER(O494),O494*MAX(N494-1,0),SUM(IFERROR(VALUE(TEXTSPLIT(O494,",")),0)))),0)</f>
        <v/>
      </c>
      <c r="S494">
        <f>IFERROR(L494*MAX(N494,1)/R494*IF(ISBLANK(K492),1,K492),0)</f>
        <v/>
      </c>
      <c r="AB494" s="7" t="inlineStr">
        <is>
          <t>^Warhead_Flame_Heavy</t>
        </is>
      </c>
    </row>
    <row r="495">
      <c r="A495" t="inlineStr">
        <is>
          <t>warcraft2</t>
        </is>
      </c>
      <c r="B495" t="inlineStr">
        <is>
          <t>wc2_humans_gryphonrider</t>
        </is>
      </c>
      <c r="C495" t="inlineStr">
        <is>
          <t>Gryphon Rider</t>
        </is>
      </c>
      <c r="D495" s="6" t="inlineStr">
        <is>
          <t>Spaceship</t>
        </is>
      </c>
      <c r="E495" s="6" t="n">
        <v>125000</v>
      </c>
      <c r="F495" s="6" t="n">
        <v>145</v>
      </c>
      <c r="G495" t="inlineStr">
        <is>
          <t>Spaceship</t>
        </is>
      </c>
      <c r="H495" s="6" t="n">
        <v>0.75</v>
      </c>
      <c r="I495" s="6" t="n">
        <v>1</v>
      </c>
      <c r="J495" s="6" t="n">
        <v>1.25</v>
      </c>
      <c r="P495">
        <f>MAX(P496)</f>
        <v/>
      </c>
      <c r="S495">
        <f>S496</f>
        <v/>
      </c>
      <c r="T495">
        <f>(E495/100000+F495/100+(P495/1000)*J495/5+S495/200)*200*I495*H495</f>
        <v/>
      </c>
      <c r="U495">
        <f>((E495*F495/25000)+((P495/1000)*J495*S495/2.5))*I495*H495</f>
        <v/>
      </c>
      <c r="V495">
        <f>(E495*F495*(P495/1000)*J495*S495*I495*H495)/12500000</f>
        <v/>
      </c>
      <c r="W495">
        <f>(T495+U495+V495)/3</f>
        <v/>
      </c>
      <c r="X495" s="6" t="n">
        <v>1500</v>
      </c>
      <c r="Y495">
        <f>IFERROR(W495-X495,"")</f>
        <v/>
      </c>
      <c r="Z495">
        <f>IFERROR(ABS(Y495)/MAX(X495,1),"")</f>
        <v/>
      </c>
      <c r="AA495">
        <f>IFERROR((X495-(((E495/100000+F495/100+S495/200)*200*I495*H495)+((E495*F495/25000)*I495*H495))/3)/(((J495/5)*200*I495*H495)+((J495*S495/2.5)*I495*H495)+((E495*F495*J495*S495*I495*H495)/12500000))/3*1000,"")</f>
        <v/>
      </c>
    </row>
    <row r="496">
      <c r="B496" s="7" t="inlineStr">
        <is>
          <t xml:space="preserve">  ↳ wc2gryphonFireVisible</t>
        </is>
      </c>
      <c r="C496" s="7" t="inlineStr">
        <is>
          <t>Armament@VISIBLE</t>
        </is>
      </c>
      <c r="L496" s="6" t="n">
        <v>40000</v>
      </c>
      <c r="M496" s="6" t="n">
        <v>100</v>
      </c>
      <c r="N496" s="6" t="n">
        <v>1</v>
      </c>
      <c r="O496" s="6" t="n"/>
      <c r="P496" s="6" t="n">
        <v>4444</v>
      </c>
      <c r="Q496" s="6" t="n">
        <v>1</v>
      </c>
      <c r="R496">
        <f>M496+IF(MAX(N496-1,0)&gt;0,IF(ISBLANK(O496),5*MAX(N496-1,0),IF(ISNUMBER(O496),O496*MAX(N496-1,0),SUM(IFERROR(VALUE(TEXTSPLIT(O496,",")),0)))),0)</f>
        <v/>
      </c>
      <c r="S496">
        <f>IFERROR(L496*MAX(N496,1)/R496*IF(ISBLANK(K495),1,K495),0)</f>
        <v/>
      </c>
      <c r="AB496" s="7" t="inlineStr">
        <is>
          <t>^LightMissile, ^MediumFlameWeapon, ^HeavyBomb, ^TeslaChargedWeapon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497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9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Defense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redalert</t>
        </is>
      </c>
      <c r="B3" t="inlineStr">
        <is>
          <t>japan_japaneseshrine</t>
        </is>
      </c>
      <c r="C3" t="inlineStr">
        <is>
          <t>Japanese Shrine</t>
        </is>
      </c>
      <c r="D3" s="6" t="inlineStr">
        <is>
          <t>Defense</t>
        </is>
      </c>
      <c r="E3" s="6" t="n">
        <v>1000000</v>
      </c>
      <c r="F3" t="n">
        <v>100</v>
      </c>
      <c r="G3" t="inlineStr">
        <is>
          <t>Concrete</t>
        </is>
      </c>
      <c r="H3" s="6" t="n">
        <v>0.55</v>
      </c>
      <c r="I3" s="6" t="n">
        <v>1</v>
      </c>
      <c r="J3" s="6" t="n">
        <v>1</v>
      </c>
      <c r="X3" s="6" t="n">
        <v>10000</v>
      </c>
    </row>
    <row r="4">
      <c r="A4" t="inlineStr">
        <is>
          <t>redalert</t>
        </is>
      </c>
      <c r="B4" t="inlineStr">
        <is>
          <t>ra1_soviets_ironcurtain</t>
        </is>
      </c>
      <c r="C4" t="inlineStr">
        <is>
          <t>Iron Curtain</t>
        </is>
      </c>
      <c r="D4" s="6" t="inlineStr">
        <is>
          <t>Defense</t>
        </is>
      </c>
      <c r="E4" s="6" t="n">
        <v>1000000</v>
      </c>
      <c r="F4" t="n">
        <v>100</v>
      </c>
      <c r="G4" t="inlineStr">
        <is>
          <t>Concrete</t>
        </is>
      </c>
      <c r="H4" s="6" t="n">
        <v>0.5593</v>
      </c>
      <c r="I4" s="6" t="n">
        <v>1</v>
      </c>
      <c r="J4" s="6" t="n">
        <v>1</v>
      </c>
      <c r="X4" s="6" t="n">
        <v>5000</v>
      </c>
    </row>
    <row r="5">
      <c r="A5" t="inlineStr">
        <is>
          <t>redalert</t>
        </is>
      </c>
      <c r="B5" t="inlineStr">
        <is>
          <t>ra1_soviets_missilesilo</t>
        </is>
      </c>
      <c r="C5" t="inlineStr">
        <is>
          <t>Soviet Missile Silo</t>
        </is>
      </c>
      <c r="D5" s="6" t="inlineStr">
        <is>
          <t>Defense</t>
        </is>
      </c>
      <c r="E5" s="6" t="n">
        <v>1000000</v>
      </c>
      <c r="F5" t="n">
        <v>100</v>
      </c>
      <c r="G5" t="inlineStr">
        <is>
          <t>Concrete</t>
        </is>
      </c>
      <c r="H5" s="6" t="n">
        <v>0.5593</v>
      </c>
      <c r="I5" s="6" t="n">
        <v>1</v>
      </c>
      <c r="J5" s="6" t="n">
        <v>1</v>
      </c>
      <c r="X5" s="6" t="n">
        <v>10000</v>
      </c>
    </row>
    <row r="6">
      <c r="A6" t="inlineStr">
        <is>
          <t>redalert</t>
        </is>
      </c>
      <c r="B6" t="inlineStr">
        <is>
          <t>ra1_allies_chronosphere</t>
        </is>
      </c>
      <c r="C6" t="inlineStr">
        <is>
          <t>Chronosphere</t>
        </is>
      </c>
      <c r="D6" s="6" t="inlineStr">
        <is>
          <t>Defense</t>
        </is>
      </c>
      <c r="E6" s="6" t="n">
        <v>1000000</v>
      </c>
      <c r="F6" t="n">
        <v>100</v>
      </c>
      <c r="G6" t="inlineStr">
        <is>
          <t>Concrete</t>
        </is>
      </c>
      <c r="H6" s="6" t="n">
        <v>0.5593</v>
      </c>
      <c r="I6" s="6" t="n">
        <v>1</v>
      </c>
      <c r="J6" s="6" t="n">
        <v>1</v>
      </c>
      <c r="X6" s="6" t="n">
        <v>10000</v>
      </c>
    </row>
    <row r="7">
      <c r="A7" t="inlineStr">
        <is>
          <t>tiberiansun</t>
        </is>
      </c>
      <c r="B7" t="inlineStr">
        <is>
          <t>cabal_missilesilo</t>
        </is>
      </c>
      <c r="C7" t="inlineStr">
        <is>
          <t>CABAL Missile Silo</t>
        </is>
      </c>
      <c r="D7" s="6" t="inlineStr">
        <is>
          <t>Defense</t>
        </is>
      </c>
      <c r="F7" t="n">
        <v>100</v>
      </c>
      <c r="H7" s="6" t="n">
        <v>0.422</v>
      </c>
      <c r="I7" s="6" t="n">
        <v>1</v>
      </c>
      <c r="J7" s="6" t="n">
        <v>1</v>
      </c>
      <c r="X7" s="6" t="n">
        <v>5000</v>
      </c>
    </row>
    <row r="8">
      <c r="A8" t="inlineStr">
        <is>
          <t>tiberiansun</t>
        </is>
      </c>
      <c r="B8" t="inlineStr">
        <is>
          <t>cabal_silo</t>
        </is>
      </c>
      <c r="C8" t="inlineStr">
        <is>
          <t>Silo</t>
        </is>
      </c>
      <c r="D8" s="6" t="inlineStr">
        <is>
          <t>Defense</t>
        </is>
      </c>
      <c r="E8" s="6" t="n">
        <v>100000</v>
      </c>
      <c r="F8" t="n">
        <v>100</v>
      </c>
      <c r="G8" t="inlineStr">
        <is>
          <t>Wood</t>
        </is>
      </c>
      <c r="H8" s="6" t="n">
        <v>1</v>
      </c>
      <c r="I8" s="6" t="n">
        <v>1</v>
      </c>
      <c r="J8" s="6" t="n">
        <v>1</v>
      </c>
      <c r="X8" s="6" t="n">
        <v>150</v>
      </c>
    </row>
    <row r="9">
      <c r="A9" t="inlineStr">
        <is>
          <t>tiberiansun</t>
        </is>
      </c>
      <c r="B9" t="inlineStr">
        <is>
          <t>cabal_stealthgenerator</t>
        </is>
      </c>
      <c r="C9" t="inlineStr">
        <is>
          <t>Stealth Generator</t>
        </is>
      </c>
      <c r="D9" s="6" t="inlineStr">
        <is>
          <t>Defense</t>
        </is>
      </c>
      <c r="E9" s="6" t="n">
        <v>100000</v>
      </c>
      <c r="F9" t="n">
        <v>100</v>
      </c>
      <c r="G9" t="inlineStr">
        <is>
          <t>Concrete</t>
        </is>
      </c>
      <c r="H9" s="6" t="n">
        <v>0.8639</v>
      </c>
      <c r="I9" s="6" t="n">
        <v>1</v>
      </c>
      <c r="J9" s="6" t="n">
        <v>1</v>
      </c>
      <c r="X9" s="6" t="n">
        <v>2500</v>
      </c>
    </row>
    <row r="10">
      <c r="A10" t="inlineStr">
        <is>
          <t>tiberiansun</t>
        </is>
      </c>
      <c r="B10" t="inlineStr">
        <is>
          <t>ts_nod_laserfence</t>
        </is>
      </c>
      <c r="C10" t="inlineStr">
        <is>
          <t>Laser Fence</t>
        </is>
      </c>
      <c r="D10" s="6" t="inlineStr">
        <is>
          <t>Defense</t>
        </is>
      </c>
      <c r="E10" s="6" t="n">
        <v>30000</v>
      </c>
      <c r="F10" t="n">
        <v>100</v>
      </c>
      <c r="G10" t="inlineStr">
        <is>
          <t>Concrete</t>
        </is>
      </c>
      <c r="H10" s="6" t="n">
        <v>1</v>
      </c>
      <c r="I10" s="6" t="n">
        <v>1</v>
      </c>
      <c r="J10" s="6" t="n">
        <v>1</v>
      </c>
      <c r="X10" s="6" t="n">
        <v>200</v>
      </c>
    </row>
    <row r="11">
      <c r="A11" t="inlineStr">
        <is>
          <t>tiberiansun</t>
        </is>
      </c>
      <c r="B11" t="inlineStr">
        <is>
          <t>ts_nod_missilesilo</t>
        </is>
      </c>
      <c r="C11" t="inlineStr">
        <is>
          <t>Missile Silo</t>
        </is>
      </c>
      <c r="D11" s="6" t="inlineStr">
        <is>
          <t>Defense</t>
        </is>
      </c>
      <c r="E11" s="6" t="n">
        <v>1000000</v>
      </c>
      <c r="F11" t="n">
        <v>100</v>
      </c>
      <c r="G11" t="inlineStr">
        <is>
          <t>Wood</t>
        </is>
      </c>
      <c r="H11" s="6" t="n">
        <v>0.7604</v>
      </c>
      <c r="I11" s="6" t="n">
        <v>1</v>
      </c>
      <c r="J11" s="6" t="n">
        <v>1</v>
      </c>
      <c r="P11">
        <f>MAX(P12,P13)</f>
        <v/>
      </c>
      <c r="S11">
        <f>S12+S13</f>
        <v/>
      </c>
      <c r="T11">
        <f>(E11/100000+F11/100+(P11/1000)*J11/5+S11/200)*200*I11*H11</f>
        <v/>
      </c>
      <c r="U11">
        <f>((E11*F11/25000)+((P11/1000)*J11*S11/2.5))*I11*H11</f>
        <v/>
      </c>
      <c r="V11">
        <f>(E11*F11*(P11/1000)*J11*S11*I11*H11)/12500000</f>
        <v/>
      </c>
      <c r="W11">
        <f>(T11+U11+V11)/3</f>
        <v/>
      </c>
      <c r="X11" s="6" t="n">
        <v>10000</v>
      </c>
      <c r="Y11">
        <f>IFERROR(W11-X11,"")</f>
        <v/>
      </c>
      <c r="Z11">
        <f>IFERROR(ABS(Y11)/MAX(X11,1),"")</f>
        <v/>
      </c>
      <c r="AA11">
        <f>IFERROR((X11-(((E11/100000+F11/100+S11/200)*200*I11*H11)+((E11*F11/25000)*I11*H11))/3)/(((J11/5)*200*I11*H11)+((J11*S11/2.5)*I11*H11)+((E11*F11*J11*S11*I11*H11)/12500000))/3*1000,"")</f>
        <v/>
      </c>
    </row>
    <row r="12">
      <c r="B12" s="7" t="inlineStr">
        <is>
          <t xml:space="preserve">  ↳ TSTacticalMissile</t>
        </is>
      </c>
      <c r="C12" s="7" t="inlineStr">
        <is>
          <t>Armament@superweapon1</t>
        </is>
      </c>
      <c r="L12" t="n">
        <v>5</v>
      </c>
      <c r="M12" s="6" t="n">
        <v>50</v>
      </c>
      <c r="N12" s="6" t="n">
        <v>1</v>
      </c>
      <c r="O12" s="6" t="n"/>
      <c r="P12" s="6" t="n">
        <v>10238976</v>
      </c>
      <c r="Q12" s="6" t="n">
        <v>1</v>
      </c>
      <c r="R12">
        <f>M12+IF(MAX(N12-1,0)&gt;0,IF(ISBLANK(O12),5*MAX(N12-1,0),IF(ISNUMBER(O12),O12*MAX(N12-1,0),SUM(IFERROR(VALUE(TEXTSPLIT(O12,",")),0)))),0)</f>
        <v/>
      </c>
      <c r="S12">
        <f>IFERROR(L12*MAX(N12,1)/R12*IF(ISBLANK(K11),1,K11),0)</f>
        <v/>
      </c>
      <c r="AB12" s="7" t="inlineStr">
        <is>
          <t>^TSDefaultMissile</t>
        </is>
      </c>
    </row>
    <row r="13">
      <c r="B13" s="7" t="inlineStr">
        <is>
          <t xml:space="preserve">  ↳ TSTacticalChemMissile</t>
        </is>
      </c>
      <c r="C13" s="7" t="inlineStr">
        <is>
          <t>Armament@superweapon2</t>
        </is>
      </c>
      <c r="L13" t="n">
        <v>5</v>
      </c>
      <c r="M13" s="6" t="n">
        <v>50</v>
      </c>
      <c r="N13" s="6" t="n">
        <v>1</v>
      </c>
      <c r="O13" s="6" t="n"/>
      <c r="P13" s="6" t="n">
        <v>10238976</v>
      </c>
      <c r="Q13" s="6" t="n">
        <v>1</v>
      </c>
      <c r="R13">
        <f>M13+IF(MAX(N13-1,0)&gt;0,IF(ISBLANK(O13),5*MAX(N13-1,0),IF(ISNUMBER(O13),O13*MAX(N13-1,0),SUM(IFERROR(VALUE(TEXTSPLIT(O13,",")),0)))),0)</f>
        <v/>
      </c>
      <c r="S13">
        <f>IFERROR(L13*MAX(N13,1)/R13*IF(ISBLANK(K11),1,K11),0)</f>
        <v/>
      </c>
      <c r="AB13" s="7" t="inlineStr">
        <is>
          <t>TSTacticalMissile</t>
        </is>
      </c>
    </row>
    <row r="14">
      <c r="A14" t="inlineStr">
        <is>
          <t>tiberiansun</t>
        </is>
      </c>
      <c r="B14" t="inlineStr">
        <is>
          <t>ts_nod_silo</t>
        </is>
      </c>
      <c r="C14" t="inlineStr">
        <is>
          <t>Silo</t>
        </is>
      </c>
      <c r="D14" s="6" t="inlineStr">
        <is>
          <t>Defense</t>
        </is>
      </c>
      <c r="E14" s="6" t="n">
        <v>100000</v>
      </c>
      <c r="F14" t="n">
        <v>100</v>
      </c>
      <c r="G14" t="inlineStr">
        <is>
          <t>Wood</t>
        </is>
      </c>
      <c r="H14" s="6" t="n">
        <v>1</v>
      </c>
      <c r="I14" s="6" t="n">
        <v>1</v>
      </c>
      <c r="J14" s="6" t="n">
        <v>1</v>
      </c>
      <c r="X14" s="6" t="n">
        <v>150</v>
      </c>
    </row>
    <row r="15">
      <c r="A15" t="inlineStr">
        <is>
          <t>tiberiansun</t>
        </is>
      </c>
      <c r="B15" t="inlineStr">
        <is>
          <t>ts_nod_stealthgenerator</t>
        </is>
      </c>
      <c r="C15" t="inlineStr">
        <is>
          <t>Stealth Generator</t>
        </is>
      </c>
      <c r="D15" s="6" t="inlineStr">
        <is>
          <t>Defense</t>
        </is>
      </c>
      <c r="E15" s="6" t="n">
        <v>100000</v>
      </c>
      <c r="F15" t="n">
        <v>100</v>
      </c>
      <c r="G15" t="inlineStr">
        <is>
          <t>Concrete</t>
        </is>
      </c>
      <c r="H15" s="6" t="n">
        <v>0.7604</v>
      </c>
      <c r="I15" s="6" t="n">
        <v>1</v>
      </c>
      <c r="J15" s="6" t="n">
        <v>1</v>
      </c>
      <c r="X15" s="6" t="n">
        <v>2500</v>
      </c>
    </row>
    <row r="16">
      <c r="A16" t="inlineStr">
        <is>
          <t>tiberiansun</t>
        </is>
      </c>
      <c r="B16" t="inlineStr">
        <is>
          <t>forgotten_silo</t>
        </is>
      </c>
      <c r="C16" t="inlineStr">
        <is>
          <t>actor_forgotten_silo.name</t>
        </is>
      </c>
      <c r="D16" s="6" t="inlineStr">
        <is>
          <t>Defense</t>
        </is>
      </c>
      <c r="E16" s="6" t="n">
        <v>200000</v>
      </c>
      <c r="F16" t="n">
        <v>100</v>
      </c>
      <c r="G16" t="inlineStr">
        <is>
          <t>Wood</t>
        </is>
      </c>
      <c r="H16" s="6" t="n">
        <v>1</v>
      </c>
      <c r="I16" s="6" t="n">
        <v>1</v>
      </c>
      <c r="J16" s="6" t="n">
        <v>1</v>
      </c>
      <c r="X16" s="6" t="n">
        <v>300</v>
      </c>
    </row>
    <row r="17">
      <c r="A17" t="inlineStr">
        <is>
          <t>tiberiansun</t>
        </is>
      </c>
      <c r="B17" t="inlineStr">
        <is>
          <t>forgotten_veinhole</t>
        </is>
      </c>
      <c r="C17" t="inlineStr">
        <is>
          <t>actor_forgotten_veinhole.name</t>
        </is>
      </c>
      <c r="D17" s="6" t="inlineStr">
        <is>
          <t>Defense</t>
        </is>
      </c>
      <c r="E17" s="6" t="n">
        <v>1000000</v>
      </c>
      <c r="F17" t="n">
        <v>100</v>
      </c>
      <c r="G17" t="inlineStr">
        <is>
          <t>Wood</t>
        </is>
      </c>
      <c r="H17" s="6" t="n">
        <v>0.8824</v>
      </c>
      <c r="I17" s="6" t="n">
        <v>1</v>
      </c>
      <c r="J17" s="6" t="n">
        <v>1</v>
      </c>
      <c r="X17" s="6" t="n">
        <v>10000</v>
      </c>
    </row>
    <row r="18">
      <c r="A18" t="inlineStr">
        <is>
          <t>redalert2</t>
        </is>
      </c>
      <c r="B18" t="inlineStr">
        <is>
          <t>ra2_allies_chronosphere</t>
        </is>
      </c>
      <c r="C18" t="inlineStr">
        <is>
          <t>Chronosphere</t>
        </is>
      </c>
      <c r="D18" s="6" t="inlineStr">
        <is>
          <t>Defense</t>
        </is>
      </c>
      <c r="E18" s="6" t="n">
        <v>1000000</v>
      </c>
      <c r="F18" t="n">
        <v>100</v>
      </c>
      <c r="G18" t="inlineStr">
        <is>
          <t>Concrete</t>
        </is>
      </c>
      <c r="H18" s="6" t="n">
        <v>0.5669999999999999</v>
      </c>
      <c r="I18" s="6" t="n">
        <v>1</v>
      </c>
      <c r="J18" s="6" t="n">
        <v>1</v>
      </c>
      <c r="X18" s="6" t="n">
        <v>5000</v>
      </c>
    </row>
    <row r="19">
      <c r="A19" t="inlineStr">
        <is>
          <t>redalert2</t>
        </is>
      </c>
      <c r="B19" t="inlineStr">
        <is>
          <t>ra2_allies_concretebarrier</t>
        </is>
      </c>
      <c r="C19" t="inlineStr">
        <is>
          <t>Concrete Barrier</t>
        </is>
      </c>
      <c r="D19" s="6" t="inlineStr">
        <is>
          <t>Defense</t>
        </is>
      </c>
      <c r="E19" s="6" t="n">
        <v>100000</v>
      </c>
      <c r="F19" t="n">
        <v>100</v>
      </c>
      <c r="G19" t="inlineStr">
        <is>
          <t>Concrete</t>
        </is>
      </c>
      <c r="H19" s="6" t="n">
        <v>1</v>
      </c>
      <c r="I19" s="6" t="n">
        <v>1</v>
      </c>
      <c r="J19" s="6" t="n">
        <v>1</v>
      </c>
      <c r="X19" s="6" t="n">
        <v>200</v>
      </c>
    </row>
    <row r="20">
      <c r="A20" t="inlineStr">
        <is>
          <t>redalert2</t>
        </is>
      </c>
      <c r="B20" t="inlineStr">
        <is>
          <t>ra2_allies_weathercontrolcenter</t>
        </is>
      </c>
      <c r="C20" t="inlineStr">
        <is>
          <t>Weather Control Center</t>
        </is>
      </c>
      <c r="D20" s="6" t="inlineStr">
        <is>
          <t>Defense</t>
        </is>
      </c>
      <c r="E20" s="6" t="n">
        <v>1000000</v>
      </c>
      <c r="F20" t="n">
        <v>100</v>
      </c>
      <c r="G20" t="inlineStr">
        <is>
          <t>Concrete</t>
        </is>
      </c>
      <c r="H20" s="6" t="n">
        <v>0.5669999999999999</v>
      </c>
      <c r="I20" s="6" t="n">
        <v>1</v>
      </c>
      <c r="J20" s="6" t="n">
        <v>1</v>
      </c>
      <c r="X20" s="6" t="n">
        <v>10000</v>
      </c>
    </row>
    <row r="21">
      <c r="A21" t="inlineStr">
        <is>
          <t>redalert2</t>
        </is>
      </c>
      <c r="B21" t="inlineStr">
        <is>
          <t>ra2_soviets_concretebarrier</t>
        </is>
      </c>
      <c r="C21" t="inlineStr">
        <is>
          <t>Concrete Barrier</t>
        </is>
      </c>
      <c r="D21" s="6" t="inlineStr">
        <is>
          <t>Defense</t>
        </is>
      </c>
      <c r="E21" s="6" t="n">
        <v>100000</v>
      </c>
      <c r="F21" t="n">
        <v>100</v>
      </c>
      <c r="G21" t="inlineStr">
        <is>
          <t>Concrete</t>
        </is>
      </c>
      <c r="H21" s="6" t="n">
        <v>1</v>
      </c>
      <c r="I21" s="6" t="n">
        <v>1</v>
      </c>
      <c r="J21" s="6" t="n">
        <v>1</v>
      </c>
      <c r="X21" s="6" t="n">
        <v>200</v>
      </c>
    </row>
    <row r="22">
      <c r="A22" t="inlineStr">
        <is>
          <t>redalert2</t>
        </is>
      </c>
      <c r="B22" t="inlineStr">
        <is>
          <t>ra2_soviets_ironcurtain</t>
        </is>
      </c>
      <c r="C22" t="inlineStr">
        <is>
          <t>Iron Curtain</t>
        </is>
      </c>
      <c r="D22" s="6" t="inlineStr">
        <is>
          <t>Defense</t>
        </is>
      </c>
      <c r="E22" s="6" t="n">
        <v>1000000</v>
      </c>
      <c r="F22" t="n">
        <v>100</v>
      </c>
      <c r="G22" t="inlineStr">
        <is>
          <t>Concrete</t>
        </is>
      </c>
      <c r="H22" s="6" t="n">
        <v>0.5957</v>
      </c>
      <c r="I22" s="6" t="n">
        <v>1</v>
      </c>
      <c r="J22" s="6" t="n">
        <v>1</v>
      </c>
      <c r="X22" s="6" t="n">
        <v>5000</v>
      </c>
    </row>
    <row r="23">
      <c r="A23" t="inlineStr">
        <is>
          <t>redalert2</t>
        </is>
      </c>
      <c r="B23" t="inlineStr">
        <is>
          <t>ra2_soviets_nuclearmissilesilo</t>
        </is>
      </c>
      <c r="C23" t="inlineStr">
        <is>
          <t>Nuclear Missile Silo</t>
        </is>
      </c>
      <c r="D23" s="6" t="inlineStr">
        <is>
          <t>Defense</t>
        </is>
      </c>
      <c r="E23" s="6" t="n">
        <v>1000000</v>
      </c>
      <c r="F23" t="n">
        <v>100</v>
      </c>
      <c r="G23" t="inlineStr">
        <is>
          <t>Concrete</t>
        </is>
      </c>
      <c r="H23" s="6" t="n">
        <v>0.5957</v>
      </c>
      <c r="I23" s="6" t="n">
        <v>1</v>
      </c>
      <c r="J23" s="6" t="n">
        <v>1</v>
      </c>
      <c r="X23" s="6" t="n">
        <v>10000</v>
      </c>
    </row>
    <row r="24">
      <c r="A24" t="inlineStr">
        <is>
          <t>redalert2</t>
        </is>
      </c>
      <c r="B24" t="inlineStr">
        <is>
          <t>yuri_concretebarrier</t>
        </is>
      </c>
      <c r="C24" t="inlineStr">
        <is>
          <t>Concrete Barrier</t>
        </is>
      </c>
      <c r="D24" s="6" t="inlineStr">
        <is>
          <t>Defense</t>
        </is>
      </c>
      <c r="E24" s="6" t="n">
        <v>100000</v>
      </c>
      <c r="F24" t="n">
        <v>100</v>
      </c>
      <c r="G24" t="inlineStr">
        <is>
          <t>Concrete</t>
        </is>
      </c>
      <c r="H24" s="6" t="n">
        <v>1</v>
      </c>
      <c r="I24" s="6" t="n">
        <v>1</v>
      </c>
      <c r="J24" s="6" t="n">
        <v>1</v>
      </c>
      <c r="X24" s="6" t="n">
        <v>200</v>
      </c>
    </row>
    <row r="25">
      <c r="A25" t="inlineStr">
        <is>
          <t>redalert2</t>
        </is>
      </c>
      <c r="B25" t="inlineStr">
        <is>
          <t>yuri_geneticmutator</t>
        </is>
      </c>
      <c r="C25" t="inlineStr">
        <is>
          <t>Genetic Mutator</t>
        </is>
      </c>
      <c r="D25" s="6" t="inlineStr">
        <is>
          <t>Defense</t>
        </is>
      </c>
      <c r="E25" s="6" t="n">
        <v>1000000</v>
      </c>
      <c r="F25" t="n">
        <v>100</v>
      </c>
      <c r="G25" t="inlineStr">
        <is>
          <t>Concrete</t>
        </is>
      </c>
      <c r="H25" s="6" t="n">
        <v>0.5749</v>
      </c>
      <c r="I25" s="6" t="n">
        <v>1</v>
      </c>
      <c r="J25" s="6" t="n">
        <v>1</v>
      </c>
      <c r="X25" s="6" t="n">
        <v>5000</v>
      </c>
    </row>
    <row r="26">
      <c r="A26" t="inlineStr">
        <is>
          <t>redalert2</t>
        </is>
      </c>
      <c r="B26" t="inlineStr">
        <is>
          <t>yuri_psychicdominator</t>
        </is>
      </c>
      <c r="C26" t="inlineStr">
        <is>
          <t>Psychic Dominator</t>
        </is>
      </c>
      <c r="D26" s="6" t="inlineStr">
        <is>
          <t>Defense</t>
        </is>
      </c>
      <c r="E26" s="6" t="n">
        <v>1000000</v>
      </c>
      <c r="F26" t="n">
        <v>100</v>
      </c>
      <c r="G26" t="inlineStr">
        <is>
          <t>Concrete</t>
        </is>
      </c>
      <c r="H26" s="6" t="n">
        <v>0.5749</v>
      </c>
      <c r="I26" s="6" t="n">
        <v>1</v>
      </c>
      <c r="J26" s="6" t="n">
        <v>1</v>
      </c>
      <c r="X26" s="6" t="n">
        <v>10000</v>
      </c>
    </row>
    <row r="27">
      <c r="A27" t="inlineStr">
        <is>
          <t>starcraft</t>
        </is>
      </c>
      <c r="B27" t="inlineStr">
        <is>
          <t>terran_missilesilo</t>
        </is>
      </c>
      <c r="C27" t="inlineStr">
        <is>
          <t>Terran Missile Silo</t>
        </is>
      </c>
      <c r="D27" s="6" t="inlineStr">
        <is>
          <t>Defense</t>
        </is>
      </c>
      <c r="E27" s="6" t="n">
        <v>1000000</v>
      </c>
      <c r="F27" t="n">
        <v>100</v>
      </c>
      <c r="G27" t="inlineStr">
        <is>
          <t>Concrete</t>
        </is>
      </c>
      <c r="H27" s="6" t="n">
        <v>0.6226</v>
      </c>
      <c r="I27" s="6" t="n">
        <v>1</v>
      </c>
      <c r="J27" s="6" t="n">
        <v>1</v>
      </c>
      <c r="X27" s="6" t="n">
        <v>10000</v>
      </c>
    </row>
    <row r="28">
      <c r="A28" t="inlineStr">
        <is>
          <t>warcraft2</t>
        </is>
      </c>
      <c r="B28" t="inlineStr">
        <is>
          <t>wc2_orcs_wall</t>
        </is>
      </c>
      <c r="C28" t="inlineStr">
        <is>
          <t>Wall</t>
        </is>
      </c>
      <c r="D28" s="6" t="inlineStr">
        <is>
          <t>Defense</t>
        </is>
      </c>
      <c r="E28" s="6" t="n">
        <v>25000</v>
      </c>
      <c r="F28" t="n">
        <v>100</v>
      </c>
      <c r="G28" t="inlineStr">
        <is>
          <t>Heavy</t>
        </is>
      </c>
      <c r="H28" s="6" t="n">
        <v>1</v>
      </c>
      <c r="I28" s="6" t="n">
        <v>1</v>
      </c>
      <c r="J28" s="6" t="n">
        <v>1</v>
      </c>
      <c r="X28" s="6" t="n">
        <v>300</v>
      </c>
    </row>
    <row r="29">
      <c r="A29" t="inlineStr">
        <is>
          <t>warcraft2</t>
        </is>
      </c>
      <c r="B29" t="inlineStr">
        <is>
          <t>wc2_humans_wall</t>
        </is>
      </c>
      <c r="C29" t="inlineStr">
        <is>
          <t>Wall</t>
        </is>
      </c>
      <c r="D29" s="6" t="inlineStr">
        <is>
          <t>Defense</t>
        </is>
      </c>
      <c r="E29" s="6" t="n">
        <v>25000</v>
      </c>
      <c r="F29" t="n">
        <v>100</v>
      </c>
      <c r="G29" t="inlineStr">
        <is>
          <t>Heavy</t>
        </is>
      </c>
      <c r="H29" s="6" t="n">
        <v>1</v>
      </c>
      <c r="I29" s="6" t="n">
        <v>1</v>
      </c>
      <c r="J29" s="6" t="n">
        <v>1</v>
      </c>
      <c r="X29" s="6" t="n">
        <v>300</v>
      </c>
    </row>
    <row r="30">
      <c r="A30" s="4" t="inlineStr">
        <is>
          <t>BasicDefense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</row>
    <row r="31">
      <c r="A31" t="inlineStr">
        <is>
          <t>tiberiandawn</t>
        </is>
      </c>
      <c r="B31" t="inlineStr">
        <is>
          <t>td_gdi_guardtower</t>
        </is>
      </c>
      <c r="C31" t="inlineStr">
        <is>
          <t>GDI Guard Tower</t>
        </is>
      </c>
      <c r="D31" s="6" t="inlineStr">
        <is>
          <t>BasicDefense</t>
        </is>
      </c>
      <c r="E31" s="6" t="n">
        <v>60000</v>
      </c>
      <c r="G31" t="inlineStr">
        <is>
          <t>Concrete</t>
        </is>
      </c>
      <c r="H31" s="6" t="n">
        <v>1</v>
      </c>
      <c r="I31" s="6" t="n">
        <v>1</v>
      </c>
      <c r="J31" s="6" t="n">
        <v>1</v>
      </c>
      <c r="X31" s="6" t="n">
        <v>500</v>
      </c>
    </row>
    <row r="32">
      <c r="B32" s="7" t="inlineStr">
        <is>
          <t xml:space="preserve">  ↳ HighV</t>
        </is>
      </c>
      <c r="C32" s="7" t="inlineStr">
        <is>
          <t>Armament</t>
        </is>
      </c>
      <c r="L32" s="6" t="n">
        <v>2000</v>
      </c>
      <c r="M32" s="6" t="n">
        <v>22</v>
      </c>
      <c r="N32" s="6" t="n">
        <v>4</v>
      </c>
      <c r="O32" s="6" t="n">
        <v>2</v>
      </c>
      <c r="P32" s="6" t="n">
        <v>6720</v>
      </c>
      <c r="Q32" s="6" t="n">
        <v>1</v>
      </c>
      <c r="R32">
        <f>M32+IF(MAX(N32-1,0)&gt;0,IF(ISBLANK(O32),5*MAX(N32-1,0),IF(ISNUMBER(O32),O32*MAX(N32-1,0),SUM(IFERROR(VALUE(TEXTSPLIT(O32,",")),0)))),0)</f>
        <v/>
      </c>
      <c r="S32">
        <f>IFERROR(L32*MAX(N32,1)/R32*IF(ISBLANK(K31),1,K31),0)</f>
        <v/>
      </c>
      <c r="AB32" s="7" t="inlineStr">
        <is>
          <t>^Warhead_Bullet_Medium</t>
        </is>
      </c>
    </row>
    <row r="33">
      <c r="B33" s="7" t="inlineStr">
        <is>
          <t xml:space="preserve">  ↳ HighVAP</t>
        </is>
      </c>
      <c r="C33" s="7" t="inlineStr">
        <is>
          <t>Armament@Upgrade</t>
        </is>
      </c>
      <c r="L33" s="6" t="n">
        <v>4000</v>
      </c>
      <c r="M33" s="6" t="n">
        <v>22</v>
      </c>
      <c r="N33" s="6" t="n">
        <v>4</v>
      </c>
      <c r="O33" s="6" t="n">
        <v>2</v>
      </c>
      <c r="P33" s="6" t="n">
        <v>6720</v>
      </c>
      <c r="Q33" s="6" t="n">
        <v>1</v>
      </c>
      <c r="R33">
        <f>M33+IF(MAX(N33-1,0)&gt;0,IF(ISBLANK(O33),5*MAX(N33-1,0),IF(ISNUMBER(O33),O33*MAX(N33-1,0),SUM(IFERROR(VALUE(TEXTSPLIT(O33,",")),0)))),0)</f>
        <v/>
      </c>
      <c r="S33">
        <f>IFERROR(L33*MAX(N33,1)/R33*IF(ISBLANK(K31),1,K31),0)</f>
        <v/>
      </c>
      <c r="AB33" s="7" t="inlineStr">
        <is>
          <t>^Warhead_Bullet_Medium</t>
        </is>
      </c>
    </row>
    <row r="34">
      <c r="A34" t="inlineStr">
        <is>
          <t>tiberiandawn</t>
        </is>
      </c>
      <c r="B34" t="inlineStr">
        <is>
          <t>td_nod_gunturret</t>
        </is>
      </c>
      <c r="C34" t="inlineStr">
        <is>
          <t>Nod Gun Turret</t>
        </is>
      </c>
      <c r="D34" s="6" t="inlineStr">
        <is>
          <t>BasicDefense</t>
        </is>
      </c>
      <c r="E34" s="6" t="n">
        <v>150000</v>
      </c>
      <c r="G34" t="inlineStr">
        <is>
          <t>Concrete</t>
        </is>
      </c>
      <c r="H34" s="6" t="n">
        <v>1</v>
      </c>
      <c r="I34" s="6" t="n">
        <v>0.35</v>
      </c>
      <c r="J34" s="6" t="n">
        <v>1</v>
      </c>
      <c r="X34" s="6" t="n">
        <v>700</v>
      </c>
    </row>
    <row r="35">
      <c r="B35" s="7" t="inlineStr">
        <is>
          <t xml:space="preserve">  ↳ TurretGun</t>
        </is>
      </c>
      <c r="C35" s="7" t="inlineStr">
        <is>
          <t>Armament</t>
        </is>
      </c>
      <c r="L35" s="6" t="n">
        <v>19000</v>
      </c>
      <c r="M35" s="6" t="n">
        <v>61</v>
      </c>
      <c r="N35" s="6" t="n">
        <v>1</v>
      </c>
      <c r="O35" s="6" t="n"/>
      <c r="P35" s="6" t="n">
        <v>7711</v>
      </c>
      <c r="Q35" s="6" t="n">
        <v>1</v>
      </c>
      <c r="R35">
        <f>M35+IF(MAX(N35-1,0)&gt;0,IF(ISBLANK(O35),5*MAX(N35-1,0),IF(ISNUMBER(O35),O35*MAX(N35-1,0),SUM(IFERROR(VALUE(TEXTSPLIT(O35,",")),0)))),0)</f>
        <v/>
      </c>
      <c r="S35">
        <f>IFERROR(L35*MAX(N35,1)/R35*IF(ISBLANK(K34),1,K34),0)</f>
        <v/>
      </c>
      <c r="AB35" s="7" t="inlineStr">
        <is>
          <t>^ShrapnelWeapon, ^Grenade, ^MediumCannon, ^TankDestroyerCannon</t>
        </is>
      </c>
    </row>
    <row r="36">
      <c r="B36" s="7" t="inlineStr">
        <is>
          <t xml:space="preserve">  ↳ TurretGunBlackMarket</t>
        </is>
      </c>
      <c r="C36" s="7" t="inlineStr">
        <is>
          <t>Armament@Upgrade</t>
        </is>
      </c>
      <c r="L36" s="6" t="n">
        <v>31000</v>
      </c>
      <c r="M36" s="6" t="n">
        <v>61</v>
      </c>
      <c r="N36" s="6" t="n">
        <v>1</v>
      </c>
      <c r="O36" s="6" t="n"/>
      <c r="P36" s="6" t="n">
        <v>7711</v>
      </c>
      <c r="Q36" s="6" t="n">
        <v>1</v>
      </c>
      <c r="R36">
        <f>M36+IF(MAX(N36-1,0)&gt;0,IF(ISBLANK(O36),5*MAX(N36-1,0),IF(ISNUMBER(O36),O36*MAX(N36-1,0),SUM(IFERROR(VALUE(TEXTSPLIT(O36,",")),0)))),0)</f>
        <v/>
      </c>
      <c r="S36">
        <f>IFERROR(L36*MAX(N36,1)/R36*IF(ISBLANK(K34),1,K34),0)</f>
        <v/>
      </c>
      <c r="AB36" s="7" t="inlineStr">
        <is>
          <t>^HeavyBomb, ^HeavyCannon, TurretGun</t>
        </is>
      </c>
    </row>
    <row r="37">
      <c r="A37" t="inlineStr">
        <is>
          <t>tiberiandawn</t>
        </is>
      </c>
      <c r="B37" t="inlineStr">
        <is>
          <t>td_nod_laserturret</t>
        </is>
      </c>
      <c r="C37" t="inlineStr">
        <is>
          <t>Nod Laser Turret</t>
        </is>
      </c>
      <c r="D37" s="6" t="inlineStr">
        <is>
          <t>BasicDefense</t>
        </is>
      </c>
      <c r="E37" s="6" t="n">
        <v>72500</v>
      </c>
      <c r="G37" t="inlineStr">
        <is>
          <t>Concrete</t>
        </is>
      </c>
      <c r="H37" s="6" t="n">
        <v>1</v>
      </c>
      <c r="I37" s="6" t="n">
        <v>0.35</v>
      </c>
      <c r="J37" s="6" t="n">
        <v>1</v>
      </c>
      <c r="X37" s="6" t="n">
        <v>1000</v>
      </c>
    </row>
    <row r="38">
      <c r="B38" s="7" t="inlineStr">
        <is>
          <t xml:space="preserve">  ↳ NodTurretLaser</t>
        </is>
      </c>
      <c r="C38" s="7" t="inlineStr">
        <is>
          <t>Armament@Base</t>
        </is>
      </c>
      <c r="L38" s="6" t="n">
        <v>12000</v>
      </c>
      <c r="M38" s="6" t="n">
        <v>20</v>
      </c>
      <c r="N38" s="6" t="n">
        <v>2</v>
      </c>
      <c r="O38" s="6" t="n">
        <v>4</v>
      </c>
      <c r="P38" s="6" t="n">
        <v>6800</v>
      </c>
      <c r="Q38" s="6" t="n">
        <v>1</v>
      </c>
      <c r="R38">
        <f>M38+IF(MAX(N38-1,0)&gt;0,IF(ISBLANK(O38),5*MAX(N38-1,0),IF(ISNUMBER(O38),O38*MAX(N38-1,0),SUM(IFERROR(VALUE(TEXTSPLIT(O38,",")),0)))),0)</f>
        <v/>
      </c>
      <c r="S38">
        <f>IFERROR(L38*MAX(N38,1)/R38*IF(ISBLANK(K37),1,K37),0)</f>
        <v/>
      </c>
      <c r="AB38" s="7" t="inlineStr">
        <is>
          <t>^Warhead_Laser_Medium</t>
        </is>
      </c>
    </row>
    <row r="39">
      <c r="B39" s="7" t="inlineStr">
        <is>
          <t xml:space="preserve">  ↳ NodTurretLaserInferno</t>
        </is>
      </c>
      <c r="C39" s="7" t="inlineStr">
        <is>
          <t>Armament@Elite</t>
        </is>
      </c>
      <c r="L39" s="6" t="n">
        <v>12000</v>
      </c>
      <c r="M39" s="6" t="n">
        <v>20</v>
      </c>
      <c r="N39" s="6" t="n">
        <v>2</v>
      </c>
      <c r="O39" s="6" t="n">
        <v>4</v>
      </c>
      <c r="P39" s="6" t="n">
        <v>6800</v>
      </c>
      <c r="Q39" s="6" t="n">
        <v>1</v>
      </c>
      <c r="R39">
        <f>M39+IF(MAX(N39-1,0)&gt;0,IF(ISBLANK(O39),5*MAX(N39-1,0),IF(ISNUMBER(O39),O39*MAX(N39-1,0),SUM(IFERROR(VALUE(TEXTSPLIT(O39,",")),0)))),0)</f>
        <v/>
      </c>
      <c r="S39">
        <f>IFERROR(L39*MAX(N39,1)/R39*IF(ISBLANK(K37),1,K37),0)</f>
        <v/>
      </c>
      <c r="AB39" s="7" t="inlineStr">
        <is>
          <t>^Warhead_Inferno_Medium</t>
        </is>
      </c>
    </row>
    <row r="40">
      <c r="B40" s="7" t="inlineStr">
        <is>
          <t xml:space="preserve">  ↳ NodTurretLaserBurning</t>
        </is>
      </c>
      <c r="C40" s="7" t="inlineStr">
        <is>
          <t>Armament@Burning</t>
        </is>
      </c>
      <c r="L40" s="6" t="n">
        <v>12000</v>
      </c>
      <c r="M40" s="6" t="n">
        <v>20</v>
      </c>
      <c r="N40" s="6" t="n">
        <v>10</v>
      </c>
      <c r="O40" s="6" t="n">
        <v>1</v>
      </c>
      <c r="P40" s="6" t="n">
        <v>6800</v>
      </c>
      <c r="Q40" s="6" t="n">
        <v>1</v>
      </c>
      <c r="R40">
        <f>M40+IF(MAX(N40-1,0)&gt;0,IF(ISBLANK(O40),5*MAX(N40-1,0),IF(ISNUMBER(O40),O40*MAX(N40-1,0),SUM(IFERROR(VALUE(TEXTSPLIT(O40,",")),0)))),0)</f>
        <v/>
      </c>
      <c r="S40">
        <f>IFERROR(L40*MAX(N40,1)/R40*IF(ISBLANK(K37),1,K37),0)</f>
        <v/>
      </c>
      <c r="AB40" s="7" t="inlineStr">
        <is>
          <t>^Warhead_Inferno_Medium</t>
        </is>
      </c>
    </row>
    <row r="41">
      <c r="A41" t="inlineStr">
        <is>
          <t>redalert</t>
        </is>
      </c>
      <c r="B41" t="inlineStr">
        <is>
          <t>japan_japanesemgnest</t>
        </is>
      </c>
      <c r="C41" t="inlineStr">
        <is>
          <t>Japanese MG Nest</t>
        </is>
      </c>
      <c r="D41" s="6" t="inlineStr">
        <is>
          <t>BasicDefense</t>
        </is>
      </c>
      <c r="E41" s="6" t="n">
        <v>110000</v>
      </c>
      <c r="F41" t="n">
        <v>100</v>
      </c>
      <c r="G41" t="inlineStr">
        <is>
          <t>Concrete</t>
        </is>
      </c>
      <c r="H41" s="6" t="n">
        <v>1</v>
      </c>
      <c r="I41" s="6" t="n">
        <v>1</v>
      </c>
      <c r="J41" s="6" t="n">
        <v>1</v>
      </c>
      <c r="P41">
        <f>MAX(P42,P43)</f>
        <v/>
      </c>
      <c r="S41">
        <f>S42+S43</f>
        <v/>
      </c>
      <c r="T41">
        <f>(E41/100000+F41/100+(P41/1000)*J41/5+S41/200)*200*I41*H41</f>
        <v/>
      </c>
      <c r="U41">
        <f>((E41*F41/25000)+((P41/1000)*J41*S41/2.5))*I41*H41</f>
        <v/>
      </c>
      <c r="V41">
        <f>(E41*F41*(P41/1000)*J41*S41*I41*H41)/12500000</f>
        <v/>
      </c>
      <c r="W41">
        <f>(T41+U41+V41)/3</f>
        <v/>
      </c>
      <c r="X41" s="6" t="n">
        <v>1000</v>
      </c>
      <c r="Y41">
        <f>IFERROR(W41-X41,"")</f>
        <v/>
      </c>
      <c r="Z41">
        <f>IFERROR(ABS(Y41)/MAX(X41,1),"")</f>
        <v/>
      </c>
      <c r="AA41">
        <f>IFERROR((X41-(((E41/100000+F41/100+S41/200)*200*I41*H41)+((E41*F41/25000)*I41*H41))/3)/(((J41/5)*200*I41*H41)+((J41*S41/2.5)*I41*H41)+((E41*F41*J41*S41*I41*H41)/12500000))/3*1000,"")</f>
        <v/>
      </c>
    </row>
    <row r="42">
      <c r="B42" s="7" t="inlineStr">
        <is>
          <t xml:space="preserve">  ↳ JHighV</t>
        </is>
      </c>
      <c r="C42" s="7" t="inlineStr">
        <is>
          <t>Armament</t>
        </is>
      </c>
      <c r="L42" s="6" t="n">
        <v>8000</v>
      </c>
      <c r="M42" s="6" t="n">
        <v>25</v>
      </c>
      <c r="N42" s="6" t="n">
        <v>5</v>
      </c>
      <c r="O42" s="6" t="n">
        <v>5</v>
      </c>
      <c r="P42" s="6" t="n">
        <v>6696</v>
      </c>
      <c r="Q42" s="6" t="n">
        <v>0.875</v>
      </c>
      <c r="R42">
        <f>M42+IF(MAX(N42-1,0)&gt;0,IF(ISBLANK(O42),5*MAX(N42-1,0),IF(ISNUMBER(O42),O42*MAX(N42-1,0),SUM(IFERROR(VALUE(TEXTSPLIT(O42,",")),0)))),0)</f>
        <v/>
      </c>
      <c r="S42">
        <f>IFERROR(L42*MAX(N42,1)/R42*IF(ISBLANK(K41),1,K41),0)</f>
        <v/>
      </c>
      <c r="AB42" s="7" t="inlineStr">
        <is>
          <t>^Warhead_Bullet_Light, ^Warhead_Bullet_Medium</t>
        </is>
      </c>
    </row>
    <row r="43">
      <c r="B43" s="7" t="inlineStr">
        <is>
          <t xml:space="preserve">  ↳ JHighVWaveforce</t>
        </is>
      </c>
      <c r="C43" s="7" t="inlineStr">
        <is>
          <t>Armament@Upgrade</t>
        </is>
      </c>
      <c r="L43" s="6" t="n">
        <v>12000</v>
      </c>
      <c r="M43" s="6" t="n">
        <v>25</v>
      </c>
      <c r="N43" s="6" t="n">
        <v>5</v>
      </c>
      <c r="O43" s="6" t="n">
        <v>5</v>
      </c>
      <c r="P43" s="6" t="n">
        <v>6696</v>
      </c>
      <c r="Q43" s="6" t="n">
        <v>1</v>
      </c>
      <c r="R43">
        <f>M43+IF(MAX(N43-1,0)&gt;0,IF(ISBLANK(O43),5*MAX(N43-1,0),IF(ISNUMBER(O43),O43*MAX(N43-1,0),SUM(IFERROR(VALUE(TEXTSPLIT(O43,",")),0)))),0)</f>
        <v/>
      </c>
      <c r="S43">
        <f>IFERROR(L43*MAX(N43,1)/R43*IF(ISBLANK(K41),1,K41),0)</f>
        <v/>
      </c>
      <c r="AB43" s="7" t="inlineStr">
        <is>
          <t>^Warhead_Railgun_Heavy, ^Warhead_Bullet_Light, ^Warhead_Bullet_Medium</t>
        </is>
      </c>
    </row>
    <row r="44">
      <c r="A44" t="inlineStr">
        <is>
          <t>redalert</t>
        </is>
      </c>
      <c r="B44" t="inlineStr">
        <is>
          <t>ra1_soviets_flametower</t>
        </is>
      </c>
      <c r="C44" t="inlineStr">
        <is>
          <t>Flame Tower</t>
        </is>
      </c>
      <c r="D44" s="6" t="inlineStr">
        <is>
          <t>BasicDefense</t>
        </is>
      </c>
      <c r="E44" s="6" t="n">
        <v>64000</v>
      </c>
      <c r="F44" t="n">
        <v>100</v>
      </c>
      <c r="G44" t="inlineStr">
        <is>
          <t>Concrete</t>
        </is>
      </c>
      <c r="H44" s="6" t="n">
        <v>1</v>
      </c>
      <c r="I44" s="6" t="n">
        <v>0.35</v>
      </c>
      <c r="J44" s="6" t="n">
        <v>1</v>
      </c>
      <c r="P44">
        <f>MAX(P45,P46)</f>
        <v/>
      </c>
      <c r="S44">
        <f>S45+S46</f>
        <v/>
      </c>
      <c r="T44">
        <f>(E44/100000+F44/100+(P44/1000)*J44/5+S44/200)*200*I44*H44</f>
        <v/>
      </c>
      <c r="U44">
        <f>((E44*F44/25000)+((P44/1000)*J44*S44/2.5))*I44*H44</f>
        <v/>
      </c>
      <c r="V44">
        <f>(E44*F44*(P44/1000)*J44*S44*I44*H44)/12500000</f>
        <v/>
      </c>
      <c r="W44">
        <f>(T44+U44+V44)/3</f>
        <v/>
      </c>
      <c r="X44" s="6" t="n">
        <v>600</v>
      </c>
      <c r="Y44">
        <f>IFERROR(W44-X44,"")</f>
        <v/>
      </c>
      <c r="Z44">
        <f>IFERROR(ABS(Y44)/MAX(X44,1),"")</f>
        <v/>
      </c>
      <c r="AA44">
        <f>IFERROR((X44-(((E44/100000+F44/100+S44/200)*200*I44*H44)+((E44*F44/25000)*I44*H44))/3)/(((J44/5)*200*I44*H44)+((J44*S44/2.5)*I44*H44)+((E44*F44*J44*S44*I44*H44)/12500000))/3*1000,"")</f>
        <v/>
      </c>
    </row>
    <row r="45">
      <c r="B45" s="7" t="inlineStr">
        <is>
          <t xml:space="preserve">  ↳ FireballLauncher</t>
        </is>
      </c>
      <c r="C45" s="7" t="inlineStr">
        <is>
          <t>Armament</t>
        </is>
      </c>
      <c r="L45" s="6" t="n">
        <v>18000</v>
      </c>
      <c r="M45" s="6" t="n">
        <v>30</v>
      </c>
      <c r="N45" s="6" t="n">
        <v>1</v>
      </c>
      <c r="O45" s="6" t="n"/>
      <c r="P45" s="6" t="n">
        <v>6742</v>
      </c>
      <c r="Q45" s="6" t="n">
        <v>1</v>
      </c>
      <c r="R45">
        <f>M45+IF(MAX(N45-1,0)&gt;0,IF(ISBLANK(O45),5*MAX(N45-1,0),IF(ISNUMBER(O45),O45*MAX(N45-1,0),SUM(IFERROR(VALUE(TEXTSPLIT(O45,",")),0)))),0)</f>
        <v/>
      </c>
      <c r="S45">
        <f>IFERROR(L45*MAX(N45,1)/R45*IF(ISBLANK(K44),1,K44),0)</f>
        <v/>
      </c>
      <c r="AB45" s="7" t="inlineStr">
        <is>
          <t>^Warhead_Flame_Medium</t>
        </is>
      </c>
    </row>
    <row r="46">
      <c r="B46" s="7" t="inlineStr">
        <is>
          <t xml:space="preserve">  ↳ FireballLauncherThermobaric</t>
        </is>
      </c>
      <c r="C46" s="7" t="inlineStr">
        <is>
          <t>Armament@Upgrade</t>
        </is>
      </c>
      <c r="L46" s="6" t="n">
        <v>20000</v>
      </c>
      <c r="M46" s="6" t="n">
        <v>30</v>
      </c>
      <c r="N46" s="6" t="n">
        <v>1</v>
      </c>
      <c r="O46" s="6" t="n"/>
      <c r="P46" s="6" t="n">
        <v>6742</v>
      </c>
      <c r="Q46" s="6" t="n">
        <v>1</v>
      </c>
      <c r="R46">
        <f>M46+IF(MAX(N46-1,0)&gt;0,IF(ISBLANK(O46),5*MAX(N46-1,0),IF(ISNUMBER(O46),O46*MAX(N46-1,0),SUM(IFERROR(VALUE(TEXTSPLIT(O46,",")),0)))),0)</f>
        <v/>
      </c>
      <c r="S46">
        <f>IFERROR(L46*MAX(N46,1)/R46*IF(ISBLANK(K44),1,K44),0)</f>
        <v/>
      </c>
      <c r="AB46" s="7" t="inlineStr">
        <is>
          <t>^Warhead_Flame_Medium</t>
        </is>
      </c>
    </row>
    <row r="47">
      <c r="A47" t="inlineStr">
        <is>
          <t>redalert</t>
        </is>
      </c>
      <c r="B47" t="inlineStr">
        <is>
          <t>ra1_allies_alliedgunturret</t>
        </is>
      </c>
      <c r="C47" t="inlineStr">
        <is>
          <t>Allied Gun Turret</t>
        </is>
      </c>
      <c r="D47" s="6" t="inlineStr">
        <is>
          <t>BasicDefense</t>
        </is>
      </c>
      <c r="E47" s="6" t="n">
        <v>100000</v>
      </c>
      <c r="F47" t="n">
        <v>100</v>
      </c>
      <c r="G47" t="inlineStr">
        <is>
          <t>Concrete</t>
        </is>
      </c>
      <c r="H47" s="6" t="n">
        <v>1</v>
      </c>
      <c r="I47" s="6" t="n">
        <v>0.35</v>
      </c>
      <c r="J47" s="6" t="n">
        <v>1</v>
      </c>
      <c r="P47">
        <f>MAX(P48)</f>
        <v/>
      </c>
      <c r="S47">
        <f>S48</f>
        <v/>
      </c>
      <c r="T47">
        <f>(E47/100000+F47/100+(P47/1000)*J47/5+S47/200)*200*I47*H47</f>
        <v/>
      </c>
      <c r="U47">
        <f>((E47*F47/25000)+((P47/1000)*J47*S47/2.5))*I47*H47</f>
        <v/>
      </c>
      <c r="V47">
        <f>(E47*F47*(P47/1000)*J47*S47*I47*H47)/12500000</f>
        <v/>
      </c>
      <c r="W47">
        <f>(T47+U47+V47)/3</f>
        <v/>
      </c>
      <c r="X47" s="6" t="n">
        <v>800</v>
      </c>
      <c r="Y47">
        <f>IFERROR(W47-X47,"")</f>
        <v/>
      </c>
      <c r="Z47">
        <f>IFERROR(ABS(Y47)/MAX(X47,1),"")</f>
        <v/>
      </c>
      <c r="AA47">
        <f>IFERROR((X47-(((E47/100000+F47/100+S47/200)*200*I47*H47)+((E47*F47/25000)*I47*H47))/3)/(((J47/5)*200*I47*H47)+((J47*S47/2.5)*I47*H47)+((E47*F47*J47*S47*I47*H47)/12500000))/3*1000,"")</f>
        <v/>
      </c>
    </row>
    <row r="48">
      <c r="B48" s="7" t="inlineStr">
        <is>
          <t xml:space="preserve">  ↳ RATurretGun</t>
        </is>
      </c>
      <c r="C48" s="7" t="inlineStr">
        <is>
          <t>Armament</t>
        </is>
      </c>
      <c r="L48" s="6" t="n">
        <v>20000</v>
      </c>
      <c r="M48" s="6" t="n">
        <v>40</v>
      </c>
      <c r="N48" s="6" t="n">
        <v>1</v>
      </c>
      <c r="O48" s="6" t="n"/>
      <c r="P48" s="6" t="n">
        <v>7685</v>
      </c>
      <c r="Q48" s="6" t="n">
        <v>1.125</v>
      </c>
      <c r="R48">
        <f>M48+IF(MAX(N48-1,0)&gt;0,IF(ISBLANK(O48),5*MAX(N48-1,0),IF(ISNUMBER(O48),O48*MAX(N48-1,0),SUM(IFERROR(VALUE(TEXTSPLIT(O48,",")),0)))),0)</f>
        <v/>
      </c>
      <c r="S48">
        <f>IFERROR(L48*MAX(N48,1)/R48*IF(ISBLANK(K47),1,K47),0)</f>
        <v/>
      </c>
      <c r="AB48" s="7" t="inlineStr">
        <is>
          <t>^Warhead_Concussion_Medium, ^Warhead_CannonHE_Heavy</t>
        </is>
      </c>
    </row>
    <row r="49">
      <c r="A49" t="inlineStr">
        <is>
          <t>redalert</t>
        </is>
      </c>
      <c r="B49" t="inlineStr">
        <is>
          <t>ra1_allies_camopillbox</t>
        </is>
      </c>
      <c r="C49" t="inlineStr">
        <is>
          <t>Camo Pillbox</t>
        </is>
      </c>
      <c r="D49" s="6" t="inlineStr">
        <is>
          <t>BasicDefense</t>
        </is>
      </c>
      <c r="E49" s="6" t="n">
        <v>122500</v>
      </c>
      <c r="F49" t="n">
        <v>100</v>
      </c>
      <c r="G49" t="inlineStr">
        <is>
          <t>Concrete</t>
        </is>
      </c>
      <c r="H49" s="6" t="n">
        <v>1</v>
      </c>
      <c r="I49" s="6" t="n">
        <v>0.35</v>
      </c>
      <c r="J49" s="6" t="n">
        <v>1.25</v>
      </c>
      <c r="X49" s="6" t="n">
        <v>1300</v>
      </c>
    </row>
    <row r="50">
      <c r="A50" t="inlineStr">
        <is>
          <t>redalert</t>
        </is>
      </c>
      <c r="B50" t="inlineStr">
        <is>
          <t>ra1_allies_pillbox</t>
        </is>
      </c>
      <c r="C50" t="inlineStr">
        <is>
          <t>Pillbox</t>
        </is>
      </c>
      <c r="D50" s="6" t="inlineStr">
        <is>
          <t>BasicDefense</t>
        </is>
      </c>
      <c r="E50" s="6" t="n">
        <v>90000</v>
      </c>
      <c r="F50" t="n">
        <v>100</v>
      </c>
      <c r="G50" t="inlineStr">
        <is>
          <t>Concrete</t>
        </is>
      </c>
      <c r="H50" s="6" t="n">
        <v>1</v>
      </c>
      <c r="I50" s="6" t="n">
        <v>1</v>
      </c>
      <c r="J50" s="6" t="n">
        <v>1</v>
      </c>
      <c r="X50" s="6" t="n">
        <v>400</v>
      </c>
    </row>
    <row r="51">
      <c r="A51" t="inlineStr">
        <is>
          <t>tiberiansun</t>
        </is>
      </c>
      <c r="B51" t="inlineStr">
        <is>
          <t>cabal_pillbox</t>
        </is>
      </c>
      <c r="C51" t="inlineStr">
        <is>
          <t>Pillbox</t>
        </is>
      </c>
      <c r="D51" s="6" t="inlineStr">
        <is>
          <t>BasicDefense</t>
        </is>
      </c>
      <c r="E51" s="6" t="n">
        <v>85000</v>
      </c>
      <c r="F51" t="n">
        <v>100</v>
      </c>
      <c r="G51" t="inlineStr">
        <is>
          <t>Concrete</t>
        </is>
      </c>
      <c r="H51" s="6" t="n">
        <v>1</v>
      </c>
      <c r="I51" s="6" t="n">
        <v>1</v>
      </c>
      <c r="J51" s="6" t="n">
        <v>1</v>
      </c>
      <c r="X51" s="6" t="n">
        <v>800</v>
      </c>
    </row>
    <row r="52">
      <c r="A52" t="inlineStr">
        <is>
          <t>tiberiansun</t>
        </is>
      </c>
      <c r="B52" t="inlineStr">
        <is>
          <t>cabal_plasmaturret</t>
        </is>
      </c>
      <c r="C52" t="inlineStr">
        <is>
          <t>Plasma Turret</t>
        </is>
      </c>
      <c r="D52" s="6" t="inlineStr">
        <is>
          <t>BasicDefense</t>
        </is>
      </c>
      <c r="E52" s="6" t="n">
        <v>60000</v>
      </c>
      <c r="F52" t="n">
        <v>100</v>
      </c>
      <c r="G52" t="inlineStr">
        <is>
          <t>Concrete</t>
        </is>
      </c>
      <c r="H52" s="6" t="n">
        <v>1</v>
      </c>
      <c r="I52" s="6" t="n">
        <v>1</v>
      </c>
      <c r="J52" s="6" t="n">
        <v>1</v>
      </c>
      <c r="P52">
        <f>MAX(P53)</f>
        <v/>
      </c>
      <c r="S52">
        <f>S53</f>
        <v/>
      </c>
      <c r="T52">
        <f>(E52/100000+F52/100+(P52/1000)*J52/5+S52/200)*200*I52*H52</f>
        <v/>
      </c>
      <c r="U52">
        <f>((E52*F52/25000)+((P52/1000)*J52*S52/2.5))*I52*H52</f>
        <v/>
      </c>
      <c r="V52">
        <f>(E52*F52*(P52/1000)*J52*S52*I52*H52)/12500000</f>
        <v/>
      </c>
      <c r="W52">
        <f>(T52+U52+V52)/3</f>
        <v/>
      </c>
      <c r="X52" s="6" t="n">
        <v>800</v>
      </c>
      <c r="Y52">
        <f>IFERROR(W52-X52,"")</f>
        <v/>
      </c>
      <c r="Z52">
        <f>IFERROR(ABS(Y52)/MAX(X52,1),"")</f>
        <v/>
      </c>
      <c r="AA52">
        <f>IFERROR((X52-(((E52/100000+F52/100+S52/200)*200*I52*H52)+((E52*F52/25000)*I52*H52))/3)/(((J52/5)*200*I52*H52)+((J52*S52/2.5)*I52*H52)+((E52*F52*J52*S52*I52*H52)/12500000))/3*1000,"")</f>
        <v/>
      </c>
    </row>
    <row r="53">
      <c r="B53" s="7" t="inlineStr">
        <is>
          <t xml:space="preserve">  ↳ TSCABALPlasmaFire</t>
        </is>
      </c>
      <c r="C53" s="7" t="inlineStr">
        <is>
          <t>Armament@PRIMARY</t>
        </is>
      </c>
      <c r="L53" s="6" t="n">
        <v>20000</v>
      </c>
      <c r="M53" s="6" t="n">
        <v>25</v>
      </c>
      <c r="N53" s="6" t="n">
        <v>1</v>
      </c>
      <c r="O53" s="6" t="n"/>
      <c r="P53" s="6" t="n">
        <v>6487</v>
      </c>
      <c r="Q53" s="6" t="n">
        <v>1.125</v>
      </c>
      <c r="R53">
        <f>M53+IF(MAX(N53-1,0)&gt;0,IF(ISBLANK(O53),5*MAX(N53-1,0),IF(ISNUMBER(O53),O53*MAX(N53-1,0),SUM(IFERROR(VALUE(TEXTSPLIT(O53,",")),0)))),0)</f>
        <v/>
      </c>
      <c r="S53">
        <f>IFERROR(L53*MAX(N53,1)/R53*IF(ISBLANK(K52),1,K52),0)</f>
        <v/>
      </c>
      <c r="AB53" s="7" t="inlineStr">
        <is>
          <t>^Warhead_Bullet_Medium, ^Warhead_Laser_Heavy</t>
        </is>
      </c>
    </row>
    <row r="54">
      <c r="A54" t="inlineStr">
        <is>
          <t>tiberiansun</t>
        </is>
      </c>
      <c r="B54" t="inlineStr">
        <is>
          <t>ts_nod_laserturret</t>
        </is>
      </c>
      <c r="C54" t="inlineStr">
        <is>
          <t>Laser Turret</t>
        </is>
      </c>
      <c r="D54" s="6" t="inlineStr">
        <is>
          <t>BasicDefense</t>
        </is>
      </c>
      <c r="E54" s="6" t="n">
        <v>60000</v>
      </c>
      <c r="F54" t="n">
        <v>100</v>
      </c>
      <c r="G54" t="inlineStr">
        <is>
          <t>Concrete</t>
        </is>
      </c>
      <c r="H54" s="6" t="n">
        <v>1</v>
      </c>
      <c r="I54" s="6" t="n">
        <v>1</v>
      </c>
      <c r="J54" s="6" t="n">
        <v>1</v>
      </c>
      <c r="P54">
        <f>MAX(P55,P56)</f>
        <v/>
      </c>
      <c r="S54">
        <f>S55+S56</f>
        <v/>
      </c>
      <c r="T54">
        <f>(E54/100000+F54/100+(P54/1000)*J54/5+S54/200)*200*I54*H54</f>
        <v/>
      </c>
      <c r="U54">
        <f>((E54*F54/25000)+((P54/1000)*J54*S54/2.5))*I54*H54</f>
        <v/>
      </c>
      <c r="V54">
        <f>(E54*F54*(P54/1000)*J54*S54*I54*H54)/12500000</f>
        <v/>
      </c>
      <c r="W54">
        <f>(T54+U54+V54)/3</f>
        <v/>
      </c>
      <c r="X54" s="6" t="n">
        <v>800</v>
      </c>
      <c r="Y54">
        <f>IFERROR(W54-X54,"")</f>
        <v/>
      </c>
      <c r="Z54">
        <f>IFERROR(ABS(Y54)/MAX(X54,1),"")</f>
        <v/>
      </c>
      <c r="AA54">
        <f>IFERROR((X54-(((E54/100000+F54/100+S54/200)*200*I54*H54)+((E54*F54/25000)*I54*H54))/3)/(((J54/5)*200*I54*H54)+((J54*S54/2.5)*I54*H54)+((E54*F54*J54*S54*I54*H54)/12500000))/3*1000,"")</f>
        <v/>
      </c>
    </row>
    <row r="55">
      <c r="B55" s="7" t="inlineStr">
        <is>
          <t xml:space="preserve">  ↳ TSTurretLaser</t>
        </is>
      </c>
      <c r="C55" s="7" t="inlineStr">
        <is>
          <t>Armament@PRIMARY</t>
        </is>
      </c>
      <c r="L55" s="6" t="n">
        <v>20000</v>
      </c>
      <c r="M55" s="6" t="n">
        <v>25</v>
      </c>
      <c r="N55" s="6" t="n">
        <v>1</v>
      </c>
      <c r="O55" s="6" t="n"/>
      <c r="P55" s="6" t="n">
        <v>6487</v>
      </c>
      <c r="Q55" s="6" t="n">
        <v>1.125</v>
      </c>
      <c r="R55">
        <f>M55+IF(MAX(N55-1,0)&gt;0,IF(ISBLANK(O55),5*MAX(N55-1,0),IF(ISNUMBER(O55),O55*MAX(N55-1,0),SUM(IFERROR(VALUE(TEXTSPLIT(O55,",")),0)))),0)</f>
        <v/>
      </c>
      <c r="S55">
        <f>IFERROR(L55*MAX(N55,1)/R55*IF(ISBLANK(K54),1,K54),0)</f>
        <v/>
      </c>
      <c r="AB55" s="7" t="inlineStr">
        <is>
          <t>^Warhead_Bullet_Medium, ^Warhead_Laser_Heavy</t>
        </is>
      </c>
    </row>
    <row r="56">
      <c r="B56" s="7" t="inlineStr">
        <is>
          <t xml:space="preserve">  ↳ TSLaserTurretLaser</t>
        </is>
      </c>
      <c r="C56" s="7" t="inlineStr">
        <is>
          <t>Armament@UPGRADE</t>
        </is>
      </c>
      <c r="L56" s="6" t="n">
        <v>32000</v>
      </c>
      <c r="M56" s="6" t="n">
        <v>20</v>
      </c>
      <c r="N56" s="6" t="n">
        <v>1</v>
      </c>
      <c r="O56" s="6" t="n"/>
      <c r="P56" s="6" t="n">
        <v>6992</v>
      </c>
      <c r="Q56" s="6" t="n">
        <v>1.125</v>
      </c>
      <c r="R56">
        <f>M56+IF(MAX(N56-1,0)&gt;0,IF(ISBLANK(O56),5*MAX(N56-1,0),IF(ISNUMBER(O56),O56*MAX(N56-1,0),SUM(IFERROR(VALUE(TEXTSPLIT(O56,",")),0)))),0)</f>
        <v/>
      </c>
      <c r="S56">
        <f>IFERROR(L56*MAX(N56,1)/R56*IF(ISBLANK(K54),1,K54),0)</f>
        <v/>
      </c>
      <c r="AB56" s="7" t="inlineStr">
        <is>
          <t>^Warhead_Bullet_Medium, ^Warhead_Laser_Heavy</t>
        </is>
      </c>
    </row>
    <row r="57">
      <c r="A57" t="inlineStr">
        <is>
          <t>tiberiansun</t>
        </is>
      </c>
      <c r="B57" t="inlineStr">
        <is>
          <t>ts_gdi_vulcantower</t>
        </is>
      </c>
      <c r="C57" t="inlineStr">
        <is>
          <t>Vulcan Tower</t>
        </is>
      </c>
      <c r="D57" s="6" t="inlineStr">
        <is>
          <t>BasicDefense</t>
        </is>
      </c>
      <c r="E57" s="6" t="n">
        <v>80000</v>
      </c>
      <c r="F57" t="n">
        <v>100</v>
      </c>
      <c r="G57" t="inlineStr">
        <is>
          <t>Concrete</t>
        </is>
      </c>
      <c r="H57" s="6" t="n">
        <v>1</v>
      </c>
      <c r="I57" s="6" t="n">
        <v>1</v>
      </c>
      <c r="J57" s="6" t="n">
        <v>1</v>
      </c>
      <c r="P57">
        <f>MAX(P58,P59)</f>
        <v/>
      </c>
      <c r="S57">
        <f>S58+S59</f>
        <v/>
      </c>
      <c r="T57">
        <f>(E57/100000+F57/100+(P57/1000)*J57/5+S57/200)*200*I57*H57</f>
        <v/>
      </c>
      <c r="U57">
        <f>((E57*F57/25000)+((P57/1000)*J57*S57/2.5))*I57*H57</f>
        <v/>
      </c>
      <c r="V57">
        <f>(E57*F57*(P57/1000)*J57*S57*I57*H57)/12500000</f>
        <v/>
      </c>
      <c r="W57">
        <f>(T57+U57+V57)/3</f>
        <v/>
      </c>
      <c r="X57" s="6" t="n">
        <v>600</v>
      </c>
      <c r="Y57">
        <f>IFERROR(W57-X57,"")</f>
        <v/>
      </c>
      <c r="Z57">
        <f>IFERROR(ABS(Y57)/MAX(X57,1),"")</f>
        <v/>
      </c>
      <c r="AA57">
        <f>IFERROR((X57-(((E57/100000+F57/100+S57/200)*200*I57*H57)+((E57*F57/25000)*I57*H57))/3)/(((J57/5)*200*I57*H57)+((J57*S57/2.5)*I57*H57)+((E57*F57*J57*S57*I57*H57)/12500000))/3*1000,"")</f>
        <v/>
      </c>
    </row>
    <row r="58">
      <c r="B58" s="7" t="inlineStr">
        <is>
          <t xml:space="preserve">  ↳ TSVulcanGun</t>
        </is>
      </c>
      <c r="C58" s="7" t="inlineStr">
        <is>
          <t>Armament@PRIMARY</t>
        </is>
      </c>
      <c r="L58" s="6" t="n">
        <v>8000</v>
      </c>
      <c r="M58" s="6" t="n">
        <v>48</v>
      </c>
      <c r="N58" s="6" t="n">
        <v>4</v>
      </c>
      <c r="O58" s="6" t="n">
        <v>2</v>
      </c>
      <c r="P58" s="6" t="n">
        <v>6809</v>
      </c>
      <c r="Q58" s="6" t="n">
        <v>0.875</v>
      </c>
      <c r="R58">
        <f>M58+IF(MAX(N58-1,0)&gt;0,IF(ISBLANK(O58),5*MAX(N58-1,0),IF(ISNUMBER(O58),O58*MAX(N58-1,0),SUM(IFERROR(VALUE(TEXTSPLIT(O58,",")),0)))),0)</f>
        <v/>
      </c>
      <c r="S58">
        <f>IFERROR(L58*MAX(N58,1)/R58*IF(ISBLANK(K57),1,K57),0)</f>
        <v/>
      </c>
      <c r="AB58" s="7" t="inlineStr">
        <is>
          <t>^Warhead_Bullet_Light, ^Warhead_Bullet_Medium</t>
        </is>
      </c>
    </row>
    <row r="59">
      <c r="B59" s="7" t="inlineStr">
        <is>
          <t xml:space="preserve">  ↳ TSVulcanGunSonic</t>
        </is>
      </c>
      <c r="C59" s="7" t="inlineStr">
        <is>
          <t>Armament@Upgrade</t>
        </is>
      </c>
      <c r="L59" s="6" t="n">
        <v>16000</v>
      </c>
      <c r="M59" s="6" t="n">
        <v>66</v>
      </c>
      <c r="N59" s="6" t="n">
        <v>4</v>
      </c>
      <c r="O59" s="6" t="n">
        <v>2</v>
      </c>
      <c r="P59" s="6" t="n">
        <v>6809</v>
      </c>
      <c r="Q59" s="6" t="n">
        <v>1</v>
      </c>
      <c r="R59">
        <f>M59+IF(MAX(N59-1,0)&gt;0,IF(ISBLANK(O59),5*MAX(N59-1,0),IF(ISNUMBER(O59),O59*MAX(N59-1,0),SUM(IFERROR(VALUE(TEXTSPLIT(O59,",")),0)))),0)</f>
        <v/>
      </c>
      <c r="S59">
        <f>IFERROR(L59*MAX(N59,1)/R59*IF(ISBLANK(K57),1,K57),0)</f>
        <v/>
      </c>
      <c r="AB59" s="7" t="inlineStr">
        <is>
          <t>^Warhead_Bullet_Medium, ^Warhead_Sonic_Medium</t>
        </is>
      </c>
    </row>
    <row r="60">
      <c r="A60" t="inlineStr">
        <is>
          <t>tiberiansun</t>
        </is>
      </c>
      <c r="B60" t="inlineStr">
        <is>
          <t>forgotten_brokenrattytankturret</t>
        </is>
      </c>
      <c r="C60" t="inlineStr">
        <is>
          <t>actor_forgotten_brokenrattytankturret.name</t>
        </is>
      </c>
      <c r="D60" s="6" t="inlineStr">
        <is>
          <t>BasicDefense</t>
        </is>
      </c>
      <c r="E60" s="6" t="n">
        <v>90000</v>
      </c>
      <c r="F60" t="n">
        <v>100</v>
      </c>
      <c r="G60" t="inlineStr">
        <is>
          <t>Concrete</t>
        </is>
      </c>
      <c r="H60" s="6" t="n">
        <v>1</v>
      </c>
      <c r="I60" s="6" t="n">
        <v>1</v>
      </c>
      <c r="J60" s="6" t="n">
        <v>1</v>
      </c>
      <c r="P60">
        <f>MAX(P61,P62)</f>
        <v/>
      </c>
      <c r="S60">
        <f>S61+S62</f>
        <v/>
      </c>
      <c r="T60">
        <f>(E60/100000+F60/100+(P60/1000)*J60/5+S60/200)*200*I60*H60</f>
        <v/>
      </c>
      <c r="U60">
        <f>((E60*F60/25000)+((P60/1000)*J60*S60/2.5))*I60*H60</f>
        <v/>
      </c>
      <c r="V60">
        <f>(E60*F60*(P60/1000)*J60*S60*I60*H60)/12500000</f>
        <v/>
      </c>
      <c r="W60">
        <f>(T60+U60+V60)/3</f>
        <v/>
      </c>
      <c r="X60" s="6" t="n">
        <v>800</v>
      </c>
      <c r="Y60">
        <f>IFERROR(W60-X60,"")</f>
        <v/>
      </c>
      <c r="Z60">
        <f>IFERROR(ABS(Y60)/MAX(X60,1),"")</f>
        <v/>
      </c>
      <c r="AA60">
        <f>IFERROR((X60-(((E60/100000+F60/100+S60/200)*200*I60*H60)+((E60*F60/25000)*I60*H60))/3)/(((J60/5)*200*I60*H60)+((J60*S60/2.5)*I60*H60)+((E60*F60*J60*S60*I60*H60)/12500000))/3*1000,"")</f>
        <v/>
      </c>
    </row>
    <row r="61">
      <c r="B61" s="7" t="inlineStr">
        <is>
          <t xml:space="preserve">  ↳ TS70mmTur</t>
        </is>
      </c>
      <c r="C61" s="7" t="inlineStr">
        <is>
          <t>Armament@PRIMARY</t>
        </is>
      </c>
      <c r="L61" s="6" t="n">
        <v>8000</v>
      </c>
      <c r="M61" s="6" t="n">
        <v>10</v>
      </c>
      <c r="N61" s="6" t="n">
        <v>1</v>
      </c>
      <c r="O61" s="6" t="n"/>
      <c r="P61" s="6" t="n">
        <v>6574</v>
      </c>
      <c r="Q61" s="6" t="n">
        <v>0.875</v>
      </c>
      <c r="R61">
        <f>M61+IF(MAX(N61-1,0)&gt;0,IF(ISBLANK(O61),5*MAX(N61-1,0),IF(ISNUMBER(O61),O61*MAX(N61-1,0),SUM(IFERROR(VALUE(TEXTSPLIT(O61,",")),0)))),0)</f>
        <v/>
      </c>
      <c r="S61">
        <f>IFERROR(L61*MAX(N61,1)/R61*IF(ISBLANK(K60),1,K60),0)</f>
        <v/>
      </c>
      <c r="AB61" s="7" t="inlineStr">
        <is>
          <t>^Warhead_CannonHE_Medium, ^Warhead_CannonAP_Light</t>
        </is>
      </c>
    </row>
    <row r="62">
      <c r="B62" s="7" t="inlineStr">
        <is>
          <t xml:space="preserve">  ↳ TS70mmTurChem</t>
        </is>
      </c>
      <c r="C62" s="7" t="inlineStr">
        <is>
          <t>Armament@UPGRADE</t>
        </is>
      </c>
      <c r="L62" s="6" t="n">
        <v>12000</v>
      </c>
      <c r="M62" s="6" t="n">
        <v>10</v>
      </c>
      <c r="N62" s="6" t="n">
        <v>1</v>
      </c>
      <c r="O62" s="6" t="n"/>
      <c r="P62" s="6" t="n">
        <v>6574</v>
      </c>
      <c r="Q62" s="6" t="n">
        <v>1</v>
      </c>
      <c r="R62">
        <f>M62+IF(MAX(N62-1,0)&gt;0,IF(ISBLANK(O62),5*MAX(N62-1,0),IF(ISNUMBER(O62),O62*MAX(N62-1,0),SUM(IFERROR(VALUE(TEXTSPLIT(O62,",")),0)))),0)</f>
        <v/>
      </c>
      <c r="S62">
        <f>IFERROR(L62*MAX(N62,1)/R62*IF(ISBLANK(K60),1,K60),0)</f>
        <v/>
      </c>
      <c r="AB62" s="7" t="inlineStr">
        <is>
          <t>^Warhead_CannonHE_Medium</t>
        </is>
      </c>
    </row>
    <row r="63">
      <c r="A63" t="inlineStr">
        <is>
          <t>tiberiansun</t>
        </is>
      </c>
      <c r="B63" t="inlineStr">
        <is>
          <t>forgotten_machineguntower</t>
        </is>
      </c>
      <c r="C63" t="inlineStr">
        <is>
          <t>actor_forgotten_machineguntower.name</t>
        </is>
      </c>
      <c r="D63" s="6" t="inlineStr">
        <is>
          <t>BasicDefense</t>
        </is>
      </c>
      <c r="E63" s="6" t="n">
        <v>80000</v>
      </c>
      <c r="F63" t="n">
        <v>100</v>
      </c>
      <c r="G63" t="inlineStr">
        <is>
          <t>Concrete</t>
        </is>
      </c>
      <c r="H63" s="6" t="n">
        <v>1</v>
      </c>
      <c r="I63" s="6" t="n">
        <v>1</v>
      </c>
      <c r="J63" s="6" t="n">
        <v>1</v>
      </c>
      <c r="P63">
        <f>MAX(P64)</f>
        <v/>
      </c>
      <c r="S63">
        <f>S64</f>
        <v/>
      </c>
      <c r="T63">
        <f>(E63/100000+F63/100+(P63/1000)*J63/5+S63/200)*200*I63*H63</f>
        <v/>
      </c>
      <c r="U63">
        <f>((E63*F63/25000)+((P63/1000)*J63*S63/2.5))*I63*H63</f>
        <v/>
      </c>
      <c r="V63">
        <f>(E63*F63*(P63/1000)*J63*S63*I63*H63)/12500000</f>
        <v/>
      </c>
      <c r="W63">
        <f>(T63+U63+V63)/3</f>
        <v/>
      </c>
      <c r="X63" s="6" t="n">
        <v>600</v>
      </c>
      <c r="Y63">
        <f>IFERROR(W63-X63,"")</f>
        <v/>
      </c>
      <c r="Z63">
        <f>IFERROR(ABS(Y63)/MAX(X63,1),"")</f>
        <v/>
      </c>
      <c r="AA63">
        <f>IFERROR((X63-(((E63/100000+F63/100+S63/200)*200*I63*H63)+((E63*F63/25000)*I63*H63))/3)/(((J63/5)*200*I63*H63)+((J63*S63/2.5)*I63*H63)+((E63*F63*J63*S63*I63*H63)/12500000))/3*1000,"")</f>
        <v/>
      </c>
    </row>
    <row r="64">
      <c r="B64" s="7" t="inlineStr">
        <is>
          <t xml:space="preserve">  ↳ TSMutVulcanTurret</t>
        </is>
      </c>
      <c r="C64" s="7" t="inlineStr">
        <is>
          <t>Armament@PRIMARY</t>
        </is>
      </c>
      <c r="L64" s="6" t="n">
        <v>4000</v>
      </c>
      <c r="M64" s="6" t="n">
        <v>6</v>
      </c>
      <c r="N64" s="6" t="n">
        <v>1</v>
      </c>
      <c r="O64" s="6" t="n"/>
      <c r="P64" s="6" t="n">
        <v>6272</v>
      </c>
      <c r="Q64" s="6" t="n">
        <v>0.875</v>
      </c>
      <c r="R64">
        <f>M64+IF(MAX(N64-1,0)&gt;0,IF(ISBLANK(O64),5*MAX(N64-1,0),IF(ISNUMBER(O64),O64*MAX(N64-1,0),SUM(IFERROR(VALUE(TEXTSPLIT(O64,",")),0)))),0)</f>
        <v/>
      </c>
      <c r="S64">
        <f>IFERROR(L64*MAX(N64,1)/R64*IF(ISBLANK(K63),1,K63),0)</f>
        <v/>
      </c>
      <c r="AB64" s="7" t="inlineStr">
        <is>
          <t>^Warhead_Bullet_Light, ^Warhead_Bullet_Medium</t>
        </is>
      </c>
    </row>
    <row r="65">
      <c r="A65" t="inlineStr">
        <is>
          <t>redalert2</t>
        </is>
      </c>
      <c r="B65" t="inlineStr">
        <is>
          <t>ra2_allies_pillbox</t>
        </is>
      </c>
      <c r="C65" t="inlineStr">
        <is>
          <t>Pillbox</t>
        </is>
      </c>
      <c r="D65" s="6" t="inlineStr">
        <is>
          <t>BasicDefense</t>
        </is>
      </c>
      <c r="E65" s="6" t="n">
        <v>100000</v>
      </c>
      <c r="F65" t="n">
        <v>100</v>
      </c>
      <c r="G65" t="inlineStr">
        <is>
          <t>Concrete</t>
        </is>
      </c>
      <c r="H65" s="6" t="n">
        <v>1</v>
      </c>
      <c r="I65" s="6" t="n">
        <v>1</v>
      </c>
      <c r="J65" s="6" t="n">
        <v>1</v>
      </c>
      <c r="X65" s="6" t="n">
        <v>500</v>
      </c>
    </row>
    <row r="66">
      <c r="A66" t="inlineStr">
        <is>
          <t>redalert2</t>
        </is>
      </c>
      <c r="B66" t="inlineStr">
        <is>
          <t>ra2_soviets_sentrygun</t>
        </is>
      </c>
      <c r="C66" t="inlineStr">
        <is>
          <t>Sentry Gun</t>
        </is>
      </c>
      <c r="D66" s="6" t="inlineStr">
        <is>
          <t>BasicDefense</t>
        </is>
      </c>
      <c r="E66" s="6" t="n">
        <v>57000</v>
      </c>
      <c r="F66" t="n">
        <v>100</v>
      </c>
      <c r="G66" t="inlineStr">
        <is>
          <t>Concrete</t>
        </is>
      </c>
      <c r="H66" s="6" t="n">
        <v>1</v>
      </c>
      <c r="I66" s="6" t="n">
        <v>0.35</v>
      </c>
      <c r="J66" s="6" t="n">
        <v>1</v>
      </c>
      <c r="P66">
        <f>MAX(P67)</f>
        <v/>
      </c>
      <c r="S66">
        <f>S67</f>
        <v/>
      </c>
      <c r="T66">
        <f>(E66/100000+F66/100+(P66/1000)*J66/5+S66/200)*200*I66*H66</f>
        <v/>
      </c>
      <c r="U66">
        <f>((E66*F66/25000)+((P66/1000)*J66*S66/2.5))*I66*H66</f>
        <v/>
      </c>
      <c r="V66">
        <f>(E66*F66*(P66/1000)*J66*S66*I66*H66)/12500000</f>
        <v/>
      </c>
      <c r="W66">
        <f>(T66+U66+V66)/3</f>
        <v/>
      </c>
      <c r="X66" s="6" t="n">
        <v>500</v>
      </c>
      <c r="Y66">
        <f>IFERROR(W66-X66,"")</f>
        <v/>
      </c>
      <c r="Z66">
        <f>IFERROR(ABS(Y66)/MAX(X66,1),"")</f>
        <v/>
      </c>
      <c r="AA66">
        <f>IFERROR((X66-(((E66/100000+F66/100+S66/200)*200*I66*H66)+((E66*F66/25000)*I66*H66))/3)/(((J66/5)*200*I66*H66)+((J66*S66/2.5)*I66*H66)+((E66*F66*J66*S66*I66*H66)/12500000))/3*1000,"")</f>
        <v/>
      </c>
    </row>
    <row r="67">
      <c r="B67" s="7" t="inlineStr">
        <is>
          <t xml:space="preserve">  ↳ RA2vulcan</t>
        </is>
      </c>
      <c r="C67" s="7" t="inlineStr">
        <is>
          <t>Armament</t>
        </is>
      </c>
      <c r="L67" s="6" t="n">
        <v>4000</v>
      </c>
      <c r="M67" s="6" t="n">
        <v>18</v>
      </c>
      <c r="N67" s="6" t="n">
        <v>4</v>
      </c>
      <c r="O67" s="6" t="n">
        <v>3</v>
      </c>
      <c r="P67" s="6" t="n">
        <v>6577</v>
      </c>
      <c r="Q67" s="6" t="n">
        <v>0.875</v>
      </c>
      <c r="R67">
        <f>M67+IF(MAX(N67-1,0)&gt;0,IF(ISBLANK(O67),5*MAX(N67-1,0),IF(ISNUMBER(O67),O67*MAX(N67-1,0),SUM(IFERROR(VALUE(TEXTSPLIT(O67,",")),0)))),0)</f>
        <v/>
      </c>
      <c r="S67">
        <f>IFERROR(L67*MAX(N67,1)/R67*IF(ISBLANK(K66),1,K66),0)</f>
        <v/>
      </c>
      <c r="AB67" s="7" t="inlineStr">
        <is>
          <t>^Warhead_Bullet_Light, ^Warhead_Bullet_Medium</t>
        </is>
      </c>
    </row>
    <row r="68">
      <c r="A68" t="inlineStr">
        <is>
          <t>redalert2</t>
        </is>
      </c>
      <c r="B68" t="inlineStr">
        <is>
          <t>yuri_gatlingcannon</t>
        </is>
      </c>
      <c r="C68" t="inlineStr">
        <is>
          <t>Gatling Cannon</t>
        </is>
      </c>
      <c r="D68" s="6" t="inlineStr">
        <is>
          <t>BasicDefense</t>
        </is>
      </c>
      <c r="E68" s="6" t="n">
        <v>140000</v>
      </c>
      <c r="F68" t="n">
        <v>100</v>
      </c>
      <c r="G68" t="inlineStr">
        <is>
          <t>Concrete</t>
        </is>
      </c>
      <c r="H68" s="6" t="n">
        <v>1</v>
      </c>
      <c r="I68" s="6" t="n">
        <v>0.35</v>
      </c>
      <c r="J68" s="6" t="n">
        <v>1</v>
      </c>
      <c r="P68">
        <f>MAX(P69,P70,P71,P72,P73,P74)</f>
        <v/>
      </c>
      <c r="S68">
        <f>S69+S70+S71+S72+S73+S74</f>
        <v/>
      </c>
      <c r="T68">
        <f>(E68/100000+F68/100+(P68/1000)*J68/5+S68/200)*200*I68*H68</f>
        <v/>
      </c>
      <c r="U68">
        <f>((E68*F68/25000)+((P68/1000)*J68*S68/2.5))*I68*H68</f>
        <v/>
      </c>
      <c r="V68">
        <f>(E68*F68*(P68/1000)*J68*S68*I68*H68)/12500000</f>
        <v/>
      </c>
      <c r="W68">
        <f>(T68+U68+V68)/3</f>
        <v/>
      </c>
      <c r="X68" s="6" t="n">
        <v>1000</v>
      </c>
      <c r="Y68">
        <f>IFERROR(W68-X68,"")</f>
        <v/>
      </c>
      <c r="Z68">
        <f>IFERROR(ABS(Y68)/MAX(X68,1),"")</f>
        <v/>
      </c>
      <c r="AA68">
        <f>IFERROR((X68-(((E68/100000+F68/100+S68/200)*200*I68*H68)+((E68*F68/25000)*I68*H68))/3)/(((J68/5)*200*I68*H68)+((J68*S68/2.5)*I68*H68)+((E68*F68*J68*S68*I68*H68)/12500000))/3*1000,"")</f>
        <v/>
      </c>
    </row>
    <row r="69">
      <c r="B69" s="7" t="inlineStr">
        <is>
          <t xml:space="preserve">  ↳ YuriGatlingCannonMG1</t>
        </is>
      </c>
      <c r="C69" s="7" t="inlineStr">
        <is>
          <t>Armament@1</t>
        </is>
      </c>
      <c r="L69" s="6" t="n">
        <v>4000</v>
      </c>
      <c r="M69" s="6" t="n">
        <v>6</v>
      </c>
      <c r="N69" s="6" t="n">
        <v>1</v>
      </c>
      <c r="O69" s="6" t="n"/>
      <c r="P69" s="6" t="n">
        <v>5000</v>
      </c>
      <c r="Q69" s="6" t="n">
        <v>0.875</v>
      </c>
      <c r="R69">
        <f>M69+IF(MAX(N69-1,0)&gt;0,IF(ISBLANK(O69),5*MAX(N69-1,0),IF(ISNUMBER(O69),O69*MAX(N69-1,0),SUM(IFERROR(VALUE(TEXTSPLIT(O69,",")),0)))),0)</f>
        <v/>
      </c>
      <c r="S69">
        <f>IFERROR(L69*MAX(N69,1)/R69*IF(ISBLANK(K68),1,K68),0)</f>
        <v/>
      </c>
      <c r="AB69" s="7" t="inlineStr">
        <is>
          <t>^Warhead_Bullet_Light, ^Warhead_Bullet_Medium</t>
        </is>
      </c>
    </row>
    <row r="70">
      <c r="B70" s="7" t="inlineStr">
        <is>
          <t xml:space="preserve">  ↳ YuriGatlingCannonMG2</t>
        </is>
      </c>
      <c r="C70" s="7" t="inlineStr">
        <is>
          <t>Armament@2</t>
        </is>
      </c>
      <c r="L70" s="6" t="n">
        <v>4000</v>
      </c>
      <c r="M70" s="6" t="n">
        <v>4</v>
      </c>
      <c r="N70" s="6" t="n">
        <v>1</v>
      </c>
      <c r="O70" s="6" t="n"/>
      <c r="P70" s="6" t="n">
        <v>5250</v>
      </c>
      <c r="Q70" s="6" t="n">
        <v>0.875</v>
      </c>
      <c r="R70">
        <f>M70+IF(MAX(N70-1,0)&gt;0,IF(ISBLANK(O70),5*MAX(N70-1,0),IF(ISNUMBER(O70),O70*MAX(N70-1,0),SUM(IFERROR(VALUE(TEXTSPLIT(O70,",")),0)))),0)</f>
        <v/>
      </c>
      <c r="S70">
        <f>IFERROR(L70*MAX(N70,1)/R70*IF(ISBLANK(K68),1,K68),0)</f>
        <v/>
      </c>
      <c r="AB70" s="7" t="inlineStr">
        <is>
          <t>^Warhead_Bullet_Light, ^Warhead_Bullet_Medium</t>
        </is>
      </c>
    </row>
    <row r="71">
      <c r="B71" s="7" t="inlineStr">
        <is>
          <t xml:space="preserve">  ↳ YuriGatlingCannonMG3</t>
        </is>
      </c>
      <c r="C71" s="7" t="inlineStr">
        <is>
          <t>Armament@3</t>
        </is>
      </c>
      <c r="L71" s="6" t="n">
        <v>4000</v>
      </c>
      <c r="M71" s="6" t="n">
        <v>2</v>
      </c>
      <c r="N71" s="6" t="n">
        <v>1</v>
      </c>
      <c r="O71" s="6" t="n"/>
      <c r="P71" s="6" t="n">
        <v>5500</v>
      </c>
      <c r="Q71" s="6" t="n">
        <v>0.875</v>
      </c>
      <c r="R71">
        <f>M71+IF(MAX(N71-1,0)&gt;0,IF(ISBLANK(O71),5*MAX(N71-1,0),IF(ISNUMBER(O71),O71*MAX(N71-1,0),SUM(IFERROR(VALUE(TEXTSPLIT(O71,",")),0)))),0)</f>
        <v/>
      </c>
      <c r="S71">
        <f>IFERROR(L71*MAX(N71,1)/R71*IF(ISBLANK(K68),1,K68),0)</f>
        <v/>
      </c>
      <c r="AB71" s="7" t="inlineStr">
        <is>
          <t>^Warhead_Bullet_Light, ^Warhead_Bullet_Medium</t>
        </is>
      </c>
    </row>
    <row r="72">
      <c r="B72" s="7" t="inlineStr">
        <is>
          <t xml:space="preserve">  ↳ YuriGatlingCannonMG1_AA</t>
        </is>
      </c>
      <c r="C72" s="7" t="inlineStr">
        <is>
          <t>Armament@1AA</t>
        </is>
      </c>
      <c r="L72" s="6" t="n">
        <v>8000</v>
      </c>
      <c r="M72" s="6" t="n">
        <v>6</v>
      </c>
      <c r="N72" s="6" t="n">
        <v>1</v>
      </c>
      <c r="O72" s="6" t="n"/>
      <c r="P72" s="6" t="n">
        <v>6750</v>
      </c>
      <c r="Q72" s="6" t="n">
        <v>0.875</v>
      </c>
      <c r="R72">
        <f>M72+IF(MAX(N72-1,0)&gt;0,IF(ISBLANK(O72),5*MAX(N72-1,0),IF(ISNUMBER(O72),O72*MAX(N72-1,0),SUM(IFERROR(VALUE(TEXTSPLIT(O72,",")),0)))),0)</f>
        <v/>
      </c>
      <c r="S72">
        <f>IFERROR(L72*MAX(N72,1)/R72*IF(ISBLANK(K68),1,K68),0)</f>
        <v/>
      </c>
      <c r="AB72" s="7" t="inlineStr">
        <is>
          <t>^Warhead_Bullet_Light, ^Warhead_Bullet_Medium</t>
        </is>
      </c>
    </row>
    <row r="73">
      <c r="B73" s="7" t="inlineStr">
        <is>
          <t xml:space="preserve">  ↳ YuriGatlingCannonMG2_AA</t>
        </is>
      </c>
      <c r="C73" s="7" t="inlineStr">
        <is>
          <t>Armament@2AA</t>
        </is>
      </c>
      <c r="L73" s="6" t="n">
        <v>8000</v>
      </c>
      <c r="M73" s="6" t="n">
        <v>4</v>
      </c>
      <c r="N73" s="6" t="n">
        <v>1</v>
      </c>
      <c r="O73" s="6" t="n"/>
      <c r="P73" s="6" t="n">
        <v>7500</v>
      </c>
      <c r="Q73" s="6" t="n">
        <v>0.875</v>
      </c>
      <c r="R73">
        <f>M73+IF(MAX(N73-1,0)&gt;0,IF(ISBLANK(O73),5*MAX(N73-1,0),IF(ISNUMBER(O73),O73*MAX(N73-1,0),SUM(IFERROR(VALUE(TEXTSPLIT(O73,",")),0)))),0)</f>
        <v/>
      </c>
      <c r="S73">
        <f>IFERROR(L73*MAX(N73,1)/R73*IF(ISBLANK(K68),1,K68),0)</f>
        <v/>
      </c>
      <c r="AB73" s="7" t="inlineStr">
        <is>
          <t>^Warhead_Bullet_Light, ^Warhead_Bullet_Medium</t>
        </is>
      </c>
    </row>
    <row r="74">
      <c r="B74" s="7" t="inlineStr">
        <is>
          <t xml:space="preserve">  ↳ YuriGatlingCannonMG3_AA</t>
        </is>
      </c>
      <c r="C74" s="7" t="inlineStr">
        <is>
          <t>Armament@3AA</t>
        </is>
      </c>
      <c r="L74" s="6" t="n">
        <v>8000</v>
      </c>
      <c r="M74" s="6" t="n">
        <v>2</v>
      </c>
      <c r="N74" s="6" t="n">
        <v>1</v>
      </c>
      <c r="O74" s="6" t="n"/>
      <c r="P74" s="6" t="n">
        <v>8250</v>
      </c>
      <c r="Q74" s="6" t="n">
        <v>0.875</v>
      </c>
      <c r="R74">
        <f>M74+IF(MAX(N74-1,0)&gt;0,IF(ISBLANK(O74),5*MAX(N74-1,0),IF(ISNUMBER(O74),O74*MAX(N74-1,0),SUM(IFERROR(VALUE(TEXTSPLIT(O74,",")),0)))),0)</f>
        <v/>
      </c>
      <c r="S74">
        <f>IFERROR(L74*MAX(N74,1)/R74*IF(ISBLANK(K68),1,K68),0)</f>
        <v/>
      </c>
      <c r="AB74" s="7" t="inlineStr">
        <is>
          <t>^Warhead_Bullet_Light, ^Warhead_Bullet_Medium</t>
        </is>
      </c>
    </row>
    <row r="75">
      <c r="A75" t="inlineStr">
        <is>
          <t>redalert2</t>
        </is>
      </c>
      <c r="B75" t="inlineStr">
        <is>
          <t>yuri_slaveminer_deployed</t>
        </is>
      </c>
      <c r="C75" t="inlineStr">
        <is>
          <t>Slave Miner</t>
        </is>
      </c>
      <c r="D75" s="6" t="inlineStr">
        <is>
          <t>BasicDefense</t>
        </is>
      </c>
      <c r="E75" s="6" t="n">
        <v>200000</v>
      </c>
      <c r="F75" t="n">
        <v>100</v>
      </c>
      <c r="G75" t="inlineStr">
        <is>
          <t>Heavy</t>
        </is>
      </c>
      <c r="H75" s="6" t="n">
        <v>1</v>
      </c>
      <c r="I75" s="6" t="n">
        <v>1</v>
      </c>
      <c r="J75" s="6" t="n">
        <v>1</v>
      </c>
      <c r="P75">
        <f>MAX(P76)</f>
        <v/>
      </c>
      <c r="S75">
        <f>S76</f>
        <v/>
      </c>
      <c r="T75">
        <f>(E75/100000+F75/100+(P75/1000)*J75/5+S75/200)*200*I75*H75</f>
        <v/>
      </c>
      <c r="U75">
        <f>((E75*F75/25000)+((P75/1000)*J75*S75/2.5))*I75*H75</f>
        <v/>
      </c>
      <c r="V75">
        <f>(E75*F75*(P75/1000)*J75*S75*I75*H75)/12500000</f>
        <v/>
      </c>
      <c r="W75">
        <f>(T75+U75+V75)/3</f>
        <v/>
      </c>
      <c r="X75" s="6" t="n">
        <v>2500</v>
      </c>
      <c r="Y75">
        <f>IFERROR(W75-X75,"")</f>
        <v/>
      </c>
      <c r="Z75">
        <f>IFERROR(ABS(Y75)/MAX(X75,1),"")</f>
        <v/>
      </c>
      <c r="AA75">
        <f>IFERROR((X75-(((E75/100000+F75/100+S75/200)*200*I75*H75)+((E75*F75/25000)*I75*H75))/3)/(((J75/5)*200*I75*H75)+((J75*S75/2.5)*I75*H75)+((E75*F75*J75*S75*I75*H75)/12500000))/3*1000,"")</f>
        <v/>
      </c>
    </row>
    <row r="76">
      <c r="B76" s="7" t="inlineStr">
        <is>
          <t xml:space="preserve">  ↳ RA220mmrapid</t>
        </is>
      </c>
      <c r="C76" s="7" t="inlineStr">
        <is>
          <t>Armament</t>
        </is>
      </c>
      <c r="L76" s="6" t="n">
        <v>8000</v>
      </c>
      <c r="M76" s="6" t="n">
        <v>15</v>
      </c>
      <c r="N76" s="6" t="n">
        <v>1</v>
      </c>
      <c r="O76" s="6" t="n"/>
      <c r="P76" s="6" t="n">
        <v>5000</v>
      </c>
      <c r="Q76" s="6" t="n">
        <v>0.875</v>
      </c>
      <c r="R76">
        <f>M76+IF(MAX(N76-1,0)&gt;0,IF(ISBLANK(O76),5*MAX(N76-1,0),IF(ISNUMBER(O76),O76*MAX(N76-1,0),SUM(IFERROR(VALUE(TEXTSPLIT(O76,",")),0)))),0)</f>
        <v/>
      </c>
      <c r="S76">
        <f>IFERROR(L76*MAX(N76,1)/R76*IF(ISBLANK(K75),1,K75),0)</f>
        <v/>
      </c>
      <c r="AB76" s="7" t="inlineStr">
        <is>
          <t>^Warhead_Bullet_Light, ^Warhead_Bullet_Medium</t>
        </is>
      </c>
    </row>
    <row r="77">
      <c r="A77" t="inlineStr">
        <is>
          <t>redalert2mod</t>
        </is>
      </c>
      <c r="B77" t="inlineStr">
        <is>
          <t>asianalliance_asiansentryflamer</t>
        </is>
      </c>
      <c r="C77" t="inlineStr">
        <is>
          <t>Asian Sentry Flamer</t>
        </is>
      </c>
      <c r="D77" s="6" t="inlineStr">
        <is>
          <t>BasicDefense</t>
        </is>
      </c>
      <c r="E77" s="6" t="n">
        <v>71000</v>
      </c>
      <c r="G77" t="inlineStr">
        <is>
          <t>Concrete</t>
        </is>
      </c>
      <c r="H77" s="6" t="n">
        <v>1</v>
      </c>
      <c r="I77" s="6" t="n">
        <v>1</v>
      </c>
      <c r="J77" s="6" t="n">
        <v>1</v>
      </c>
      <c r="X77" s="6" t="n">
        <v>800</v>
      </c>
    </row>
    <row r="78">
      <c r="B78" s="7" t="inlineStr">
        <is>
          <t xml:space="preserve">  ↳ AsianFlamerTurret</t>
        </is>
      </c>
      <c r="C78" s="7" t="inlineStr">
        <is>
          <t>Armament</t>
        </is>
      </c>
      <c r="L78" s="6" t="n">
        <v>4000</v>
      </c>
      <c r="M78" s="6" t="n">
        <v>30</v>
      </c>
      <c r="N78" s="6" t="n">
        <v>6</v>
      </c>
      <c r="O78" s="6" t="n">
        <v>3</v>
      </c>
      <c r="P78" s="6" t="n">
        <v>6666</v>
      </c>
      <c r="Q78" s="6" t="n">
        <v>0.75</v>
      </c>
      <c r="R78">
        <f>M78+IF(MAX(N78-1,0)&gt;0,IF(ISBLANK(O78),5*MAX(N78-1,0),IF(ISNUMBER(O78),O78*MAX(N78-1,0),SUM(IFERROR(VALUE(TEXTSPLIT(O78,",")),0)))),0)</f>
        <v/>
      </c>
      <c r="S78">
        <f>IFERROR(L78*MAX(N78,1)/R78*IF(ISBLANK(K77),1,K77),0)</f>
        <v/>
      </c>
      <c r="AB78" s="7" t="inlineStr">
        <is>
          <t>^Warhead_Flame_Light</t>
        </is>
      </c>
    </row>
    <row r="79">
      <c r="A79" t="inlineStr">
        <is>
          <t>redalert2mod</t>
        </is>
      </c>
      <c r="B79" t="inlineStr">
        <is>
          <t>cgpnch.asian</t>
        </is>
      </c>
      <c r="C79" t="inlineStr">
        <is>
          <t>Punisher</t>
        </is>
      </c>
      <c r="D79" s="6" t="inlineStr">
        <is>
          <t>BasicDefense</t>
        </is>
      </c>
      <c r="E79" s="6" t="n">
        <v>140000</v>
      </c>
      <c r="G79" t="inlineStr">
        <is>
          <t>Concrete</t>
        </is>
      </c>
      <c r="H79" s="6" t="n">
        <v>0.7857</v>
      </c>
      <c r="I79" s="6" t="n">
        <v>1</v>
      </c>
      <c r="J79" s="6" t="n">
        <v>1</v>
      </c>
      <c r="X79" s="6" t="n">
        <v>1200</v>
      </c>
    </row>
    <row r="80">
      <c r="B80" s="7" t="inlineStr">
        <is>
          <t xml:space="preserve">  ↳ AsianPunisherAG</t>
        </is>
      </c>
      <c r="C80" s="7" t="inlineStr">
        <is>
          <t>Armament</t>
        </is>
      </c>
      <c r="L80" s="6" t="n">
        <v>8000</v>
      </c>
      <c r="M80" s="6" t="n">
        <v>12</v>
      </c>
      <c r="N80" s="6" t="n">
        <v>1</v>
      </c>
      <c r="O80" s="6" t="n"/>
      <c r="P80" s="6" t="n">
        <v>12000</v>
      </c>
      <c r="Q80" s="6" t="n">
        <v>1</v>
      </c>
      <c r="R80">
        <f>M80+IF(MAX(N80-1,0)&gt;0,IF(ISBLANK(O80),5*MAX(N80-1,0),IF(ISNUMBER(O80),O80*MAX(N80-1,0),SUM(IFERROR(VALUE(TEXTSPLIT(O80,",")),0)))),0)</f>
        <v/>
      </c>
      <c r="S80">
        <f>IFERROR(L80*MAX(N80,1)/R80*IF(ISBLANK(K79),1,K79),0)</f>
        <v/>
      </c>
      <c r="AB80" s="7" t="inlineStr">
        <is>
          <t>AsianPhotonCannon</t>
        </is>
      </c>
    </row>
    <row r="81">
      <c r="B81" s="7" t="inlineStr">
        <is>
          <t xml:space="preserve">  ↳ AsianPunisherAG_EMP</t>
        </is>
      </c>
      <c r="C81" s="7" t="inlineStr">
        <is>
          <t>Armament@Upgrade</t>
        </is>
      </c>
      <c r="L81" s="6" t="n">
        <v>8000</v>
      </c>
      <c r="M81" s="6" t="n">
        <v>12</v>
      </c>
      <c r="N81" s="6" t="n">
        <v>1</v>
      </c>
      <c r="O81" s="6" t="n"/>
      <c r="P81" s="6" t="n">
        <v>12000</v>
      </c>
      <c r="Q81" s="6" t="n">
        <v>1</v>
      </c>
      <c r="R81">
        <f>M81+IF(MAX(N81-1,0)&gt;0,IF(ISBLANK(O81),5*MAX(N81-1,0),IF(ISNUMBER(O81),O81*MAX(N81-1,0),SUM(IFERROR(VALUE(TEXTSPLIT(O81,",")),0)))),0)</f>
        <v/>
      </c>
      <c r="S81">
        <f>IFERROR(L81*MAX(N81,1)/R81*IF(ISBLANK(K79),1,K79),0)</f>
        <v/>
      </c>
      <c r="AB81" s="7" t="inlineStr">
        <is>
          <t>AsianPunisherAG</t>
        </is>
      </c>
    </row>
    <row r="82">
      <c r="A82" t="inlineStr">
        <is>
          <t>redalert2mod</t>
        </is>
      </c>
      <c r="B82" t="inlineStr">
        <is>
          <t>steelconsortium_consortiumsentryturret</t>
        </is>
      </c>
      <c r="C82" t="inlineStr">
        <is>
          <t>Consortium Sentry Turret</t>
        </is>
      </c>
      <c r="D82" s="6" t="inlineStr">
        <is>
          <t>BasicDefense</t>
        </is>
      </c>
      <c r="E82" s="6" t="n">
        <v>88000</v>
      </c>
      <c r="G82" t="inlineStr">
        <is>
          <t>Concrete</t>
        </is>
      </c>
      <c r="H82" s="6" t="n">
        <v>1</v>
      </c>
      <c r="I82" s="6" t="n">
        <v>0.35</v>
      </c>
      <c r="J82" s="6" t="n">
        <v>1</v>
      </c>
      <c r="X82" s="6" t="n">
        <v>700</v>
      </c>
    </row>
    <row r="83">
      <c r="B83" s="7" t="inlineStr">
        <is>
          <t xml:space="preserve">  ↳ GLStingerTargeting</t>
        </is>
      </c>
      <c r="C83" s="7" t="inlineStr">
        <is>
          <t>Armament@DroneTargeting</t>
        </is>
      </c>
      <c r="M83" s="6" t="n">
        <v>25</v>
      </c>
      <c r="N83" s="6" t="n">
        <v>1</v>
      </c>
      <c r="O83" s="6" t="n"/>
      <c r="P83" s="6" t="n">
        <v>15000</v>
      </c>
      <c r="Q83" s="6" t="n">
        <v>1</v>
      </c>
      <c r="R83">
        <f>M83+IF(MAX(N83-1,0)&gt;0,IF(ISBLANK(O83),5*MAX(N83-1,0),IF(ISNUMBER(O83),O83*MAX(N83-1,0),SUM(IFERROR(VALUE(TEXTSPLIT(O83,",")),0)))),0)</f>
        <v/>
      </c>
      <c r="S83">
        <f>IFERROR(L83*MAX(N83,1)/R83*IF(ISBLANK(K82),1,K82),0)</f>
        <v/>
      </c>
      <c r="AB83" s="7" t="inlineStr"/>
    </row>
    <row r="84">
      <c r="B84" s="7" t="inlineStr">
        <is>
          <t xml:space="preserve">  ↳ SteelVulcan</t>
        </is>
      </c>
      <c r="C84" s="7" t="inlineStr">
        <is>
          <t>Armament</t>
        </is>
      </c>
      <c r="L84" s="6" t="n">
        <v>6000</v>
      </c>
      <c r="M84" s="6" t="n">
        <v>10</v>
      </c>
      <c r="N84" s="6" t="n">
        <v>1</v>
      </c>
      <c r="O84" s="6" t="n"/>
      <c r="P84" s="6" t="n">
        <v>6666</v>
      </c>
      <c r="Q84" s="6" t="n">
        <v>1</v>
      </c>
      <c r="R84">
        <f>M84+IF(MAX(N84-1,0)&gt;0,IF(ISBLANK(O84),5*MAX(N84-1,0),IF(ISNUMBER(O84),O84*MAX(N84-1,0),SUM(IFERROR(VALUE(TEXTSPLIT(O84,",")),0)))),0)</f>
        <v/>
      </c>
      <c r="S84">
        <f>IFERROR(L84*MAX(N84,1)/R84*IF(ISBLANK(K82),1,K82),0)</f>
        <v/>
      </c>
      <c r="AB84" s="7" t="inlineStr">
        <is>
          <t>^Warhead_CannonHE_Heavy, ^Warhead_Bullet_Light, ^Warhead_Bullet_Medium</t>
        </is>
      </c>
    </row>
    <row r="85">
      <c r="B85" s="7" t="inlineStr">
        <is>
          <t xml:space="preserve">  ↳ SteelVulcanResonance</t>
        </is>
      </c>
      <c r="C85" s="7" t="inlineStr">
        <is>
          <t>Armament@Upgrade</t>
        </is>
      </c>
      <c r="L85" s="6" t="n">
        <v>6000</v>
      </c>
      <c r="M85" s="6" t="n">
        <v>10</v>
      </c>
      <c r="N85" s="6" t="n">
        <v>1</v>
      </c>
      <c r="O85" s="6" t="n"/>
      <c r="P85" s="6" t="n">
        <v>6666</v>
      </c>
      <c r="Q85" s="6" t="n">
        <v>1</v>
      </c>
      <c r="R85">
        <f>M85+IF(MAX(N85-1,0)&gt;0,IF(ISBLANK(O85),5*MAX(N85-1,0),IF(ISNUMBER(O85),O85*MAX(N85-1,0),SUM(IFERROR(VALUE(TEXTSPLIT(O85,",")),0)))),0)</f>
        <v/>
      </c>
      <c r="S85">
        <f>IFERROR(L85*MAX(N85,1)/R85*IF(ISBLANK(K82),1,K82),0)</f>
        <v/>
      </c>
      <c r="AB85" s="7" t="inlineStr">
        <is>
          <t>^Warhead_CannonHE_Heavy, ^Warhead_Bullet_Light, ^Warhead_Bullet_Medium</t>
        </is>
      </c>
    </row>
    <row r="86">
      <c r="A86" t="inlineStr">
        <is>
          <t>redalert2mod</t>
        </is>
      </c>
      <c r="B86" t="inlineStr">
        <is>
          <t>latinsyndicate_combatbarracks</t>
        </is>
      </c>
      <c r="C86" t="inlineStr">
        <is>
          <t>Combat Barracks</t>
        </is>
      </c>
      <c r="D86" s="6" t="inlineStr">
        <is>
          <t>BasicDefense</t>
        </is>
      </c>
      <c r="E86" s="6" t="n">
        <v>200000</v>
      </c>
      <c r="G86" t="inlineStr">
        <is>
          <t>Wood</t>
        </is>
      </c>
      <c r="H86" s="6" t="n">
        <v>1</v>
      </c>
      <c r="I86" s="6" t="n">
        <v>1</v>
      </c>
      <c r="J86" s="6" t="n">
        <v>1</v>
      </c>
      <c r="X86" s="6" t="n">
        <v>1000</v>
      </c>
    </row>
    <row r="87">
      <c r="A87" t="inlineStr">
        <is>
          <t>redalert2mod</t>
        </is>
      </c>
      <c r="B87" t="inlineStr">
        <is>
          <t>latinsyndicate_defensebureau</t>
        </is>
      </c>
      <c r="C87" t="inlineStr">
        <is>
          <t>Defense Bureau</t>
        </is>
      </c>
      <c r="D87" s="6" t="inlineStr">
        <is>
          <t>BasicDefense</t>
        </is>
      </c>
      <c r="E87" s="6" t="n">
        <v>500000</v>
      </c>
      <c r="G87" t="inlineStr">
        <is>
          <t>Concrete</t>
        </is>
      </c>
      <c r="H87" s="6" t="n">
        <v>0.541</v>
      </c>
      <c r="I87" s="6" t="n">
        <v>1</v>
      </c>
      <c r="J87" s="6" t="n">
        <v>1</v>
      </c>
      <c r="X87" s="6" t="n">
        <v>5000</v>
      </c>
    </row>
    <row r="88">
      <c r="A88" t="inlineStr">
        <is>
          <t>redalert2mod</t>
        </is>
      </c>
      <c r="B88" t="inlineStr">
        <is>
          <t>latinsyndicate_latinsentrygun</t>
        </is>
      </c>
      <c r="C88" t="inlineStr">
        <is>
          <t>Latin Sentry Gun</t>
        </is>
      </c>
      <c r="D88" s="6" t="inlineStr">
        <is>
          <t>BasicDefense</t>
        </is>
      </c>
      <c r="E88" s="6" t="n">
        <v>113500</v>
      </c>
      <c r="G88" t="inlineStr">
        <is>
          <t>Concrete</t>
        </is>
      </c>
      <c r="H88" s="6" t="n">
        <v>1</v>
      </c>
      <c r="I88" s="6" t="n">
        <v>0.35</v>
      </c>
      <c r="J88" s="6" t="n">
        <v>1</v>
      </c>
      <c r="X88" s="6" t="n">
        <v>700</v>
      </c>
    </row>
    <row r="89">
      <c r="B89" s="7" t="inlineStr">
        <is>
          <t xml:space="preserve">  ↳ LatinSentryMG</t>
        </is>
      </c>
      <c r="C89" s="7" t="inlineStr">
        <is>
          <t>Armament@PRIMARY</t>
        </is>
      </c>
      <c r="L89" s="6" t="n">
        <v>6000</v>
      </c>
      <c r="M89" s="6" t="n">
        <v>30</v>
      </c>
      <c r="N89" s="6" t="n">
        <v>3</v>
      </c>
      <c r="O89" s="6" t="n">
        <v>3</v>
      </c>
      <c r="P89" s="6" t="n">
        <v>6666</v>
      </c>
      <c r="Q89" s="6" t="n">
        <v>1</v>
      </c>
      <c r="R89">
        <f>M89+IF(MAX(N89-1,0)&gt;0,IF(ISBLANK(O89),5*MAX(N89-1,0),IF(ISNUMBER(O89),O89*MAX(N89-1,0),SUM(IFERROR(VALUE(TEXTSPLIT(O89,",")),0)))),0)</f>
        <v/>
      </c>
      <c r="S89">
        <f>IFERROR(L89*MAX(N89,1)/R89*IF(ISBLANK(K88),1,K88),0)</f>
        <v/>
      </c>
      <c r="AB89" s="7" t="inlineStr">
        <is>
          <t>^Warhead_CannonHE_Heavy, ^Warhead_Bullet_Light, ^Warhead_Bullet_Medium</t>
        </is>
      </c>
    </row>
    <row r="90">
      <c r="B90" s="7" t="inlineStr">
        <is>
          <t xml:space="preserve">  ↳ LatinSentryMG_elite</t>
        </is>
      </c>
      <c r="C90" s="7" t="inlineStr">
        <is>
          <t>Armament@ELITE</t>
        </is>
      </c>
      <c r="L90" s="6" t="n">
        <v>6000</v>
      </c>
      <c r="M90" s="6" t="n">
        <v>30</v>
      </c>
      <c r="N90" s="6" t="n">
        <v>3</v>
      </c>
      <c r="O90" s="6" t="n">
        <v>3</v>
      </c>
      <c r="P90" s="6" t="n">
        <v>7777</v>
      </c>
      <c r="Q90" s="6" t="n">
        <v>1</v>
      </c>
      <c r="R90">
        <f>M90+IF(MAX(N90-1,0)&gt;0,IF(ISBLANK(O90),5*MAX(N90-1,0),IF(ISNUMBER(O90),O90*MAX(N90-1,0),SUM(IFERROR(VALUE(TEXTSPLIT(O90,",")),0)))),0)</f>
        <v/>
      </c>
      <c r="S90">
        <f>IFERROR(L90*MAX(N90,1)/R90*IF(ISBLANK(K88),1,K88),0)</f>
        <v/>
      </c>
      <c r="AB90" s="7" t="inlineStr">
        <is>
          <t>^Warhead_CannonHE_Heavy, ^Warhead_Bullet_Light, ^Warhead_Bullet_Medium</t>
        </is>
      </c>
    </row>
    <row r="91">
      <c r="A91" t="inlineStr">
        <is>
          <t>redalert2mod</t>
        </is>
      </c>
      <c r="B91" t="inlineStr">
        <is>
          <t>naxis_airfield</t>
        </is>
      </c>
      <c r="C91" t="inlineStr">
        <is>
          <t>Naxis Airfield</t>
        </is>
      </c>
      <c r="D91" s="6" t="inlineStr">
        <is>
          <t>BasicDefense</t>
        </is>
      </c>
      <c r="E91" s="6" t="n">
        <v>600000</v>
      </c>
      <c r="G91" t="inlineStr">
        <is>
          <t>Concrete</t>
        </is>
      </c>
      <c r="H91" s="6" t="n">
        <v>0.8209</v>
      </c>
      <c r="I91" s="6" t="n">
        <v>1</v>
      </c>
      <c r="J91" s="6" t="n">
        <v>1</v>
      </c>
      <c r="X91" s="6" t="n">
        <v>3000</v>
      </c>
    </row>
    <row r="92">
      <c r="B92" s="7" t="inlineStr">
        <is>
          <t xml:space="preserve">  ↳ NaxDefensivePlaneTarget</t>
        </is>
      </c>
      <c r="C92" s="7" t="inlineStr">
        <is>
          <t>Armament@PRIMARY</t>
        </is>
      </c>
      <c r="M92" s="6" t="n">
        <v>30</v>
      </c>
      <c r="N92" s="6" t="n">
        <v>1</v>
      </c>
      <c r="O92" s="6" t="n"/>
      <c r="P92" s="6" t="n">
        <v>30000</v>
      </c>
      <c r="Q92" s="6" t="n">
        <v>1</v>
      </c>
      <c r="R92">
        <f>M92+IF(MAX(N92-1,0)&gt;0,IF(ISBLANK(O92),5*MAX(N92-1,0),IF(ISNUMBER(O92),O92*MAX(N92-1,0),SUM(IFERROR(VALUE(TEXTSPLIT(O92,",")),0)))),0)</f>
        <v/>
      </c>
      <c r="S92">
        <f>IFERROR(L92*MAX(N92,1)/R92*IF(ISBLANK(K91),1,K91),0)</f>
        <v/>
      </c>
      <c r="AB92" s="7" t="inlineStr"/>
    </row>
    <row r="93">
      <c r="A93" t="inlineStr">
        <is>
          <t>redalert2mod</t>
        </is>
      </c>
      <c r="B93" t="inlineStr">
        <is>
          <t>naxis_flak88</t>
        </is>
      </c>
      <c r="C93" t="inlineStr">
        <is>
          <t>Flak 88</t>
        </is>
      </c>
      <c r="D93" s="6" t="inlineStr">
        <is>
          <t>BasicDefense</t>
        </is>
      </c>
      <c r="E93" s="6" t="n">
        <v>160000</v>
      </c>
      <c r="G93" t="inlineStr">
        <is>
          <t>Concrete</t>
        </is>
      </c>
      <c r="H93" s="6" t="n">
        <v>1</v>
      </c>
      <c r="I93" s="6" t="n">
        <v>0.5</v>
      </c>
      <c r="J93" s="6" t="n">
        <v>1</v>
      </c>
      <c r="X93" s="6" t="n">
        <v>1200</v>
      </c>
    </row>
    <row r="94">
      <c r="B94" s="7" t="inlineStr">
        <is>
          <t xml:space="preserve">  ↳ NaxFlakAA</t>
        </is>
      </c>
      <c r="C94" s="7" t="inlineStr">
        <is>
          <t>Armament@PRIMARY</t>
        </is>
      </c>
      <c r="L94" s="6" t="n">
        <v>7000</v>
      </c>
      <c r="M94" s="6" t="n">
        <v>88</v>
      </c>
      <c r="N94" s="6" t="n">
        <v>8</v>
      </c>
      <c r="O94" s="6" t="n">
        <v>0</v>
      </c>
      <c r="P94" s="6" t="n">
        <v>13200</v>
      </c>
      <c r="Q94" s="6" t="n">
        <v>1</v>
      </c>
      <c r="R94">
        <f>M94+IF(MAX(N94-1,0)&gt;0,IF(ISBLANK(O94),5*MAX(N94-1,0),IF(ISNUMBER(O94),O94*MAX(N94-1,0),SUM(IFERROR(VALUE(TEXTSPLIT(O94,",")),0)))),0)</f>
        <v/>
      </c>
      <c r="S94">
        <f>IFERROR(L94*MAX(N94,1)/R94*IF(ISBLANK(K93),1,K93),0)</f>
        <v/>
      </c>
      <c r="AB94" s="7" t="inlineStr">
        <is>
          <t>^Warhead_Flak_Medium</t>
        </is>
      </c>
    </row>
    <row r="95">
      <c r="B95" s="7" t="inlineStr">
        <is>
          <t xml:space="preserve">  ↳ NaxFlakAG</t>
        </is>
      </c>
      <c r="C95" s="7" t="inlineStr">
        <is>
          <t>Armament@AA</t>
        </is>
      </c>
      <c r="L95" s="6" t="n">
        <v>7000</v>
      </c>
      <c r="M95" s="6" t="n">
        <v>88</v>
      </c>
      <c r="N95" s="6" t="n">
        <v>8</v>
      </c>
      <c r="O95" s="6" t="n">
        <v>0</v>
      </c>
      <c r="P95" s="6" t="n">
        <v>8800</v>
      </c>
      <c r="Q95" s="6" t="n">
        <v>1</v>
      </c>
      <c r="R95">
        <f>M95+IF(MAX(N95-1,0)&gt;0,IF(ISBLANK(O95),5*MAX(N95-1,0),IF(ISNUMBER(O95),O95*MAX(N95-1,0),SUM(IFERROR(VALUE(TEXTSPLIT(O95,",")),0)))),0)</f>
        <v/>
      </c>
      <c r="S95">
        <f>IFERROR(L95*MAX(N95,1)/R95*IF(ISBLANK(K93),1,K93),0)</f>
        <v/>
      </c>
      <c r="AB95" s="7" t="inlineStr">
        <is>
          <t>^Warhead_Flak_Medium</t>
        </is>
      </c>
    </row>
    <row r="96">
      <c r="A96" t="inlineStr">
        <is>
          <t>redalert2mod</t>
        </is>
      </c>
      <c r="B96" t="inlineStr">
        <is>
          <t>naxis_rifletower</t>
        </is>
      </c>
      <c r="C96" t="inlineStr">
        <is>
          <t>Rifle Tower</t>
        </is>
      </c>
      <c r="D96" s="6" t="inlineStr">
        <is>
          <t>BasicDefense</t>
        </is>
      </c>
      <c r="E96" s="6" t="n">
        <v>78000</v>
      </c>
      <c r="G96" t="inlineStr">
        <is>
          <t>Concrete</t>
        </is>
      </c>
      <c r="H96" s="6" t="n">
        <v>1</v>
      </c>
      <c r="I96" s="6" t="n">
        <v>1</v>
      </c>
      <c r="J96" s="6" t="n">
        <v>1</v>
      </c>
      <c r="X96" s="6" t="n">
        <v>650</v>
      </c>
    </row>
    <row r="97">
      <c r="B97" s="7" t="inlineStr">
        <is>
          <t xml:space="preserve">  ↳ NaxiRifleT</t>
        </is>
      </c>
      <c r="C97" s="7" t="inlineStr">
        <is>
          <t>Armament</t>
        </is>
      </c>
      <c r="L97" s="6" t="n">
        <v>32000</v>
      </c>
      <c r="M97" s="6" t="n">
        <v>50</v>
      </c>
      <c r="N97" s="6" t="n">
        <v>2</v>
      </c>
      <c r="O97" s="6" t="n">
        <v>5</v>
      </c>
      <c r="P97" s="6" t="n">
        <v>8100</v>
      </c>
      <c r="Q97" s="6" t="n">
        <v>0.75</v>
      </c>
      <c r="R97">
        <f>M97+IF(MAX(N97-1,0)&gt;0,IF(ISBLANK(O97),5*MAX(N97-1,0),IF(ISNUMBER(O97),O97*MAX(N97-1,0),SUM(IFERROR(VALUE(TEXTSPLIT(O97,",")),0)))),0)</f>
        <v/>
      </c>
      <c r="S97">
        <f>IFERROR(L97*MAX(N97,1)/R97*IF(ISBLANK(K96),1,K96),0)</f>
        <v/>
      </c>
      <c r="AB97" s="7" t="inlineStr">
        <is>
          <t>^Warhead_Bullet_Light</t>
        </is>
      </c>
    </row>
    <row r="98">
      <c r="A98" t="inlineStr">
        <is>
          <t>redalert2mod</t>
        </is>
      </c>
      <c r="B98" t="inlineStr">
        <is>
          <t>schwarzermond_airfield</t>
        </is>
      </c>
      <c r="C98" t="inlineStr">
        <is>
          <t>Schwarzer Mond Airfield</t>
        </is>
      </c>
      <c r="D98" s="6" t="inlineStr">
        <is>
          <t>BasicDefense</t>
        </is>
      </c>
      <c r="E98" s="6" t="n">
        <v>600000</v>
      </c>
      <c r="G98" t="inlineStr">
        <is>
          <t>Concrete</t>
        </is>
      </c>
      <c r="H98" s="6" t="n">
        <v>0.8209</v>
      </c>
      <c r="I98" s="6" t="n">
        <v>1</v>
      </c>
      <c r="J98" s="6" t="n">
        <v>1</v>
      </c>
      <c r="X98" s="6" t="n">
        <v>3000</v>
      </c>
    </row>
    <row r="99">
      <c r="B99" s="7" t="inlineStr">
        <is>
          <t xml:space="preserve">  ↳ NaxDefensivePlaneTarget</t>
        </is>
      </c>
      <c r="C99" s="7" t="inlineStr">
        <is>
          <t>Armament@PRIMARY</t>
        </is>
      </c>
      <c r="M99" s="6" t="n">
        <v>30</v>
      </c>
      <c r="N99" s="6" t="n">
        <v>1</v>
      </c>
      <c r="O99" s="6" t="n"/>
      <c r="P99" s="6" t="n">
        <v>30000</v>
      </c>
      <c r="Q99" s="6" t="n">
        <v>1</v>
      </c>
      <c r="R99">
        <f>M99+IF(MAX(N99-1,0)&gt;0,IF(ISBLANK(O99),5*MAX(N99-1,0),IF(ISNUMBER(O99),O99*MAX(N99-1,0),SUM(IFERROR(VALUE(TEXTSPLIT(O99,",")),0)))),0)</f>
        <v/>
      </c>
      <c r="S99">
        <f>IFERROR(L99*MAX(N99,1)/R99*IF(ISBLANK(K98),1,K98),0)</f>
        <v/>
      </c>
      <c r="AB99" s="7" t="inlineStr"/>
    </row>
    <row r="100">
      <c r="A100" t="inlineStr">
        <is>
          <t>redalert2mod</t>
        </is>
      </c>
      <c r="B100" t="inlineStr">
        <is>
          <t>schwarzermond_sturmcannon</t>
        </is>
      </c>
      <c r="C100" t="inlineStr">
        <is>
          <t>Sturm Cannon</t>
        </is>
      </c>
      <c r="D100" s="6" t="inlineStr">
        <is>
          <t>BasicDefense</t>
        </is>
      </c>
      <c r="E100" s="6" t="n">
        <v>160000</v>
      </c>
      <c r="G100" t="inlineStr">
        <is>
          <t>Concrete</t>
        </is>
      </c>
      <c r="H100" s="6" t="n">
        <v>0.8639</v>
      </c>
      <c r="I100" s="6" t="n">
        <v>1</v>
      </c>
      <c r="J100" s="6" t="n">
        <v>1</v>
      </c>
      <c r="X100" s="6" t="n">
        <v>1200</v>
      </c>
    </row>
    <row r="101">
      <c r="B101" s="7" t="inlineStr">
        <is>
          <t xml:space="preserve">  ↳ NaxSturmArty</t>
        </is>
      </c>
      <c r="C101" s="7" t="inlineStr">
        <is>
          <t>Armament@PRIMARY</t>
        </is>
      </c>
      <c r="L101" s="6" t="n">
        <v>80000</v>
      </c>
      <c r="M101" s="6" t="n">
        <v>140</v>
      </c>
      <c r="N101" s="6" t="n">
        <v>1</v>
      </c>
      <c r="O101" s="6" t="n"/>
      <c r="P101" s="6" t="n">
        <v>14000</v>
      </c>
      <c r="Q101" s="6" t="n">
        <v>1</v>
      </c>
      <c r="R101">
        <f>M101+IF(MAX(N101-1,0)&gt;0,IF(ISBLANK(O101),5*MAX(N101-1,0),IF(ISNUMBER(O101),O101*MAX(N101-1,0),SUM(IFERROR(VALUE(TEXTSPLIT(O101,",")),0)))),0)</f>
        <v/>
      </c>
      <c r="S101">
        <f>IFERROR(L101*MAX(N101,1)/R101*IF(ISBLANK(K100),1,K100),0)</f>
        <v/>
      </c>
      <c r="AB101" s="7" t="inlineStr">
        <is>
          <t>^Warhead_Demolition_Heavy, ^Warhead_CannonHE_Medium, ^Warhead_Demolition_Light</t>
        </is>
      </c>
    </row>
    <row r="102">
      <c r="B102" s="7" t="inlineStr">
        <is>
          <t xml:space="preserve">  ↳ Lunar_GreenSturmArty</t>
        </is>
      </c>
      <c r="C102" s="7" t="inlineStr">
        <is>
          <t>Armament@PRIMARY_UP</t>
        </is>
      </c>
      <c r="L102" s="6" t="n">
        <v>82000</v>
      </c>
      <c r="M102" s="6" t="n">
        <v>140</v>
      </c>
      <c r="N102" s="6" t="n">
        <v>1</v>
      </c>
      <c r="O102" s="6" t="n"/>
      <c r="P102" s="6" t="n">
        <v>14000</v>
      </c>
      <c r="Q102" s="6" t="n">
        <v>1</v>
      </c>
      <c r="R102">
        <f>M102+IF(MAX(N102-1,0)&gt;0,IF(ISBLANK(O102),5*MAX(N102-1,0),IF(ISNUMBER(O102),O102*MAX(N102-1,0),SUM(IFERROR(VALUE(TEXTSPLIT(O102,",")),0)))),0)</f>
        <v/>
      </c>
      <c r="S102">
        <f>IFERROR(L102*MAX(N102,1)/R102*IF(ISBLANK(K100),1,K100),0)</f>
        <v/>
      </c>
      <c r="AB102" s="7" t="inlineStr">
        <is>
          <t>^Warhead_Tesla_Heavy, ^Warhead_Demolition_Heavy, ^Warhead_CannonHE_Medium, ^Warhead_Demolition_Light</t>
        </is>
      </c>
    </row>
    <row r="103">
      <c r="A103" t="inlineStr">
        <is>
          <t>redalert2mod</t>
        </is>
      </c>
      <c r="B103" t="inlineStr">
        <is>
          <t>futuretech_multiturretsystem</t>
        </is>
      </c>
      <c r="C103" t="inlineStr">
        <is>
          <t>Multi Turret System</t>
        </is>
      </c>
      <c r="D103" s="6" t="inlineStr">
        <is>
          <t>BasicDefense</t>
        </is>
      </c>
      <c r="E103" s="6" t="n">
        <v>105000</v>
      </c>
      <c r="G103" t="inlineStr">
        <is>
          <t>Concrete</t>
        </is>
      </c>
      <c r="H103" s="6" t="n">
        <v>1</v>
      </c>
      <c r="I103" s="6" t="n">
        <v>1</v>
      </c>
      <c r="J103" s="6" t="n">
        <v>1</v>
      </c>
      <c r="X103" s="6" t="n">
        <v>800</v>
      </c>
    </row>
    <row r="104">
      <c r="B104" s="7" t="inlineStr">
        <is>
          <t xml:space="preserve">  ↳ Future_MultiMissile</t>
        </is>
      </c>
      <c r="C104" s="7" t="inlineStr">
        <is>
          <t>Armament@primary</t>
        </is>
      </c>
      <c r="L104" s="6" t="n">
        <v>8000</v>
      </c>
      <c r="M104" s="6" t="n">
        <v>24</v>
      </c>
      <c r="N104" s="6" t="n">
        <v>3</v>
      </c>
      <c r="O104" s="6" t="n">
        <v>4</v>
      </c>
      <c r="P104" s="6" t="n">
        <v>7410</v>
      </c>
      <c r="Q104" s="6" t="n">
        <v>0.75</v>
      </c>
      <c r="R104">
        <f>M104+IF(MAX(N104-1,0)&gt;0,IF(ISBLANK(O104),5*MAX(N104-1,0),IF(ISNUMBER(O104),O104*MAX(N104-1,0),SUM(IFERROR(VALUE(TEXTSPLIT(O104,",")),0)))),0)</f>
        <v/>
      </c>
      <c r="S104">
        <f>IFERROR(L104*MAX(N104,1)/R104*IF(ISBLANK(K103),1,K103),0)</f>
        <v/>
      </c>
      <c r="AB104" s="7" t="inlineStr">
        <is>
          <t>^Warhead_Arrow_Light, ^Warhead_MissileAP_Light</t>
        </is>
      </c>
    </row>
    <row r="105">
      <c r="B105" s="7" t="inlineStr">
        <is>
          <t xml:space="preserve">  ↳ Future_MultiMissile_Javelin</t>
        </is>
      </c>
      <c r="C105" s="7" t="inlineStr">
        <is>
          <t>Armament@MISS</t>
        </is>
      </c>
      <c r="L105" s="6" t="n">
        <v>10000</v>
      </c>
      <c r="M105" s="6" t="n">
        <v>32</v>
      </c>
      <c r="N105" s="6" t="n">
        <v>3</v>
      </c>
      <c r="O105" s="6" t="n">
        <v>4</v>
      </c>
      <c r="P105" s="6" t="n">
        <v>9000</v>
      </c>
      <c r="Q105" s="6" t="n">
        <v>1.25</v>
      </c>
      <c r="R105">
        <f>M105+IF(MAX(N105-1,0)&gt;0,IF(ISBLANK(O105),5*MAX(N105-1,0),IF(ISNUMBER(O105),O105*MAX(N105-1,0),SUM(IFERROR(VALUE(TEXTSPLIT(O105,",")),0)))),0)</f>
        <v/>
      </c>
      <c r="S105">
        <f>IFERROR(L105*MAX(N105,1)/R105*IF(ISBLANK(K103),1,K103),0)</f>
        <v/>
      </c>
      <c r="AB105" s="7" t="inlineStr">
        <is>
          <t>^Warhead_MissileAP_Heavy</t>
        </is>
      </c>
    </row>
    <row r="106">
      <c r="B106" s="7" t="inlineStr">
        <is>
          <t xml:space="preserve">  ↳ Future_MultiMissile_Frag</t>
        </is>
      </c>
      <c r="C106" s="7" t="inlineStr">
        <is>
          <t>Armament@FRAG</t>
        </is>
      </c>
      <c r="L106" s="6" t="n">
        <v>16000</v>
      </c>
      <c r="M106" s="6" t="n">
        <v>56</v>
      </c>
      <c r="N106" s="6" t="n">
        <v>3</v>
      </c>
      <c r="O106" s="6" t="n">
        <v>4</v>
      </c>
      <c r="P106" s="6" t="n">
        <v>8300</v>
      </c>
      <c r="Q106" s="6" t="n">
        <v>1.25</v>
      </c>
      <c r="R106">
        <f>M106+IF(MAX(N106-1,0)&gt;0,IF(ISBLANK(O106),5*MAX(N106-1,0),IF(ISNUMBER(O106),O106*MAX(N106-1,0),SUM(IFERROR(VALUE(TEXTSPLIT(O106,",")),0)))),0)</f>
        <v/>
      </c>
      <c r="S106">
        <f>IFERROR(L106*MAX(N106,1)/R106*IF(ISBLANK(K103),1,K103),0)</f>
        <v/>
      </c>
      <c r="AB106" s="7" t="inlineStr">
        <is>
          <t>^Warhead_Concussion_Heavy</t>
        </is>
      </c>
    </row>
    <row r="107">
      <c r="B107" s="7" t="inlineStr">
        <is>
          <t xml:space="preserve">  ↳ Future_MultiMissile_Sigma</t>
        </is>
      </c>
      <c r="C107" s="7" t="inlineStr">
        <is>
          <t>Armament@Sigma</t>
        </is>
      </c>
      <c r="L107" s="6" t="n">
        <v>50000</v>
      </c>
      <c r="M107" s="6" t="n">
        <v>50</v>
      </c>
      <c r="N107" s="6" t="n">
        <v>3</v>
      </c>
      <c r="O107" s="6" t="n">
        <v>6</v>
      </c>
      <c r="P107" s="6" t="n">
        <v>9000</v>
      </c>
      <c r="Q107" s="6" t="n">
        <v>1</v>
      </c>
      <c r="R107">
        <f>M107+IF(MAX(N107-1,0)&gt;0,IF(ISBLANK(O107),5*MAX(N107-1,0),IF(ISNUMBER(O107),O107*MAX(N107-1,0),SUM(IFERROR(VALUE(TEXTSPLIT(O107,",")),0)))),0)</f>
        <v/>
      </c>
      <c r="S107">
        <f>IFERROR(L107*MAX(N107,1)/R107*IF(ISBLANK(K103),1,K103),0)</f>
        <v/>
      </c>
      <c r="AB107" s="7" t="inlineStr">
        <is>
          <t>^TeslaChargedWeapon, ^MagicWeapon, ^FlakWeapon, ^ShrapnelWeapon, ^MediumMissile</t>
        </is>
      </c>
    </row>
    <row r="108">
      <c r="A108" t="inlineStr">
        <is>
          <t>redalert2mod</t>
        </is>
      </c>
      <c r="B108" t="inlineStr">
        <is>
          <t>tkm_tankturretbunker</t>
        </is>
      </c>
      <c r="C108" t="inlineStr">
        <is>
          <t>TKM Tank Turret Bunker</t>
        </is>
      </c>
      <c r="D108" s="6" t="inlineStr">
        <is>
          <t>BasicDefense</t>
        </is>
      </c>
      <c r="E108" s="6" t="n">
        <v>100000</v>
      </c>
      <c r="F108" t="n">
        <v>100</v>
      </c>
      <c r="G108" t="inlineStr">
        <is>
          <t>Concrete</t>
        </is>
      </c>
      <c r="H108" s="6" t="n">
        <v>1</v>
      </c>
      <c r="I108" s="6" t="n">
        <v>1</v>
      </c>
      <c r="J108" s="6" t="n">
        <v>1</v>
      </c>
      <c r="P108">
        <f>MAX(P109)</f>
        <v/>
      </c>
      <c r="S108">
        <f>S109</f>
        <v/>
      </c>
      <c r="T108">
        <f>(E108/100000+F108/100+(P108/1000)*J108/5+S108/200)*200*I108*H108</f>
        <v/>
      </c>
      <c r="U108">
        <f>((E108*F108/25000)+((P108/1000)*J108*S108/2.5))*I108*H108</f>
        <v/>
      </c>
      <c r="V108">
        <f>(E108*F108*(P108/1000)*J108*S108*I108*H108)/12500000</f>
        <v/>
      </c>
      <c r="W108">
        <f>(T108+U108+V108)/3</f>
        <v/>
      </c>
      <c r="X108" s="6" t="n">
        <v>800</v>
      </c>
      <c r="Y108">
        <f>IFERROR(W108-X108,"")</f>
        <v/>
      </c>
      <c r="Z108">
        <f>IFERROR(ABS(Y108)/MAX(X108,1),"")</f>
        <v/>
      </c>
      <c r="AA108">
        <f>IFERROR((X108-(((E108/100000+F108/100+S108/200)*200*I108*H108)+((E108*F108/25000)*I108*H108))/3)/(((J108/5)*200*I108*H108)+((J108*S108/2.5)*I108*H108)+((E108*F108*J108*S108*I108*H108)/12500000))/3*1000,"")</f>
        <v/>
      </c>
    </row>
    <row r="109">
      <c r="B109" s="7" t="inlineStr">
        <is>
          <t xml:space="preserve">  ↳ tkmturretcannon</t>
        </is>
      </c>
      <c r="C109" s="7" t="inlineStr">
        <is>
          <t>Armament</t>
        </is>
      </c>
      <c r="L109" s="6" t="n">
        <v>16000</v>
      </c>
      <c r="M109" s="6" t="n">
        <v>28</v>
      </c>
      <c r="N109" s="6" t="n">
        <v>1</v>
      </c>
      <c r="O109" s="6" t="n"/>
      <c r="P109" s="6" t="n">
        <v>8683</v>
      </c>
      <c r="Q109" s="6" t="n">
        <v>0.875</v>
      </c>
      <c r="R109">
        <f>M109+IF(MAX(N109-1,0)&gt;0,IF(ISBLANK(O109),5*MAX(N109-1,0),IF(ISNUMBER(O109),O109*MAX(N109-1,0),SUM(IFERROR(VALUE(TEXTSPLIT(O109,",")),0)))),0)</f>
        <v/>
      </c>
      <c r="S109">
        <f>IFERROR(L109*MAX(N109,1)/R109*IF(ISBLANK(K108),1,K108),0)</f>
        <v/>
      </c>
      <c r="AB109" s="7" t="inlineStr">
        <is>
          <t>^Warhead_CannonAP_Light, ^Warhead_CannonHE_Medium</t>
        </is>
      </c>
    </row>
    <row r="110">
      <c r="A110" t="inlineStr">
        <is>
          <t>redalert2mod</t>
        </is>
      </c>
      <c r="B110" t="inlineStr">
        <is>
          <t>tkmratflakdeployed</t>
        </is>
      </c>
      <c r="C110" t="inlineStr">
        <is>
          <t>Flak Bus (Deployed)</t>
        </is>
      </c>
      <c r="D110" s="6" t="inlineStr">
        <is>
          <t>BasicDefense</t>
        </is>
      </c>
      <c r="E110" s="6" t="n">
        <v>120000</v>
      </c>
      <c r="F110" t="n">
        <v>100</v>
      </c>
      <c r="G110" t="inlineStr">
        <is>
          <t>Heavy</t>
        </is>
      </c>
      <c r="H110" s="6" t="n">
        <v>1</v>
      </c>
      <c r="I110" s="6" t="n">
        <v>1</v>
      </c>
      <c r="J110" s="6" t="n">
        <v>1</v>
      </c>
      <c r="P110">
        <f>MAX(P111)</f>
        <v/>
      </c>
      <c r="S110">
        <f>S111</f>
        <v/>
      </c>
      <c r="T110">
        <f>(E110/100000+F110/100+(P110/1000)*J110/5+S110/200)*200*I110*H110</f>
        <v/>
      </c>
      <c r="U110">
        <f>((E110*F110/25000)+((P110/1000)*J110*S110/2.5))*I110*H110</f>
        <v/>
      </c>
      <c r="V110">
        <f>(E110*F110*(P110/1000)*J110*S110*I110*H110)/12500000</f>
        <v/>
      </c>
      <c r="W110">
        <f>(T110+U110+V110)/3</f>
        <v/>
      </c>
      <c r="X110" s="6" t="n">
        <v>1600</v>
      </c>
      <c r="Y110">
        <f>IFERROR(W110-X110,"")</f>
        <v/>
      </c>
      <c r="Z110">
        <f>IFERROR(ABS(Y110)/MAX(X110,1),"")</f>
        <v/>
      </c>
      <c r="AA110">
        <f>IFERROR((X110-(((E110/100000+F110/100+S110/200)*200*I110*H110)+((E110*F110/25000)*I110*H110))/3)/(((J110/5)*200*I110*H110)+((J110*S110/2.5)*I110*H110)+((E110*F110*J110*S110*I110*H110)/12500000))/3*1000,"")</f>
        <v/>
      </c>
    </row>
    <row r="111">
      <c r="B111" s="7" t="inlineStr">
        <is>
          <t xml:space="preserve">  ↳ FlakbusAA</t>
        </is>
      </c>
      <c r="C111" s="7" t="inlineStr">
        <is>
          <t>Armament</t>
        </is>
      </c>
      <c r="L111" s="6" t="n">
        <v>32000</v>
      </c>
      <c r="M111" s="6" t="n">
        <v>32</v>
      </c>
      <c r="N111" s="6" t="n">
        <v>1</v>
      </c>
      <c r="O111" s="6" t="n"/>
      <c r="P111" s="6" t="n">
        <v>10929</v>
      </c>
      <c r="Q111" s="6" t="n">
        <v>1</v>
      </c>
      <c r="R111">
        <f>M111+IF(MAX(N111-1,0)&gt;0,IF(ISBLANK(O111),5*MAX(N111-1,0),IF(ISNUMBER(O111),O111*MAX(N111-1,0),SUM(IFERROR(VALUE(TEXTSPLIT(O111,",")),0)))),0)</f>
        <v/>
      </c>
      <c r="S111">
        <f>IFERROR(L111*MAX(N111,1)/R111*IF(ISBLANK(K110),1,K110),0)</f>
        <v/>
      </c>
      <c r="AB111" s="7" t="inlineStr">
        <is>
          <t>^Warhead_MissileHE_Medium, ^Warhead_Flak_Medium</t>
        </is>
      </c>
    </row>
    <row r="112">
      <c r="A112" t="inlineStr">
        <is>
          <t>redalert2mod</t>
        </is>
      </c>
      <c r="B112" t="inlineStr">
        <is>
          <t>tkmtrenchtankdeployed</t>
        </is>
      </c>
      <c r="C112" t="inlineStr">
        <is>
          <t>TKM Trench Tank (Deployed)</t>
        </is>
      </c>
      <c r="D112" s="6" t="inlineStr">
        <is>
          <t>BasicDefense</t>
        </is>
      </c>
      <c r="E112" s="6" t="n">
        <v>200000</v>
      </c>
      <c r="F112" t="n">
        <v>100</v>
      </c>
      <c r="G112" t="inlineStr">
        <is>
          <t>Heavy</t>
        </is>
      </c>
      <c r="H112" s="6" t="n">
        <v>1</v>
      </c>
      <c r="I112" s="6" t="n">
        <v>1</v>
      </c>
      <c r="J112" s="6" t="n">
        <v>1</v>
      </c>
      <c r="P112">
        <f>MAX(P113)</f>
        <v/>
      </c>
      <c r="S112">
        <f>S113</f>
        <v/>
      </c>
      <c r="T112">
        <f>(E112/100000+F112/100+(P112/1000)*J112/5+S112/200)*200*I112*H112</f>
        <v/>
      </c>
      <c r="U112">
        <f>((E112*F112/25000)+((P112/1000)*J112*S112/2.5))*I112*H112</f>
        <v/>
      </c>
      <c r="V112">
        <f>(E112*F112*(P112/1000)*J112*S112*I112*H112)/12500000</f>
        <v/>
      </c>
      <c r="W112">
        <f>(T112+U112+V112)/3</f>
        <v/>
      </c>
      <c r="X112" s="6" t="n">
        <v>2500</v>
      </c>
      <c r="Y112">
        <f>IFERROR(W112-X112,"")</f>
        <v/>
      </c>
      <c r="Z112">
        <f>IFERROR(ABS(Y112)/MAX(X112,1),"")</f>
        <v/>
      </c>
      <c r="AA112">
        <f>IFERROR((X112-(((E112/100000+F112/100+S112/200)*200*I112*H112)+((E112*F112/25000)*I112*H112))/3)/(((J112/5)*200*I112*H112)+((J112*S112/2.5)*I112*H112)+((E112*F112*J112*S112*I112*H112)/12500000))/3*1000,"")</f>
        <v/>
      </c>
    </row>
    <row r="113">
      <c r="B113" s="7" t="inlineStr">
        <is>
          <t xml:space="preserve">  ↳ tkmtrenchdepcannon</t>
        </is>
      </c>
      <c r="C113" s="7" t="inlineStr">
        <is>
          <t>Armament</t>
        </is>
      </c>
      <c r="L113" s="6" t="n">
        <v>40000</v>
      </c>
      <c r="M113" s="6" t="n">
        <v>36</v>
      </c>
      <c r="N113" s="6" t="n">
        <v>1</v>
      </c>
      <c r="O113" s="6" t="n"/>
      <c r="P113" s="6" t="n">
        <v>11071</v>
      </c>
      <c r="Q113" s="6" t="n">
        <v>1.125</v>
      </c>
      <c r="R113">
        <f>M113+IF(MAX(N113-1,0)&gt;0,IF(ISBLANK(O113),5*MAX(N113-1,0),IF(ISNUMBER(O113),O113*MAX(N113-1,0),SUM(IFERROR(VALUE(TEXTSPLIT(O113,",")),0)))),0)</f>
        <v/>
      </c>
      <c r="S113">
        <f>IFERROR(L113*MAX(N113,1)/R113*IF(ISBLANK(K112),1,K112),0)</f>
        <v/>
      </c>
      <c r="AB113" s="7" t="inlineStr">
        <is>
          <t>^Warhead_Concussion_Medium, ^Warhead_CannonHE_Heavy</t>
        </is>
      </c>
    </row>
    <row r="114">
      <c r="A114" t="inlineStr">
        <is>
          <t>d2k</t>
        </is>
      </c>
      <c r="B114" t="inlineStr">
        <is>
          <t>ixian_gunturret</t>
        </is>
      </c>
      <c r="C114" t="inlineStr">
        <is>
          <t>Gun Turret</t>
        </is>
      </c>
      <c r="D114" s="6" t="inlineStr">
        <is>
          <t>BasicDefense</t>
        </is>
      </c>
      <c r="E114" s="6" t="n">
        <v>125000</v>
      </c>
      <c r="G114" t="inlineStr">
        <is>
          <t>Concrete</t>
        </is>
      </c>
      <c r="H114" s="6" t="n">
        <v>1</v>
      </c>
      <c r="I114" s="6" t="n">
        <v>1</v>
      </c>
      <c r="J114" s="6" t="n">
        <v>1</v>
      </c>
      <c r="X114" s="6" t="n">
        <v>1000</v>
      </c>
    </row>
    <row r="115">
      <c r="B115" s="7" t="inlineStr">
        <is>
          <t xml:space="preserve">  ↳ 110mm_Gun</t>
        </is>
      </c>
      <c r="C115" s="7" t="inlineStr">
        <is>
          <t>Armament</t>
        </is>
      </c>
      <c r="L115" s="6" t="n">
        <v>30000</v>
      </c>
      <c r="M115" s="6" t="n">
        <v>50</v>
      </c>
      <c r="N115" s="6" t="n">
        <v>1</v>
      </c>
      <c r="O115" s="6" t="n"/>
      <c r="P115" s="6" t="n">
        <v>7979</v>
      </c>
      <c r="Q115" s="6" t="n">
        <v>1</v>
      </c>
      <c r="R115">
        <f>M115+IF(MAX(N115-1,0)&gt;0,IF(ISBLANK(O115),5*MAX(N115-1,0),IF(ISNUMBER(O115),O115*MAX(N115-1,0),SUM(IFERROR(VALUE(TEXTSPLIT(O115,",")),0)))),0)</f>
        <v/>
      </c>
      <c r="S115">
        <f>IFERROR(L115*MAX(N115,1)/R115*IF(ISBLANK(K114),1,K114),0)</f>
        <v/>
      </c>
      <c r="AB115" s="7" t="inlineStr">
        <is>
          <t>^Warhead_CannonHE_Heavy, ^Warhead_CannonAP_Light, ^Warhead_CannonHE_Medium</t>
        </is>
      </c>
    </row>
    <row r="116">
      <c r="A116" t="inlineStr">
        <is>
          <t>d2k</t>
        </is>
      </c>
      <c r="B116" t="inlineStr">
        <is>
          <t>ixian_machinegunturret</t>
        </is>
      </c>
      <c r="C116" t="inlineStr">
        <is>
          <t>Machine Gun Turret</t>
        </is>
      </c>
      <c r="D116" s="6" t="inlineStr">
        <is>
          <t>BasicDefense</t>
        </is>
      </c>
      <c r="E116" s="6" t="n">
        <v>75000</v>
      </c>
      <c r="G116" t="inlineStr">
        <is>
          <t>Concrete</t>
        </is>
      </c>
      <c r="H116" s="6" t="n">
        <v>1</v>
      </c>
      <c r="I116" s="6" t="n">
        <v>1</v>
      </c>
      <c r="J116" s="6" t="n">
        <v>1</v>
      </c>
      <c r="X116" s="6" t="n">
        <v>600</v>
      </c>
    </row>
    <row r="117">
      <c r="B117" s="7" t="inlineStr">
        <is>
          <t xml:space="preserve">  ↳ HMG_turret</t>
        </is>
      </c>
      <c r="C117" s="7" t="inlineStr">
        <is>
          <t>Armament</t>
        </is>
      </c>
      <c r="L117" s="6" t="n">
        <v>4000</v>
      </c>
      <c r="M117" s="6" t="n">
        <v>22</v>
      </c>
      <c r="N117" s="6" t="n">
        <v>4</v>
      </c>
      <c r="O117" s="6" t="n">
        <v>2</v>
      </c>
      <c r="P117" s="6" t="n">
        <v>7394</v>
      </c>
      <c r="Q117" s="6" t="n">
        <v>0.875</v>
      </c>
      <c r="R117">
        <f>M117+IF(MAX(N117-1,0)&gt;0,IF(ISBLANK(O117),5*MAX(N117-1,0),IF(ISNUMBER(O117),O117*MAX(N117-1,0),SUM(IFERROR(VALUE(TEXTSPLIT(O117,",")),0)))),0)</f>
        <v/>
      </c>
      <c r="S117">
        <f>IFERROR(L117*MAX(N117,1)/R117*IF(ISBLANK(K116),1,K116),0)</f>
        <v/>
      </c>
      <c r="AB117" s="7" t="inlineStr">
        <is>
          <t>^Warhead_Bullet_Light, ^Warhead_Bullet_Medium</t>
        </is>
      </c>
    </row>
    <row r="118">
      <c r="B118" s="7" t="inlineStr">
        <is>
          <t xml:space="preserve">  ↳ HMG_turret_upgrade</t>
        </is>
      </c>
      <c r="C118" s="7" t="inlineStr">
        <is>
          <t>Armament@Upgrade</t>
        </is>
      </c>
      <c r="L118" s="6" t="n">
        <v>6000</v>
      </c>
      <c r="M118" s="6" t="n">
        <v>33</v>
      </c>
      <c r="N118" s="6" t="n">
        <v>4</v>
      </c>
      <c r="O118" s="6" t="n">
        <v>3</v>
      </c>
      <c r="P118" s="6" t="n">
        <v>7394</v>
      </c>
      <c r="Q118" s="6" t="n">
        <v>1</v>
      </c>
      <c r="R118">
        <f>M118+IF(MAX(N118-1,0)&gt;0,IF(ISBLANK(O118),5*MAX(N118-1,0),IF(ISNUMBER(O118),O118*MAX(N118-1,0),SUM(IFERROR(VALUE(TEXTSPLIT(O118,",")),0)))),0)</f>
        <v/>
      </c>
      <c r="S118">
        <f>IFERROR(L118*MAX(N118,1)/R118*IF(ISBLANK(K116),1,K116),0)</f>
        <v/>
      </c>
      <c r="AB118" s="7" t="inlineStr">
        <is>
          <t>^Warhead_CannonHE_Heavy, ^Warhead_Bullet_Light, ^Warhead_Bullet_Medium</t>
        </is>
      </c>
    </row>
    <row r="119">
      <c r="A119" t="inlineStr">
        <is>
          <t>d2k</t>
        </is>
      </c>
      <c r="B119" t="inlineStr">
        <is>
          <t>harkonnen_flameturret</t>
        </is>
      </c>
      <c r="C119" t="inlineStr">
        <is>
          <t>Harkonnen Flame Turret</t>
        </is>
      </c>
      <c r="D119" s="6" t="inlineStr">
        <is>
          <t>BasicDefense</t>
        </is>
      </c>
      <c r="E119" s="6" t="n">
        <v>125000</v>
      </c>
      <c r="G119" t="inlineStr">
        <is>
          <t>Concrete</t>
        </is>
      </c>
      <c r="H119" s="6" t="n">
        <v>1</v>
      </c>
      <c r="I119" s="6" t="n">
        <v>1</v>
      </c>
      <c r="J119" s="6" t="n">
        <v>1</v>
      </c>
      <c r="X119" s="6" t="n">
        <v>1200</v>
      </c>
    </row>
    <row r="120">
      <c r="B120" s="7" t="inlineStr">
        <is>
          <t xml:space="preserve">  ↳ HarkonnenFlameTurret</t>
        </is>
      </c>
      <c r="C120" s="7" t="inlineStr">
        <is>
          <t>Armament</t>
        </is>
      </c>
      <c r="L120" s="6" t="n">
        <v>25135</v>
      </c>
      <c r="M120" s="6" t="n">
        <v>50</v>
      </c>
      <c r="N120" s="6" t="n">
        <v>5</v>
      </c>
      <c r="O120" s="6" t="n">
        <v>3</v>
      </c>
      <c r="P120" s="6" t="n">
        <v>6742</v>
      </c>
      <c r="Q120" s="6" t="n">
        <v>1</v>
      </c>
      <c r="R120">
        <f>M120+IF(MAX(N120-1,0)&gt;0,IF(ISBLANK(O120),5*MAX(N120-1,0),IF(ISNUMBER(O120),O120*MAX(N120-1,0),SUM(IFERROR(VALUE(TEXTSPLIT(O120,",")),0)))),0)</f>
        <v/>
      </c>
      <c r="S120">
        <f>IFERROR(L120*MAX(N120,1)/R120*IF(ISBLANK(K119),1,K119),0)</f>
        <v/>
      </c>
      <c r="AB120" s="7" t="inlineStr">
        <is>
          <t>^Warhead_Flame_Medium</t>
        </is>
      </c>
    </row>
    <row r="121">
      <c r="A121" t="inlineStr">
        <is>
          <t>starcraft</t>
        </is>
      </c>
      <c r="B121" t="inlineStr">
        <is>
          <t>zerg_creepcolony</t>
        </is>
      </c>
      <c r="C121" t="inlineStr">
        <is>
          <t>Creep Colony</t>
        </is>
      </c>
      <c r="D121" s="6" t="inlineStr">
        <is>
          <t>BasicDefense</t>
        </is>
      </c>
      <c r="E121" s="6" t="n">
        <v>80000</v>
      </c>
      <c r="F121" t="n">
        <v>100</v>
      </c>
      <c r="G121" t="inlineStr">
        <is>
          <t>Wood</t>
        </is>
      </c>
      <c r="H121" s="6" t="n">
        <v>1</v>
      </c>
      <c r="I121" s="6" t="n">
        <v>1</v>
      </c>
      <c r="J121" s="6" t="n">
        <v>1</v>
      </c>
      <c r="P121">
        <f>MAX(P122,P123)</f>
        <v/>
      </c>
      <c r="S121">
        <f>S122+S123</f>
        <v/>
      </c>
      <c r="T121">
        <f>(E121/100000+F121/100+(P121/1000)*J121/5+S121/200)*200*I121*H121</f>
        <v/>
      </c>
      <c r="U121">
        <f>((E121*F121/25000)+((P121/1000)*J121*S121/2.5))*I121*H121</f>
        <v/>
      </c>
      <c r="V121">
        <f>(E121*F121*(P121/1000)*J121*S121*I121*H121)/12500000</f>
        <v/>
      </c>
      <c r="W121">
        <f>(T121+U121+V121)/3</f>
        <v/>
      </c>
      <c r="X121" s="6" t="n">
        <v>1000</v>
      </c>
      <c r="Y121">
        <f>IFERROR(W121-X121,"")</f>
        <v/>
      </c>
      <c r="Z121">
        <f>IFERROR(ABS(Y121)/MAX(X121,1),"")</f>
        <v/>
      </c>
      <c r="AA121">
        <f>IFERROR((X121-(((E121/100000+F121/100+S121/200)*200*I121*H121)+((E121*F121/25000)*I121*H121))/3)/(((J121/5)*200*I121*H121)+((J121*S121/2.5)*I121*H121)+((E121*F121*J121*S121*I121*H121)/12500000))/3*1000,"")</f>
        <v/>
      </c>
    </row>
    <row r="122">
      <c r="B122" s="7" t="inlineStr">
        <is>
          <t xml:space="preserve">  ↳ Tentacle</t>
        </is>
      </c>
      <c r="C122" s="7" t="inlineStr">
        <is>
          <t>Armament@sunken</t>
        </is>
      </c>
      <c r="L122" s="6" t="n">
        <v>24000</v>
      </c>
      <c r="M122" s="6" t="n">
        <v>32</v>
      </c>
      <c r="N122" s="6" t="n">
        <v>1</v>
      </c>
      <c r="O122" s="6" t="n"/>
      <c r="P122" s="6" t="n">
        <v>7680</v>
      </c>
      <c r="Q122" s="6" t="n">
        <v>1.25</v>
      </c>
      <c r="R122">
        <f>M122+IF(MAX(N122-1,0)&gt;0,IF(ISBLANK(O122),5*MAX(N122-1,0),IF(ISNUMBER(O122),O122*MAX(N122-1,0),SUM(IFERROR(VALUE(TEXTSPLIT(O122,",")),0)))),0)</f>
        <v/>
      </c>
      <c r="S122">
        <f>IFERROR(L122*MAX(N122,1)/R122*IF(ISBLANK(K121),1,K121),0)</f>
        <v/>
      </c>
      <c r="AB122" s="7" t="inlineStr">
        <is>
          <t>^Warhead_CannonHE_Heavy</t>
        </is>
      </c>
    </row>
    <row r="123">
      <c r="B123" s="7" t="inlineStr">
        <is>
          <t xml:space="preserve">  ↳ Spore_AA</t>
        </is>
      </c>
      <c r="C123" s="7" t="inlineStr">
        <is>
          <t>Armament@spore</t>
        </is>
      </c>
      <c r="L123" s="6" t="n">
        <v>36000</v>
      </c>
      <c r="M123" s="6" t="n">
        <v>34</v>
      </c>
      <c r="N123" s="6" t="n">
        <v>1</v>
      </c>
      <c r="O123" s="6" t="n"/>
      <c r="P123" s="6" t="n">
        <v>10160</v>
      </c>
      <c r="Q123" s="6" t="n">
        <v>1</v>
      </c>
      <c r="R123">
        <f>M123+IF(MAX(N123-1,0)&gt;0,IF(ISBLANK(O123),5*MAX(N123-1,0),IF(ISNUMBER(O123),O123*MAX(N123-1,0),SUM(IFERROR(VALUE(TEXTSPLIT(O123,",")),0)))),0)</f>
        <v/>
      </c>
      <c r="S123">
        <f>IFERROR(L123*MAX(N123,1)/R123*IF(ISBLANK(K121),1,K121),0)</f>
        <v/>
      </c>
      <c r="AB123" s="7" t="inlineStr">
        <is>
          <t>^MediumMissile, ^Chaingun, ^FlakWeapon</t>
        </is>
      </c>
    </row>
    <row r="124">
      <c r="A124" t="inlineStr">
        <is>
          <t>starcraft</t>
        </is>
      </c>
      <c r="B124" t="inlineStr">
        <is>
          <t>zerg_creepcolony_defense</t>
        </is>
      </c>
      <c r="C124" t="inlineStr">
        <is>
          <t>Creep Colony</t>
        </is>
      </c>
      <c r="D124" s="6" t="inlineStr">
        <is>
          <t>BasicDefense</t>
        </is>
      </c>
      <c r="E124" s="6" t="n">
        <v>80000</v>
      </c>
      <c r="F124" t="n">
        <v>100</v>
      </c>
      <c r="G124" t="inlineStr">
        <is>
          <t>Wood</t>
        </is>
      </c>
      <c r="H124" s="6" t="n">
        <v>1</v>
      </c>
      <c r="I124" s="6" t="n">
        <v>1</v>
      </c>
      <c r="J124" s="6" t="n">
        <v>1</v>
      </c>
      <c r="P124">
        <f>MAX(P125,P126)</f>
        <v/>
      </c>
      <c r="S124">
        <f>S125+S126</f>
        <v/>
      </c>
      <c r="T124">
        <f>(E124/100000+F124/100+(P124/1000)*J124/5+S124/200)*200*I124*H124</f>
        <v/>
      </c>
      <c r="U124">
        <f>((E124*F124/25000)+((P124/1000)*J124*S124/2.5))*I124*H124</f>
        <v/>
      </c>
      <c r="V124">
        <f>(E124*F124*(P124/1000)*J124*S124*I124*H124)/12500000</f>
        <v/>
      </c>
      <c r="W124">
        <f>(T124+U124+V124)/3</f>
        <v/>
      </c>
      <c r="X124" s="6" t="n">
        <v>1000</v>
      </c>
      <c r="Y124">
        <f>IFERROR(W124-X124,"")</f>
        <v/>
      </c>
      <c r="Z124">
        <f>IFERROR(ABS(Y124)/MAX(X124,1),"")</f>
        <v/>
      </c>
      <c r="AA124">
        <f>IFERROR((X124-(((E124/100000+F124/100+S124/200)*200*I124*H124)+((E124*F124/25000)*I124*H124))/3)/(((J124/5)*200*I124*H124)+((J124*S124/2.5)*I124*H124)+((E124*F124*J124*S124*I124*H124)/12500000))/3*1000,"")</f>
        <v/>
      </c>
    </row>
    <row r="125">
      <c r="B125" s="7" t="inlineStr">
        <is>
          <t xml:space="preserve">  ↳ Tentacle</t>
        </is>
      </c>
      <c r="C125" s="7" t="inlineStr">
        <is>
          <t>Armament@sunken</t>
        </is>
      </c>
      <c r="L125" s="6" t="n">
        <v>24000</v>
      </c>
      <c r="M125" s="6" t="n">
        <v>32</v>
      </c>
      <c r="N125" s="6" t="n">
        <v>1</v>
      </c>
      <c r="O125" s="6" t="n"/>
      <c r="P125" s="6" t="n">
        <v>7680</v>
      </c>
      <c r="Q125" s="6" t="n">
        <v>1.25</v>
      </c>
      <c r="R125">
        <f>M125+IF(MAX(N125-1,0)&gt;0,IF(ISBLANK(O125),5*MAX(N125-1,0),IF(ISNUMBER(O125),O125*MAX(N125-1,0),SUM(IFERROR(VALUE(TEXTSPLIT(O125,",")),0)))),0)</f>
        <v/>
      </c>
      <c r="S125">
        <f>IFERROR(L125*MAX(N125,1)/R125*IF(ISBLANK(K124),1,K124),0)</f>
        <v/>
      </c>
      <c r="AB125" s="7" t="inlineStr">
        <is>
          <t>^Warhead_CannonHE_Heavy</t>
        </is>
      </c>
    </row>
    <row r="126">
      <c r="B126" s="7" t="inlineStr">
        <is>
          <t xml:space="preserve">  ↳ Spore_AA</t>
        </is>
      </c>
      <c r="C126" s="7" t="inlineStr">
        <is>
          <t>Armament@spore</t>
        </is>
      </c>
      <c r="L126" s="6" t="n">
        <v>36000</v>
      </c>
      <c r="M126" s="6" t="n">
        <v>34</v>
      </c>
      <c r="N126" s="6" t="n">
        <v>1</v>
      </c>
      <c r="O126" s="6" t="n"/>
      <c r="P126" s="6" t="n">
        <v>10160</v>
      </c>
      <c r="Q126" s="6" t="n">
        <v>1</v>
      </c>
      <c r="R126">
        <f>M126+IF(MAX(N126-1,0)&gt;0,IF(ISBLANK(O126),5*MAX(N126-1,0),IF(ISNUMBER(O126),O126*MAX(N126-1,0),SUM(IFERROR(VALUE(TEXTSPLIT(O126,",")),0)))),0)</f>
        <v/>
      </c>
      <c r="S126">
        <f>IFERROR(L126*MAX(N126,1)/R126*IF(ISBLANK(K124),1,K124),0)</f>
        <v/>
      </c>
      <c r="AB126" s="7" t="inlineStr">
        <is>
          <t>^MediumMissile, ^Chaingun, ^FlakWeapon</t>
        </is>
      </c>
    </row>
    <row r="127">
      <c r="A127" t="inlineStr">
        <is>
          <t>starcraft</t>
        </is>
      </c>
      <c r="B127" t="inlineStr">
        <is>
          <t>zerg_sporecolony</t>
        </is>
      </c>
      <c r="C127" t="inlineStr">
        <is>
          <t>Spore Colony</t>
        </is>
      </c>
      <c r="D127" s="6" t="inlineStr">
        <is>
          <t>BasicDefense</t>
        </is>
      </c>
      <c r="E127" s="6" t="n">
        <v>80000</v>
      </c>
      <c r="F127" t="n">
        <v>100</v>
      </c>
      <c r="G127" t="inlineStr">
        <is>
          <t>Wood</t>
        </is>
      </c>
      <c r="H127" s="6" t="n">
        <v>1</v>
      </c>
      <c r="I127" s="6" t="n">
        <v>1</v>
      </c>
      <c r="J127" s="6" t="n">
        <v>1</v>
      </c>
      <c r="P127">
        <f>MAX(P128,P129)</f>
        <v/>
      </c>
      <c r="S127">
        <f>S128+S129</f>
        <v/>
      </c>
      <c r="T127">
        <f>(E127/100000+F127/100+(P127/1000)*J127/5+S127/200)*200*I127*H127</f>
        <v/>
      </c>
      <c r="U127">
        <f>((E127*F127/25000)+((P127/1000)*J127*S127/2.5))*I127*H127</f>
        <v/>
      </c>
      <c r="V127">
        <f>(E127*F127*(P127/1000)*J127*S127*I127*H127)/12500000</f>
        <v/>
      </c>
      <c r="W127">
        <f>(T127+U127+V127)/3</f>
        <v/>
      </c>
      <c r="X127" s="6" t="n">
        <v>1250</v>
      </c>
      <c r="Y127">
        <f>IFERROR(W127-X127,"")</f>
        <v/>
      </c>
      <c r="Z127">
        <f>IFERROR(ABS(Y127)/MAX(X127,1),"")</f>
        <v/>
      </c>
      <c r="AA127">
        <f>IFERROR((X127-(((E127/100000+F127/100+S127/200)*200*I127*H127)+((E127*F127/25000)*I127*H127))/3)/(((J127/5)*200*I127*H127)+((J127*S127/2.5)*I127*H127)+((E127*F127*J127*S127*I127*H127)/12500000))/3*1000,"")</f>
        <v/>
      </c>
    </row>
    <row r="128">
      <c r="B128" s="7" t="inlineStr">
        <is>
          <t xml:space="preserve">  ↳ Tentacle</t>
        </is>
      </c>
      <c r="C128" s="7" t="inlineStr">
        <is>
          <t>Armament@sunken</t>
        </is>
      </c>
      <c r="L128" s="6" t="n">
        <v>24000</v>
      </c>
      <c r="M128" s="6" t="n">
        <v>32</v>
      </c>
      <c r="N128" s="6" t="n">
        <v>1</v>
      </c>
      <c r="O128" s="6" t="n"/>
      <c r="P128" s="6" t="n">
        <v>7680</v>
      </c>
      <c r="Q128" s="6" t="n">
        <v>1.25</v>
      </c>
      <c r="R128">
        <f>M128+IF(MAX(N128-1,0)&gt;0,IF(ISBLANK(O128),5*MAX(N128-1,0),IF(ISNUMBER(O128),O128*MAX(N128-1,0),SUM(IFERROR(VALUE(TEXTSPLIT(O128,",")),0)))),0)</f>
        <v/>
      </c>
      <c r="S128">
        <f>IFERROR(L128*MAX(N128,1)/R128*IF(ISBLANK(K127),1,K127),0)</f>
        <v/>
      </c>
      <c r="AB128" s="7" t="inlineStr">
        <is>
          <t>^Warhead_CannonHE_Heavy</t>
        </is>
      </c>
    </row>
    <row r="129">
      <c r="B129" s="7" t="inlineStr">
        <is>
          <t xml:space="preserve">  ↳ Spore_AA</t>
        </is>
      </c>
      <c r="C129" s="7" t="inlineStr">
        <is>
          <t>Armament@spore</t>
        </is>
      </c>
      <c r="L129" s="6" t="n">
        <v>36000</v>
      </c>
      <c r="M129" s="6" t="n">
        <v>34</v>
      </c>
      <c r="N129" s="6" t="n">
        <v>1</v>
      </c>
      <c r="O129" s="6" t="n"/>
      <c r="P129" s="6" t="n">
        <v>10160</v>
      </c>
      <c r="Q129" s="6" t="n">
        <v>1</v>
      </c>
      <c r="R129">
        <f>M129+IF(MAX(N129-1,0)&gt;0,IF(ISBLANK(O129),5*MAX(N129-1,0),IF(ISNUMBER(O129),O129*MAX(N129-1,0),SUM(IFERROR(VALUE(TEXTSPLIT(O129,",")),0)))),0)</f>
        <v/>
      </c>
      <c r="S129">
        <f>IFERROR(L129*MAX(N129,1)/R129*IF(ISBLANK(K127),1,K127),0)</f>
        <v/>
      </c>
      <c r="AB129" s="7" t="inlineStr">
        <is>
          <t>^MediumMissile, ^Chaingun, ^FlakWeapon</t>
        </is>
      </c>
    </row>
    <row r="130">
      <c r="A130" t="inlineStr">
        <is>
          <t>starcraft</t>
        </is>
      </c>
      <c r="B130" t="inlineStr">
        <is>
          <t>zerg_sunkencolony_defense</t>
        </is>
      </c>
      <c r="C130" t="inlineStr">
        <is>
          <t>Sunken Colony</t>
        </is>
      </c>
      <c r="D130" s="6" t="inlineStr">
        <is>
          <t>BasicDefense</t>
        </is>
      </c>
      <c r="E130" s="6" t="n">
        <v>80000</v>
      </c>
      <c r="F130" t="n">
        <v>100</v>
      </c>
      <c r="G130" t="inlineStr">
        <is>
          <t>Wood</t>
        </is>
      </c>
      <c r="H130" s="6" t="n">
        <v>1</v>
      </c>
      <c r="I130" s="6" t="n">
        <v>1</v>
      </c>
      <c r="J130" s="6" t="n">
        <v>1</v>
      </c>
      <c r="P130">
        <f>MAX(P131,P132)</f>
        <v/>
      </c>
      <c r="S130">
        <f>S131+S132</f>
        <v/>
      </c>
      <c r="T130">
        <f>(E130/100000+F130/100+(P130/1000)*J130/5+S130/200)*200*I130*H130</f>
        <v/>
      </c>
      <c r="U130">
        <f>((E130*F130/25000)+((P130/1000)*J130*S130/2.5))*I130*H130</f>
        <v/>
      </c>
      <c r="V130">
        <f>(E130*F130*(P130/1000)*J130*S130*I130*H130)/12500000</f>
        <v/>
      </c>
      <c r="W130">
        <f>(T130+U130+V130)/3</f>
        <v/>
      </c>
      <c r="X130" s="6" t="n">
        <v>1250</v>
      </c>
      <c r="Y130">
        <f>IFERROR(W130-X130,"")</f>
        <v/>
      </c>
      <c r="Z130">
        <f>IFERROR(ABS(Y130)/MAX(X130,1),"")</f>
        <v/>
      </c>
      <c r="AA130">
        <f>IFERROR((X130-(((E130/100000+F130/100+S130/200)*200*I130*H130)+((E130*F130/25000)*I130*H130))/3)/(((J130/5)*200*I130*H130)+((J130*S130/2.5)*I130*H130)+((E130*F130*J130*S130*I130*H130)/12500000))/3*1000,"")</f>
        <v/>
      </c>
    </row>
    <row r="131">
      <c r="B131" s="7" t="inlineStr">
        <is>
          <t xml:space="preserve">  ↳ Tentacle</t>
        </is>
      </c>
      <c r="C131" s="7" t="inlineStr">
        <is>
          <t>Armament@sunken</t>
        </is>
      </c>
      <c r="L131" s="6" t="n">
        <v>24000</v>
      </c>
      <c r="M131" s="6" t="n">
        <v>32</v>
      </c>
      <c r="N131" s="6" t="n">
        <v>1</v>
      </c>
      <c r="O131" s="6" t="n"/>
      <c r="P131" s="6" t="n">
        <v>7680</v>
      </c>
      <c r="Q131" s="6" t="n">
        <v>1.25</v>
      </c>
      <c r="R131">
        <f>M131+IF(MAX(N131-1,0)&gt;0,IF(ISBLANK(O131),5*MAX(N131-1,0),IF(ISNUMBER(O131),O131*MAX(N131-1,0),SUM(IFERROR(VALUE(TEXTSPLIT(O131,",")),0)))),0)</f>
        <v/>
      </c>
      <c r="S131">
        <f>IFERROR(L131*MAX(N131,1)/R131*IF(ISBLANK(K130),1,K130),0)</f>
        <v/>
      </c>
      <c r="AB131" s="7" t="inlineStr">
        <is>
          <t>^Warhead_CannonHE_Heavy</t>
        </is>
      </c>
    </row>
    <row r="132">
      <c r="B132" s="7" t="inlineStr">
        <is>
          <t xml:space="preserve">  ↳ Spore_AA</t>
        </is>
      </c>
      <c r="C132" s="7" t="inlineStr">
        <is>
          <t>Armament@spore</t>
        </is>
      </c>
      <c r="L132" s="6" t="n">
        <v>36000</v>
      </c>
      <c r="M132" s="6" t="n">
        <v>34</v>
      </c>
      <c r="N132" s="6" t="n">
        <v>1</v>
      </c>
      <c r="O132" s="6" t="n"/>
      <c r="P132" s="6" t="n">
        <v>10160</v>
      </c>
      <c r="Q132" s="6" t="n">
        <v>1</v>
      </c>
      <c r="R132">
        <f>M132+IF(MAX(N132-1,0)&gt;0,IF(ISBLANK(O132),5*MAX(N132-1,0),IF(ISNUMBER(O132),O132*MAX(N132-1,0),SUM(IFERROR(VALUE(TEXTSPLIT(O132,",")),0)))),0)</f>
        <v/>
      </c>
      <c r="S132">
        <f>IFERROR(L132*MAX(N132,1)/R132*IF(ISBLANK(K130),1,K130),0)</f>
        <v/>
      </c>
      <c r="AB132" s="7" t="inlineStr">
        <is>
          <t>^MediumMissile, ^Chaingun, ^FlakWeapon</t>
        </is>
      </c>
    </row>
    <row r="133">
      <c r="A133" t="inlineStr">
        <is>
          <t>warcraft2</t>
        </is>
      </c>
      <c r="B133" t="inlineStr">
        <is>
          <t>wc2_orcs_cannontower</t>
        </is>
      </c>
      <c r="C133" t="inlineStr">
        <is>
          <t>Cannon Tower</t>
        </is>
      </c>
      <c r="D133" s="6" t="inlineStr">
        <is>
          <t>BasicDefense</t>
        </is>
      </c>
      <c r="E133" s="6" t="n">
        <v>100000</v>
      </c>
      <c r="F133" t="n">
        <v>100</v>
      </c>
      <c r="G133" t="inlineStr">
        <is>
          <t>Wood</t>
        </is>
      </c>
      <c r="H133" s="6" t="n">
        <v>1</v>
      </c>
      <c r="I133" s="6" t="n">
        <v>1</v>
      </c>
      <c r="J133" s="6" t="n">
        <v>1</v>
      </c>
      <c r="P133">
        <f>MAX(P134,P135)</f>
        <v/>
      </c>
      <c r="S133">
        <f>S134+S135</f>
        <v/>
      </c>
      <c r="T133">
        <f>(E133/100000+F133/100+(P133/1000)*J133/5+S133/200)*200*I133*H133</f>
        <v/>
      </c>
      <c r="U133">
        <f>((E133*F133/25000)+((P133/1000)*J133*S133/2.5))*I133*H133</f>
        <v/>
      </c>
      <c r="V133">
        <f>(E133*F133*(P133/1000)*J133*S133*I133*H133)/12500000</f>
        <v/>
      </c>
      <c r="W133">
        <f>(T133+U133+V133)/3</f>
        <v/>
      </c>
      <c r="X133" s="6" t="n">
        <v>1600</v>
      </c>
      <c r="Y133">
        <f>IFERROR(W133-X133,"")</f>
        <v/>
      </c>
      <c r="Z133">
        <f>IFERROR(ABS(Y133)/MAX(X133,1),"")</f>
        <v/>
      </c>
      <c r="AA133">
        <f>IFERROR((X133-(((E133/100000+F133/100+S133/200)*200*I133*H133)+((E133*F133/25000)*I133*H133))/3)/(((J133/5)*200*I133*H133)+((J133*S133/2.5)*I133*H133)+((E133*F133*J133*S133*I133*H133)/12500000))/3*1000,"")</f>
        <v/>
      </c>
    </row>
    <row r="134">
      <c r="B134" s="7" t="inlineStr">
        <is>
          <t xml:space="preserve">  ↳ wc2_tower_arrow</t>
        </is>
      </c>
      <c r="C134" s="7" t="inlineStr">
        <is>
          <t>Armament@guard</t>
        </is>
      </c>
      <c r="L134" s="6" t="n">
        <v>18000</v>
      </c>
      <c r="M134" s="6" t="n">
        <v>34</v>
      </c>
      <c r="N134" s="6" t="n">
        <v>1</v>
      </c>
      <c r="O134" s="6" t="n"/>
      <c r="P134" s="6" t="n">
        <v>8750</v>
      </c>
      <c r="Q134" s="6" t="n">
        <v>1</v>
      </c>
      <c r="R134">
        <f>M134+IF(MAX(N134-1,0)&gt;0,IF(ISBLANK(O134),5*MAX(N134-1,0),IF(ISNUMBER(O134),O134*MAX(N134-1,0),SUM(IFERROR(VALUE(TEXTSPLIT(O134,",")),0)))),0)</f>
        <v/>
      </c>
      <c r="S134">
        <f>IFERROR(L134*MAX(N134,1)/R134*IF(ISBLANK(K133),1,K133),0)</f>
        <v/>
      </c>
      <c r="AB134" s="7" t="inlineStr">
        <is>
          <t>^RailgunWeapon, ^Chaingun, ^ArrowWeapon</t>
        </is>
      </c>
    </row>
    <row r="135">
      <c r="B135" s="7" t="inlineStr">
        <is>
          <t xml:space="preserve">  ↳ wc2cannontowerFire</t>
        </is>
      </c>
      <c r="C135" s="7" t="inlineStr">
        <is>
          <t>Armament@cannon</t>
        </is>
      </c>
      <c r="L135" s="6" t="n">
        <v>60000</v>
      </c>
      <c r="M135" s="6" t="n">
        <v>90</v>
      </c>
      <c r="N135" s="6" t="n">
        <v>1</v>
      </c>
      <c r="O135" s="6" t="n"/>
      <c r="P135" s="6" t="n">
        <v>10500</v>
      </c>
      <c r="Q135" s="6" t="n">
        <v>1.25</v>
      </c>
      <c r="R135">
        <f>M135+IF(MAX(N135-1,0)&gt;0,IF(ISBLANK(O135),5*MAX(N135-1,0),IF(ISNUMBER(O135),O135*MAX(N135-1,0),SUM(IFERROR(VALUE(TEXTSPLIT(O135,",")),0)))),0)</f>
        <v/>
      </c>
      <c r="S135">
        <f>IFERROR(L135*MAX(N135,1)/R135*IF(ISBLANK(K133),1,K133),0)</f>
        <v/>
      </c>
      <c r="AB135" s="7" t="inlineStr">
        <is>
          <t>^Warhead_CannonHE_Heavy</t>
        </is>
      </c>
    </row>
    <row r="136">
      <c r="A136" t="inlineStr">
        <is>
          <t>warcraft2</t>
        </is>
      </c>
      <c r="B136" t="inlineStr">
        <is>
          <t>wc2_orcs_guardtower</t>
        </is>
      </c>
      <c r="C136" t="inlineStr">
        <is>
          <t>Guard Tower</t>
        </is>
      </c>
      <c r="D136" s="6" t="inlineStr">
        <is>
          <t>BasicDefense</t>
        </is>
      </c>
      <c r="E136" s="6" t="n">
        <v>100000</v>
      </c>
      <c r="F136" t="n">
        <v>100</v>
      </c>
      <c r="G136" t="inlineStr">
        <is>
          <t>Wood</t>
        </is>
      </c>
      <c r="H136" s="6" t="n">
        <v>1</v>
      </c>
      <c r="I136" s="6" t="n">
        <v>1</v>
      </c>
      <c r="J136" s="6" t="n">
        <v>1</v>
      </c>
      <c r="P136">
        <f>MAX(P137,P138)</f>
        <v/>
      </c>
      <c r="S136">
        <f>S137+S138</f>
        <v/>
      </c>
      <c r="T136">
        <f>(E136/100000+F136/100+(P136/1000)*J136/5+S136/200)*200*I136*H136</f>
        <v/>
      </c>
      <c r="U136">
        <f>((E136*F136/25000)+((P136/1000)*J136*S136/2.5))*I136*H136</f>
        <v/>
      </c>
      <c r="V136">
        <f>(E136*F136*(P136/1000)*J136*S136*I136*H136)/12500000</f>
        <v/>
      </c>
      <c r="W136">
        <f>(T136+U136+V136)/3</f>
        <v/>
      </c>
      <c r="X136" s="6" t="n">
        <v>1600</v>
      </c>
      <c r="Y136">
        <f>IFERROR(W136-X136,"")</f>
        <v/>
      </c>
      <c r="Z136">
        <f>IFERROR(ABS(Y136)/MAX(X136,1),"")</f>
        <v/>
      </c>
      <c r="AA136">
        <f>IFERROR((X136-(((E136/100000+F136/100+S136/200)*200*I136*H136)+((E136*F136/25000)*I136*H136))/3)/(((J136/5)*200*I136*H136)+((J136*S136/2.5)*I136*H136)+((E136*F136*J136*S136*I136*H136)/12500000))/3*1000,"")</f>
        <v/>
      </c>
    </row>
    <row r="137">
      <c r="B137" s="7" t="inlineStr">
        <is>
          <t xml:space="preserve">  ↳ wc2_tower_arrow</t>
        </is>
      </c>
      <c r="C137" s="7" t="inlineStr">
        <is>
          <t>Armament@guard</t>
        </is>
      </c>
      <c r="L137" s="6" t="n">
        <v>18000</v>
      </c>
      <c r="M137" s="6" t="n">
        <v>34</v>
      </c>
      <c r="N137" s="6" t="n">
        <v>1</v>
      </c>
      <c r="O137" s="6" t="n"/>
      <c r="P137" s="6" t="n">
        <v>8750</v>
      </c>
      <c r="Q137" s="6" t="n">
        <v>1</v>
      </c>
      <c r="R137">
        <f>M137+IF(MAX(N137-1,0)&gt;0,IF(ISBLANK(O137),5*MAX(N137-1,0),IF(ISNUMBER(O137),O137*MAX(N137-1,0),SUM(IFERROR(VALUE(TEXTSPLIT(O137,",")),0)))),0)</f>
        <v/>
      </c>
      <c r="S137">
        <f>IFERROR(L137*MAX(N137,1)/R137*IF(ISBLANK(K136),1,K136),0)</f>
        <v/>
      </c>
      <c r="AB137" s="7" t="inlineStr">
        <is>
          <t>^RailgunWeapon, ^Chaingun, ^ArrowWeapon</t>
        </is>
      </c>
    </row>
    <row r="138">
      <c r="B138" s="7" t="inlineStr">
        <is>
          <t xml:space="preserve">  ↳ wc2cannontowerFire</t>
        </is>
      </c>
      <c r="C138" s="7" t="inlineStr">
        <is>
          <t>Armament@cannon</t>
        </is>
      </c>
      <c r="L138" s="6" t="n">
        <v>60000</v>
      </c>
      <c r="M138" s="6" t="n">
        <v>90</v>
      </c>
      <c r="N138" s="6" t="n">
        <v>1</v>
      </c>
      <c r="O138" s="6" t="n"/>
      <c r="P138" s="6" t="n">
        <v>10500</v>
      </c>
      <c r="Q138" s="6" t="n">
        <v>1.25</v>
      </c>
      <c r="R138">
        <f>M138+IF(MAX(N138-1,0)&gt;0,IF(ISBLANK(O138),5*MAX(N138-1,0),IF(ISNUMBER(O138),O138*MAX(N138-1,0),SUM(IFERROR(VALUE(TEXTSPLIT(O138,",")),0)))),0)</f>
        <v/>
      </c>
      <c r="S138">
        <f>IFERROR(L138*MAX(N138,1)/R138*IF(ISBLANK(K136),1,K136),0)</f>
        <v/>
      </c>
      <c r="AB138" s="7" t="inlineStr">
        <is>
          <t>^Warhead_CannonHE_Heavy</t>
        </is>
      </c>
    </row>
    <row r="139">
      <c r="A139" t="inlineStr">
        <is>
          <t>warcraft2</t>
        </is>
      </c>
      <c r="B139" t="inlineStr">
        <is>
          <t>wc2_orcs_orcwatchtower</t>
        </is>
      </c>
      <c r="C139" t="inlineStr">
        <is>
          <t>Orc Watch Tower</t>
        </is>
      </c>
      <c r="D139" s="6" t="inlineStr">
        <is>
          <t>BasicDefense</t>
        </is>
      </c>
      <c r="E139" s="6" t="n">
        <v>100000</v>
      </c>
      <c r="F139" t="n">
        <v>100</v>
      </c>
      <c r="G139" t="inlineStr">
        <is>
          <t>Wood</t>
        </is>
      </c>
      <c r="H139" s="6" t="n">
        <v>1</v>
      </c>
      <c r="I139" s="6" t="n">
        <v>1</v>
      </c>
      <c r="J139" s="6" t="n">
        <v>1</v>
      </c>
      <c r="P139">
        <f>MAX(P140,P141)</f>
        <v/>
      </c>
      <c r="S139">
        <f>S140+S141</f>
        <v/>
      </c>
      <c r="T139">
        <f>(E139/100000+F139/100+(P139/1000)*J139/5+S139/200)*200*I139*H139</f>
        <v/>
      </c>
      <c r="U139">
        <f>((E139*F139/25000)+((P139/1000)*J139*S139/2.5))*I139*H139</f>
        <v/>
      </c>
      <c r="V139">
        <f>(E139*F139*(P139/1000)*J139*S139*I139*H139)/12500000</f>
        <v/>
      </c>
      <c r="W139">
        <f>(T139+U139+V139)/3</f>
        <v/>
      </c>
      <c r="X139" s="6" t="n">
        <v>1200</v>
      </c>
      <c r="Y139">
        <f>IFERROR(W139-X139,"")</f>
        <v/>
      </c>
      <c r="Z139">
        <f>IFERROR(ABS(Y139)/MAX(X139,1),"")</f>
        <v/>
      </c>
      <c r="AA139">
        <f>IFERROR((X139-(((E139/100000+F139/100+S139/200)*200*I139*H139)+((E139*F139/25000)*I139*H139))/3)/(((J139/5)*200*I139*H139)+((J139*S139/2.5)*I139*H139)+((E139*F139*J139*S139*I139*H139)/12500000))/3*1000,"")</f>
        <v/>
      </c>
    </row>
    <row r="140">
      <c r="B140" s="7" t="inlineStr">
        <is>
          <t xml:space="preserve">  ↳ wc2_tower_arrow</t>
        </is>
      </c>
      <c r="C140" s="7" t="inlineStr">
        <is>
          <t>Armament@guard</t>
        </is>
      </c>
      <c r="L140" s="6" t="n">
        <v>18000</v>
      </c>
      <c r="M140" s="6" t="n">
        <v>34</v>
      </c>
      <c r="N140" s="6" t="n">
        <v>1</v>
      </c>
      <c r="O140" s="6" t="n"/>
      <c r="P140" s="6" t="n">
        <v>8750</v>
      </c>
      <c r="Q140" s="6" t="n">
        <v>1</v>
      </c>
      <c r="R140">
        <f>M140+IF(MAX(N140-1,0)&gt;0,IF(ISBLANK(O140),5*MAX(N140-1,0),IF(ISNUMBER(O140),O140*MAX(N140-1,0),SUM(IFERROR(VALUE(TEXTSPLIT(O140,",")),0)))),0)</f>
        <v/>
      </c>
      <c r="S140">
        <f>IFERROR(L140*MAX(N140,1)/R140*IF(ISBLANK(K139),1,K139),0)</f>
        <v/>
      </c>
      <c r="AB140" s="7" t="inlineStr">
        <is>
          <t>^RailgunWeapon, ^Chaingun, ^ArrowWeapon</t>
        </is>
      </c>
    </row>
    <row r="141">
      <c r="B141" s="7" t="inlineStr">
        <is>
          <t xml:space="preserve">  ↳ wc2cannontowerFire</t>
        </is>
      </c>
      <c r="C141" s="7" t="inlineStr">
        <is>
          <t>Armament@cannon</t>
        </is>
      </c>
      <c r="L141" s="6" t="n">
        <v>60000</v>
      </c>
      <c r="M141" s="6" t="n">
        <v>90</v>
      </c>
      <c r="N141" s="6" t="n">
        <v>1</v>
      </c>
      <c r="O141" s="6" t="n"/>
      <c r="P141" s="6" t="n">
        <v>10500</v>
      </c>
      <c r="Q141" s="6" t="n">
        <v>1.25</v>
      </c>
      <c r="R141">
        <f>M141+IF(MAX(N141-1,0)&gt;0,IF(ISBLANK(O141),5*MAX(N141-1,0),IF(ISNUMBER(O141),O141*MAX(N141-1,0),SUM(IFERROR(VALUE(TEXTSPLIT(O141,",")),0)))),0)</f>
        <v/>
      </c>
      <c r="S141">
        <f>IFERROR(L141*MAX(N141,1)/R141*IF(ISBLANK(K139),1,K139),0)</f>
        <v/>
      </c>
      <c r="AB141" s="7" t="inlineStr">
        <is>
          <t>^Warhead_CannonHE_Heavy</t>
        </is>
      </c>
    </row>
    <row r="142">
      <c r="A142" t="inlineStr">
        <is>
          <t>warcraft2</t>
        </is>
      </c>
      <c r="B142" t="inlineStr">
        <is>
          <t>wc2_humans_cannontower</t>
        </is>
      </c>
      <c r="C142" t="inlineStr">
        <is>
          <t>Cannon Tower</t>
        </is>
      </c>
      <c r="D142" s="6" t="inlineStr">
        <is>
          <t>BasicDefense</t>
        </is>
      </c>
      <c r="E142" s="6" t="n">
        <v>100000</v>
      </c>
      <c r="F142" t="n">
        <v>100</v>
      </c>
      <c r="G142" t="inlineStr">
        <is>
          <t>Wood</t>
        </is>
      </c>
      <c r="H142" s="6" t="n">
        <v>0.9762999999999999</v>
      </c>
      <c r="I142" s="6" t="n">
        <v>1</v>
      </c>
      <c r="J142" s="6" t="n">
        <v>1</v>
      </c>
      <c r="P142">
        <f>MAX(P143,P144)</f>
        <v/>
      </c>
      <c r="S142">
        <f>S143+S144</f>
        <v/>
      </c>
      <c r="T142">
        <f>(E142/100000+F142/100+(P142/1000)*J142/5+S142/200)*200*I142*H142</f>
        <v/>
      </c>
      <c r="U142">
        <f>((E142*F142/25000)+((P142/1000)*J142*S142/2.5))*I142*H142</f>
        <v/>
      </c>
      <c r="V142">
        <f>(E142*F142*(P142/1000)*J142*S142*I142*H142)/12500000</f>
        <v/>
      </c>
      <c r="W142">
        <f>(T142+U142+V142)/3</f>
        <v/>
      </c>
      <c r="X142" s="6" t="n">
        <v>1500</v>
      </c>
      <c r="Y142">
        <f>IFERROR(W142-X142,"")</f>
        <v/>
      </c>
      <c r="Z142">
        <f>IFERROR(ABS(Y142)/MAX(X142,1),"")</f>
        <v/>
      </c>
      <c r="AA142">
        <f>IFERROR((X142-(((E142/100000+F142/100+S142/200)*200*I142*H142)+((E142*F142/25000)*I142*H142))/3)/(((J142/5)*200*I142*H142)+((J142*S142/2.5)*I142*H142)+((E142*F142*J142*S142*I142*H142)/12500000))/3*1000,"")</f>
        <v/>
      </c>
    </row>
    <row r="143">
      <c r="B143" s="7" t="inlineStr">
        <is>
          <t xml:space="preserve">  ↳ wc2_tower_arrow</t>
        </is>
      </c>
      <c r="C143" s="7" t="inlineStr">
        <is>
          <t>Armament@guard</t>
        </is>
      </c>
      <c r="L143" s="6" t="n">
        <v>18000</v>
      </c>
      <c r="M143" s="6" t="n">
        <v>34</v>
      </c>
      <c r="N143" s="6" t="n">
        <v>1</v>
      </c>
      <c r="O143" s="6" t="n"/>
      <c r="P143" s="6" t="n">
        <v>8750</v>
      </c>
      <c r="Q143" s="6" t="n">
        <v>1</v>
      </c>
      <c r="R143">
        <f>M143+IF(MAX(N143-1,0)&gt;0,IF(ISBLANK(O143),5*MAX(N143-1,0),IF(ISNUMBER(O143),O143*MAX(N143-1,0),SUM(IFERROR(VALUE(TEXTSPLIT(O143,",")),0)))),0)</f>
        <v/>
      </c>
      <c r="S143">
        <f>IFERROR(L143*MAX(N143,1)/R143*IF(ISBLANK(K142),1,K142),0)</f>
        <v/>
      </c>
      <c r="AB143" s="7" t="inlineStr">
        <is>
          <t>^RailgunWeapon, ^Chaingun, ^ArrowWeapon</t>
        </is>
      </c>
    </row>
    <row r="144">
      <c r="B144" s="7" t="inlineStr">
        <is>
          <t xml:space="preserve">  ↳ wc2cannontowerFire</t>
        </is>
      </c>
      <c r="C144" s="7" t="inlineStr">
        <is>
          <t>Armament@cannon</t>
        </is>
      </c>
      <c r="L144" s="6" t="n">
        <v>60000</v>
      </c>
      <c r="M144" s="6" t="n">
        <v>90</v>
      </c>
      <c r="N144" s="6" t="n">
        <v>1</v>
      </c>
      <c r="O144" s="6" t="n"/>
      <c r="P144" s="6" t="n">
        <v>10500</v>
      </c>
      <c r="Q144" s="6" t="n">
        <v>1.25</v>
      </c>
      <c r="R144">
        <f>M144+IF(MAX(N144-1,0)&gt;0,IF(ISBLANK(O144),5*MAX(N144-1,0),IF(ISNUMBER(O144),O144*MAX(N144-1,0),SUM(IFERROR(VALUE(TEXTSPLIT(O144,",")),0)))),0)</f>
        <v/>
      </c>
      <c r="S144">
        <f>IFERROR(L144*MAX(N144,1)/R144*IF(ISBLANK(K142),1,K142),0)</f>
        <v/>
      </c>
      <c r="AB144" s="7" t="inlineStr">
        <is>
          <t>^Warhead_CannonHE_Heavy</t>
        </is>
      </c>
    </row>
    <row r="145">
      <c r="A145" t="inlineStr">
        <is>
          <t>warcraft2</t>
        </is>
      </c>
      <c r="B145" t="inlineStr">
        <is>
          <t>wc2_humans_guardtower</t>
        </is>
      </c>
      <c r="C145" t="inlineStr">
        <is>
          <t>Guard Tower</t>
        </is>
      </c>
      <c r="D145" s="6" t="inlineStr">
        <is>
          <t>BasicDefense</t>
        </is>
      </c>
      <c r="E145" s="6" t="n">
        <v>100000</v>
      </c>
      <c r="F145" t="n">
        <v>100</v>
      </c>
      <c r="G145" t="inlineStr">
        <is>
          <t>Wood</t>
        </is>
      </c>
      <c r="H145" s="6" t="n">
        <v>1</v>
      </c>
      <c r="I145" s="6" t="n">
        <v>1</v>
      </c>
      <c r="J145" s="6" t="n">
        <v>1</v>
      </c>
      <c r="P145">
        <f>MAX(P146,P147)</f>
        <v/>
      </c>
      <c r="S145">
        <f>S146+S147</f>
        <v/>
      </c>
      <c r="T145">
        <f>(E145/100000+F145/100+(P145/1000)*J145/5+S145/200)*200*I145*H145</f>
        <v/>
      </c>
      <c r="U145">
        <f>((E145*F145/25000)+((P145/1000)*J145*S145/2.5))*I145*H145</f>
        <v/>
      </c>
      <c r="V145">
        <f>(E145*F145*(P145/1000)*J145*S145*I145*H145)/12500000</f>
        <v/>
      </c>
      <c r="W145">
        <f>(T145+U145+V145)/3</f>
        <v/>
      </c>
      <c r="X145" s="6" t="n">
        <v>1500</v>
      </c>
      <c r="Y145">
        <f>IFERROR(W145-X145,"")</f>
        <v/>
      </c>
      <c r="Z145">
        <f>IFERROR(ABS(Y145)/MAX(X145,1),"")</f>
        <v/>
      </c>
      <c r="AA145">
        <f>IFERROR((X145-(((E145/100000+F145/100+S145/200)*200*I145*H145)+((E145*F145/25000)*I145*H145))/3)/(((J145/5)*200*I145*H145)+((J145*S145/2.5)*I145*H145)+((E145*F145*J145*S145*I145*H145)/12500000))/3*1000,"")</f>
        <v/>
      </c>
    </row>
    <row r="146">
      <c r="B146" s="7" t="inlineStr">
        <is>
          <t xml:space="preserve">  ↳ wc2_tower_arrow</t>
        </is>
      </c>
      <c r="C146" s="7" t="inlineStr">
        <is>
          <t>Armament@guard</t>
        </is>
      </c>
      <c r="L146" s="6" t="n">
        <v>18000</v>
      </c>
      <c r="M146" s="6" t="n">
        <v>34</v>
      </c>
      <c r="N146" s="6" t="n">
        <v>1</v>
      </c>
      <c r="O146" s="6" t="n"/>
      <c r="P146" s="6" t="n">
        <v>8750</v>
      </c>
      <c r="Q146" s="6" t="n">
        <v>1</v>
      </c>
      <c r="R146">
        <f>M146+IF(MAX(N146-1,0)&gt;0,IF(ISBLANK(O146),5*MAX(N146-1,0),IF(ISNUMBER(O146),O146*MAX(N146-1,0),SUM(IFERROR(VALUE(TEXTSPLIT(O146,",")),0)))),0)</f>
        <v/>
      </c>
      <c r="S146">
        <f>IFERROR(L146*MAX(N146,1)/R146*IF(ISBLANK(K145),1,K145),0)</f>
        <v/>
      </c>
      <c r="AB146" s="7" t="inlineStr">
        <is>
          <t>^RailgunWeapon, ^Chaingun, ^ArrowWeapon</t>
        </is>
      </c>
    </row>
    <row r="147">
      <c r="B147" s="7" t="inlineStr">
        <is>
          <t xml:space="preserve">  ↳ wc2cannontowerFire</t>
        </is>
      </c>
      <c r="C147" s="7" t="inlineStr">
        <is>
          <t>Armament@cannon</t>
        </is>
      </c>
      <c r="L147" s="6" t="n">
        <v>60000</v>
      </c>
      <c r="M147" s="6" t="n">
        <v>90</v>
      </c>
      <c r="N147" s="6" t="n">
        <v>1</v>
      </c>
      <c r="O147" s="6" t="n"/>
      <c r="P147" s="6" t="n">
        <v>10500</v>
      </c>
      <c r="Q147" s="6" t="n">
        <v>1.25</v>
      </c>
      <c r="R147">
        <f>M147+IF(MAX(N147-1,0)&gt;0,IF(ISBLANK(O147),5*MAX(N147-1,0),IF(ISNUMBER(O147),O147*MAX(N147-1,0),SUM(IFERROR(VALUE(TEXTSPLIT(O147,",")),0)))),0)</f>
        <v/>
      </c>
      <c r="S147">
        <f>IFERROR(L147*MAX(N147,1)/R147*IF(ISBLANK(K145),1,K145),0)</f>
        <v/>
      </c>
      <c r="AB147" s="7" t="inlineStr">
        <is>
          <t>^Warhead_CannonHE_Heavy</t>
        </is>
      </c>
    </row>
    <row r="148">
      <c r="A148" t="inlineStr">
        <is>
          <t>warcraft2</t>
        </is>
      </c>
      <c r="B148" t="inlineStr">
        <is>
          <t>wc2_humans_humanscouttower</t>
        </is>
      </c>
      <c r="C148" t="inlineStr">
        <is>
          <t>Human Scout Tower</t>
        </is>
      </c>
      <c r="D148" s="6" t="inlineStr">
        <is>
          <t>BasicDefense</t>
        </is>
      </c>
      <c r="E148" s="6" t="n">
        <v>100000</v>
      </c>
      <c r="F148" t="n">
        <v>100</v>
      </c>
      <c r="G148" t="inlineStr">
        <is>
          <t>Wood</t>
        </is>
      </c>
      <c r="H148" s="6" t="n">
        <v>1</v>
      </c>
      <c r="I148" s="6" t="n">
        <v>1</v>
      </c>
      <c r="J148" s="6" t="n">
        <v>1</v>
      </c>
      <c r="P148">
        <f>MAX(P149,P150)</f>
        <v/>
      </c>
      <c r="S148">
        <f>S149+S150</f>
        <v/>
      </c>
      <c r="T148">
        <f>(E148/100000+F148/100+(P148/1000)*J148/5+S148/200)*200*I148*H148</f>
        <v/>
      </c>
      <c r="U148">
        <f>((E148*F148/25000)+((P148/1000)*J148*S148/2.5))*I148*H148</f>
        <v/>
      </c>
      <c r="V148">
        <f>(E148*F148*(P148/1000)*J148*S148*I148*H148)/12500000</f>
        <v/>
      </c>
      <c r="W148">
        <f>(T148+U148+V148)/3</f>
        <v/>
      </c>
      <c r="X148" s="6" t="n">
        <v>1200</v>
      </c>
      <c r="Y148">
        <f>IFERROR(W148-X148,"")</f>
        <v/>
      </c>
      <c r="Z148">
        <f>IFERROR(ABS(Y148)/MAX(X148,1),"")</f>
        <v/>
      </c>
      <c r="AA148">
        <f>IFERROR((X148-(((E148/100000+F148/100+S148/200)*200*I148*H148)+((E148*F148/25000)*I148*H148))/3)/(((J148/5)*200*I148*H148)+((J148*S148/2.5)*I148*H148)+((E148*F148*J148*S148*I148*H148)/12500000))/3*1000,"")</f>
        <v/>
      </c>
    </row>
    <row r="149">
      <c r="B149" s="7" t="inlineStr">
        <is>
          <t xml:space="preserve">  ↳ wc2_tower_arrow</t>
        </is>
      </c>
      <c r="C149" s="7" t="inlineStr">
        <is>
          <t>Armament@guard</t>
        </is>
      </c>
      <c r="L149" s="6" t="n">
        <v>18000</v>
      </c>
      <c r="M149" s="6" t="n">
        <v>34</v>
      </c>
      <c r="N149" s="6" t="n">
        <v>1</v>
      </c>
      <c r="O149" s="6" t="n"/>
      <c r="P149" s="6" t="n">
        <v>8750</v>
      </c>
      <c r="Q149" s="6" t="n">
        <v>1</v>
      </c>
      <c r="R149">
        <f>M149+IF(MAX(N149-1,0)&gt;0,IF(ISBLANK(O149),5*MAX(N149-1,0),IF(ISNUMBER(O149),O149*MAX(N149-1,0),SUM(IFERROR(VALUE(TEXTSPLIT(O149,",")),0)))),0)</f>
        <v/>
      </c>
      <c r="S149">
        <f>IFERROR(L149*MAX(N149,1)/R149*IF(ISBLANK(K148),1,K148),0)</f>
        <v/>
      </c>
      <c r="AB149" s="7" t="inlineStr">
        <is>
          <t>^RailgunWeapon, ^Chaingun, ^ArrowWeapon</t>
        </is>
      </c>
    </row>
    <row r="150">
      <c r="B150" s="7" t="inlineStr">
        <is>
          <t xml:space="preserve">  ↳ wc2cannontowerFire</t>
        </is>
      </c>
      <c r="C150" s="7" t="inlineStr">
        <is>
          <t>Armament@cannon</t>
        </is>
      </c>
      <c r="L150" s="6" t="n">
        <v>60000</v>
      </c>
      <c r="M150" s="6" t="n">
        <v>90</v>
      </c>
      <c r="N150" s="6" t="n">
        <v>1</v>
      </c>
      <c r="O150" s="6" t="n"/>
      <c r="P150" s="6" t="n">
        <v>10500</v>
      </c>
      <c r="Q150" s="6" t="n">
        <v>1.25</v>
      </c>
      <c r="R150">
        <f>M150+IF(MAX(N150-1,0)&gt;0,IF(ISBLANK(O150),5*MAX(N150-1,0),IF(ISNUMBER(O150),O150*MAX(N150-1,0),SUM(IFERROR(VALUE(TEXTSPLIT(O150,",")),0)))),0)</f>
        <v/>
      </c>
      <c r="S150">
        <f>IFERROR(L150*MAX(N150,1)/R150*IF(ISBLANK(K148),1,K148),0)</f>
        <v/>
      </c>
      <c r="AB150" s="7" t="inlineStr">
        <is>
          <t>^Warhead_CannonHE_Heavy</t>
        </is>
      </c>
    </row>
    <row r="151">
      <c r="A151" s="4" t="inlineStr">
        <is>
          <t>Bunker</t>
        </is>
      </c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</row>
    <row r="152">
      <c r="A152" t="inlineStr">
        <is>
          <t>redalert2</t>
        </is>
      </c>
      <c r="B152" t="inlineStr">
        <is>
          <t>ra2_soviets_battlebunker</t>
        </is>
      </c>
      <c r="C152" t="inlineStr">
        <is>
          <t>Battle Bunker</t>
        </is>
      </c>
      <c r="D152" s="6" t="inlineStr">
        <is>
          <t>Bunker</t>
        </is>
      </c>
      <c r="E152" s="6" t="n">
        <v>80000</v>
      </c>
      <c r="F152" t="n">
        <v>100</v>
      </c>
      <c r="G152" t="inlineStr">
        <is>
          <t>Steel</t>
        </is>
      </c>
      <c r="H152" s="6" t="n">
        <v>1</v>
      </c>
      <c r="I152" s="6" t="n">
        <v>1</v>
      </c>
      <c r="J152" s="6" t="n">
        <v>1</v>
      </c>
      <c r="X152" s="6" t="n">
        <v>800</v>
      </c>
    </row>
    <row r="153">
      <c r="A153" t="inlineStr">
        <is>
          <t>redalert2</t>
        </is>
      </c>
      <c r="B153" t="inlineStr">
        <is>
          <t>yuri_tankbunker</t>
        </is>
      </c>
      <c r="C153" t="inlineStr">
        <is>
          <t>Tank Bunker</t>
        </is>
      </c>
      <c r="D153" s="6" t="inlineStr">
        <is>
          <t>Bunker</t>
        </is>
      </c>
      <c r="E153" s="6" t="n">
        <v>100000</v>
      </c>
      <c r="F153" t="n">
        <v>100</v>
      </c>
      <c r="G153" t="inlineStr">
        <is>
          <t>Steel</t>
        </is>
      </c>
      <c r="H153" s="6" t="n">
        <v>0.9322</v>
      </c>
      <c r="I153" s="6" t="n">
        <v>1</v>
      </c>
      <c r="J153" s="6" t="n">
        <v>1</v>
      </c>
      <c r="X153" s="6" t="n">
        <v>1000</v>
      </c>
    </row>
    <row r="154">
      <c r="A154" t="inlineStr">
        <is>
          <t>redalert2mod</t>
        </is>
      </c>
      <c r="B154" t="inlineStr">
        <is>
          <t>latinsyndicate_bunkertower</t>
        </is>
      </c>
      <c r="C154" t="inlineStr">
        <is>
          <t>Bunker Tower</t>
        </is>
      </c>
      <c r="D154" s="6" t="inlineStr">
        <is>
          <t>Bunker</t>
        </is>
      </c>
      <c r="E154" s="6" t="n">
        <v>60000</v>
      </c>
      <c r="G154" t="inlineStr">
        <is>
          <t>Steel</t>
        </is>
      </c>
      <c r="H154" s="6" t="n">
        <v>1</v>
      </c>
      <c r="I154" s="6" t="n">
        <v>1</v>
      </c>
      <c r="J154" s="6" t="n">
        <v>1</v>
      </c>
      <c r="X154" s="6" t="n">
        <v>600</v>
      </c>
    </row>
    <row r="155">
      <c r="A155" t="inlineStr">
        <is>
          <t>redalert2mod</t>
        </is>
      </c>
      <c r="B155" t="inlineStr">
        <is>
          <t>naxis_naxibunker</t>
        </is>
      </c>
      <c r="C155" t="inlineStr">
        <is>
          <t>Naxi Bunker</t>
        </is>
      </c>
      <c r="D155" s="6" t="inlineStr">
        <is>
          <t>Bunker</t>
        </is>
      </c>
      <c r="E155" s="6" t="n">
        <v>90000</v>
      </c>
      <c r="G155" t="inlineStr">
        <is>
          <t>Steel</t>
        </is>
      </c>
      <c r="H155" s="6" t="n">
        <v>1</v>
      </c>
      <c r="I155" s="6" t="n">
        <v>1</v>
      </c>
      <c r="J155" s="6" t="n">
        <v>1</v>
      </c>
      <c r="X155" s="6" t="n">
        <v>1000</v>
      </c>
    </row>
    <row r="156">
      <c r="B156" s="7" t="inlineStr">
        <is>
          <t xml:space="preserve">  ↳ NaxGrilleArty</t>
        </is>
      </c>
      <c r="C156" s="7" t="inlineStr">
        <is>
          <t>Armament@mortar</t>
        </is>
      </c>
      <c r="L156" s="6" t="n">
        <v>48000</v>
      </c>
      <c r="M156" s="6" t="n">
        <v>111</v>
      </c>
      <c r="N156" s="6" t="n">
        <v>1</v>
      </c>
      <c r="O156" s="6" t="n"/>
      <c r="P156" s="6" t="n">
        <v>12345</v>
      </c>
      <c r="Q156" s="6" t="n">
        <v>1</v>
      </c>
      <c r="R156">
        <f>M156+IF(MAX(N156-1,0)&gt;0,IF(ISBLANK(O156),5*MAX(N156-1,0),IF(ISNUMBER(O156),O156*MAX(N156-1,0),SUM(IFERROR(VALUE(TEXTSPLIT(O156,",")),0)))),0)</f>
        <v/>
      </c>
      <c r="S156">
        <f>IFERROR(L156*MAX(N156,1)/R156*IF(ISBLANK(K155),1,K155),0)</f>
        <v/>
      </c>
      <c r="AB156" s="7" t="inlineStr">
        <is>
          <t>^Warhead_CannonHE_Heavy, ^Warhead_Concussion_Medium, ^Warhead_Demolition_Light</t>
        </is>
      </c>
    </row>
    <row r="157">
      <c r="B157" s="7" t="inlineStr">
        <is>
          <t xml:space="preserve">  ↳ NaxiWW2MachinegunTop</t>
        </is>
      </c>
      <c r="C157" s="7" t="inlineStr">
        <is>
          <t>Armament@mg</t>
        </is>
      </c>
      <c r="L157" s="6" t="n">
        <v>8000</v>
      </c>
      <c r="M157" s="6" t="n">
        <v>60</v>
      </c>
      <c r="N157" s="6" t="n">
        <v>6</v>
      </c>
      <c r="O157" s="6" t="n">
        <v>4</v>
      </c>
      <c r="P157" s="6" t="n">
        <v>7555</v>
      </c>
      <c r="Q157" s="6" t="n">
        <v>0.875</v>
      </c>
      <c r="R157">
        <f>M157+IF(MAX(N157-1,0)&gt;0,IF(ISBLANK(O157),5*MAX(N157-1,0),IF(ISNUMBER(O157),O157*MAX(N157-1,0),SUM(IFERROR(VALUE(TEXTSPLIT(O157,",")),0)))),0)</f>
        <v/>
      </c>
      <c r="S157">
        <f>IFERROR(L157*MAX(N157,1)/R157*IF(ISBLANK(K155),1,K155),0)</f>
        <v/>
      </c>
      <c r="AB157" s="7" t="inlineStr">
        <is>
          <t>^Warhead_Bullet_Light, ^Warhead_Bullet_Medium</t>
        </is>
      </c>
    </row>
    <row r="158">
      <c r="B158" s="7" t="inlineStr">
        <is>
          <t xml:space="preserve">  ↳ NaxQuadCannon_AA_elite</t>
        </is>
      </c>
      <c r="C158" s="7" t="inlineStr">
        <is>
          <t>Armament@aa</t>
        </is>
      </c>
      <c r="L158" s="6" t="n">
        <v>7000</v>
      </c>
      <c r="M158" s="6" t="n">
        <v>47</v>
      </c>
      <c r="N158" s="6" t="n">
        <v>8</v>
      </c>
      <c r="O158" s="6" t="n">
        <v>3</v>
      </c>
      <c r="P158" s="6" t="n">
        <v>9052</v>
      </c>
      <c r="Q158" s="6" t="n">
        <v>1</v>
      </c>
      <c r="R158">
        <f>M158+IF(MAX(N158-1,0)&gt;0,IF(ISBLANK(O158),5*MAX(N158-1,0),IF(ISNUMBER(O158),O158*MAX(N158-1,0),SUM(IFERROR(VALUE(TEXTSPLIT(O158,",")),0)))),0)</f>
        <v/>
      </c>
      <c r="S158">
        <f>IFERROR(L158*MAX(N158,1)/R158*IF(ISBLANK(K155),1,K155),0)</f>
        <v/>
      </c>
      <c r="AB158" s="7" t="inlineStr">
        <is>
          <t>^Warhead_Flak_Medium</t>
        </is>
      </c>
    </row>
    <row r="159">
      <c r="A159" t="inlineStr">
        <is>
          <t>redalert2mod</t>
        </is>
      </c>
      <c r="B159" t="inlineStr">
        <is>
          <t>tkm_bunker</t>
        </is>
      </c>
      <c r="C159" t="inlineStr">
        <is>
          <t>TKM Bunker</t>
        </is>
      </c>
      <c r="D159" s="6" t="inlineStr">
        <is>
          <t>Bunker</t>
        </is>
      </c>
      <c r="E159" s="6" t="n">
        <v>120000</v>
      </c>
      <c r="F159" t="n">
        <v>100</v>
      </c>
      <c r="G159" t="inlineStr">
        <is>
          <t>Steel</t>
        </is>
      </c>
      <c r="H159" s="6" t="n">
        <v>1</v>
      </c>
      <c r="I159" s="6" t="n">
        <v>1</v>
      </c>
      <c r="J159" s="6" t="n">
        <v>1</v>
      </c>
      <c r="P159">
        <f>MAX(P160,P161)</f>
        <v/>
      </c>
      <c r="S159">
        <f>S160+S161</f>
        <v/>
      </c>
      <c r="T159">
        <f>(E159/100000+F159/100+(P159/1000)*J159/5+S159/200)*200*I159*H159</f>
        <v/>
      </c>
      <c r="U159">
        <f>((E159*F159/25000)+((P159/1000)*J159*S159/2.5))*I159*H159</f>
        <v/>
      </c>
      <c r="V159">
        <f>(E159*F159*(P159/1000)*J159*S159*I159*H159)/12500000</f>
        <v/>
      </c>
      <c r="W159">
        <f>(T159+U159+V159)/3</f>
        <v/>
      </c>
      <c r="X159" s="6" t="n">
        <v>600</v>
      </c>
      <c r="Y159">
        <f>IFERROR(W159-X159,"")</f>
        <v/>
      </c>
      <c r="Z159">
        <f>IFERROR(ABS(Y159)/MAX(X159,1),"")</f>
        <v/>
      </c>
      <c r="AA159">
        <f>IFERROR((X159-(((E159/100000+F159/100+S159/200)*200*I159*H159)+((E159*F159/25000)*I159*H159))/3)/(((J159/5)*200*I159*H159)+((J159*S159/2.5)*I159*H159)+((E159*F159*J159*S159*I159*H159)/12500000))/3*1000,"")</f>
        <v/>
      </c>
    </row>
    <row r="160">
      <c r="B160" s="7" t="inlineStr">
        <is>
          <t xml:space="preserve">  ↳ tkmbunkmg</t>
        </is>
      </c>
      <c r="C160" s="7" t="inlineStr">
        <is>
          <t>Armament</t>
        </is>
      </c>
      <c r="L160" s="6" t="n">
        <v>4000</v>
      </c>
      <c r="M160" s="6" t="n">
        <v>41</v>
      </c>
      <c r="N160" s="6" t="n">
        <v>4</v>
      </c>
      <c r="O160" s="6" t="n">
        <v>3</v>
      </c>
      <c r="P160" s="6" t="n">
        <v>7496</v>
      </c>
      <c r="Q160" s="6" t="n">
        <v>0.875</v>
      </c>
      <c r="R160">
        <f>M160+IF(MAX(N160-1,0)&gt;0,IF(ISBLANK(O160),5*MAX(N160-1,0),IF(ISNUMBER(O160),O160*MAX(N160-1,0),SUM(IFERROR(VALUE(TEXTSPLIT(O160,",")),0)))),0)</f>
        <v/>
      </c>
      <c r="S160">
        <f>IFERROR(L160*MAX(N160,1)/R160*IF(ISBLANK(K159),1,K159),0)</f>
        <v/>
      </c>
      <c r="AB160" s="7" t="inlineStr">
        <is>
          <t>^Warhead_Bullet_Light, ^Warhead_Bullet_Medium</t>
        </is>
      </c>
    </row>
    <row r="161">
      <c r="B161" s="7" t="inlineStr">
        <is>
          <t xml:space="preserve">  ↳ HighVAP</t>
        </is>
      </c>
      <c r="C161" s="7" t="inlineStr">
        <is>
          <t>Armament@Upgrade</t>
        </is>
      </c>
      <c r="L161" s="6" t="n">
        <v>4000</v>
      </c>
      <c r="M161" s="6" t="n">
        <v>22</v>
      </c>
      <c r="N161" s="6" t="n">
        <v>4</v>
      </c>
      <c r="O161" s="6" t="n">
        <v>2</v>
      </c>
      <c r="P161" s="6" t="n">
        <v>6720</v>
      </c>
      <c r="Q161" s="6" t="n">
        <v>1</v>
      </c>
      <c r="R161">
        <f>M161+IF(MAX(N161-1,0)&gt;0,IF(ISBLANK(O161),5*MAX(N161-1,0),IF(ISNUMBER(O161),O161*MAX(N161-1,0),SUM(IFERROR(VALUE(TEXTSPLIT(O161,",")),0)))),0)</f>
        <v/>
      </c>
      <c r="S161">
        <f>IFERROR(L161*MAX(N161,1)/R161*IF(ISBLANK(K159),1,K159),0)</f>
        <v/>
      </c>
      <c r="AB161" s="7" t="inlineStr">
        <is>
          <t>^Warhead_Bullet_Medium</t>
        </is>
      </c>
    </row>
    <row r="162">
      <c r="A162" t="inlineStr">
        <is>
          <t>starcraft</t>
        </is>
      </c>
      <c r="B162" t="inlineStr">
        <is>
          <t>terran_bunker</t>
        </is>
      </c>
      <c r="C162" t="inlineStr">
        <is>
          <t>Bunker</t>
        </is>
      </c>
      <c r="D162" s="6" t="inlineStr">
        <is>
          <t>Bunker</t>
        </is>
      </c>
      <c r="E162" s="6" t="n">
        <v>240000</v>
      </c>
      <c r="F162" t="n">
        <v>100</v>
      </c>
      <c r="G162" t="inlineStr">
        <is>
          <t>Steel</t>
        </is>
      </c>
      <c r="H162" s="6" t="n">
        <v>1</v>
      </c>
      <c r="I162" s="6" t="n">
        <v>1</v>
      </c>
      <c r="J162" s="6" t="n">
        <v>1</v>
      </c>
      <c r="X162" s="6" t="n">
        <v>1200</v>
      </c>
    </row>
    <row r="163">
      <c r="A163" s="4" t="inlineStr">
        <is>
          <t>AntiAirDefense</t>
        </is>
      </c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</row>
    <row r="164">
      <c r="A164" t="inlineStr">
        <is>
          <t>tiberiandawn</t>
        </is>
      </c>
      <c r="B164" t="inlineStr">
        <is>
          <t>td_gdi_skyshield</t>
        </is>
      </c>
      <c r="C164" t="inlineStr">
        <is>
          <t>Skyshield</t>
        </is>
      </c>
      <c r="D164" s="6" t="inlineStr">
        <is>
          <t>AntiAirDefense</t>
        </is>
      </c>
      <c r="E164" s="6" t="n">
        <v>93000</v>
      </c>
      <c r="G164" t="inlineStr">
        <is>
          <t>Concrete</t>
        </is>
      </c>
      <c r="H164" s="6" t="n">
        <v>1</v>
      </c>
      <c r="I164" s="6" t="n">
        <v>0.225</v>
      </c>
      <c r="J164" s="6" t="n">
        <v>1</v>
      </c>
      <c r="X164" s="6" t="n">
        <v>900</v>
      </c>
    </row>
    <row r="165">
      <c r="B165" s="7" t="inlineStr">
        <is>
          <t xml:space="preserve">  ↳ SkyshieldCannon</t>
        </is>
      </c>
      <c r="C165" s="7" t="inlineStr">
        <is>
          <t>Armament</t>
        </is>
      </c>
      <c r="L165" s="6" t="n">
        <v>8000</v>
      </c>
      <c r="M165" s="6" t="n">
        <v>11</v>
      </c>
      <c r="N165" s="6" t="n">
        <v>1</v>
      </c>
      <c r="O165" s="6" t="n"/>
      <c r="P165" s="6" t="n">
        <v>13800</v>
      </c>
      <c r="Q165" s="6" t="n">
        <v>1</v>
      </c>
      <c r="R165">
        <f>M165+IF(MAX(N165-1,0)&gt;0,IF(ISBLANK(O165),5*MAX(N165-1,0),IF(ISNUMBER(O165),O165*MAX(N165-1,0),SUM(IFERROR(VALUE(TEXTSPLIT(O165,",")),0)))),0)</f>
        <v/>
      </c>
      <c r="S165">
        <f>IFERROR(L165*MAX(N165,1)/R165*IF(ISBLANK(K164),1,K164),0)</f>
        <v/>
      </c>
      <c r="AB165" s="7" t="inlineStr">
        <is>
          <t>^SmallArms, ^LightMissile, ^Chaingun, ^FlakWeapon</t>
        </is>
      </c>
    </row>
    <row r="166">
      <c r="A166" t="inlineStr">
        <is>
          <t>tiberiandawn</t>
        </is>
      </c>
      <c r="B166" t="inlineStr">
        <is>
          <t>td_nod_samsite</t>
        </is>
      </c>
      <c r="C166" t="inlineStr">
        <is>
          <t>Nod SAM Site</t>
        </is>
      </c>
      <c r="D166" s="6" t="inlineStr">
        <is>
          <t>AntiAirDefense</t>
        </is>
      </c>
      <c r="E166" s="6" t="n">
        <v>100000</v>
      </c>
      <c r="G166" t="inlineStr">
        <is>
          <t>Concrete</t>
        </is>
      </c>
      <c r="H166" s="6" t="n">
        <v>1</v>
      </c>
      <c r="I166" s="6" t="n">
        <v>0.225</v>
      </c>
      <c r="J166" s="6" t="n">
        <v>1</v>
      </c>
      <c r="X166" s="6" t="n">
        <v>800</v>
      </c>
    </row>
    <row r="167">
      <c r="B167" s="7" t="inlineStr">
        <is>
          <t xml:space="preserve">  ↳ Dragon</t>
        </is>
      </c>
      <c r="C167" s="7" t="inlineStr">
        <is>
          <t>Armament</t>
        </is>
      </c>
      <c r="L167" s="6" t="n">
        <v>12000</v>
      </c>
      <c r="M167" s="6" t="n">
        <v>40</v>
      </c>
      <c r="N167" s="6" t="n">
        <v>2</v>
      </c>
      <c r="O167" s="6" t="n">
        <v>10</v>
      </c>
      <c r="P167" s="6" t="n">
        <v>12193</v>
      </c>
      <c r="Q167" s="6" t="n">
        <v>1.25</v>
      </c>
      <c r="R167">
        <f>M167+IF(MAX(N167-1,0)&gt;0,IF(ISBLANK(O167),5*MAX(N167-1,0),IF(ISNUMBER(O167),O167*MAX(N167-1,0),SUM(IFERROR(VALUE(TEXTSPLIT(O167,",")),0)))),0)</f>
        <v/>
      </c>
      <c r="S167">
        <f>IFERROR(L167*MAX(N167,1)/R167*IF(ISBLANK(K166),1,K166),0)</f>
        <v/>
      </c>
      <c r="AB167" s="7" t="inlineStr">
        <is>
          <t>^Warhead_MissileAA_Heavy</t>
        </is>
      </c>
    </row>
    <row r="168">
      <c r="A168" t="inlineStr">
        <is>
          <t>redalert</t>
        </is>
      </c>
      <c r="B168" t="inlineStr">
        <is>
          <t>ra1_soviets_samsite</t>
        </is>
      </c>
      <c r="C168" t="inlineStr">
        <is>
          <t>Soviet SAM Site</t>
        </is>
      </c>
      <c r="D168" s="6" t="inlineStr">
        <is>
          <t>AntiAirDefense</t>
        </is>
      </c>
      <c r="E168" s="6" t="n">
        <v>75000</v>
      </c>
      <c r="F168" t="n">
        <v>100</v>
      </c>
      <c r="G168" t="inlineStr">
        <is>
          <t>Concrete</t>
        </is>
      </c>
      <c r="H168" s="6" t="n">
        <v>1</v>
      </c>
      <c r="I168" s="6" t="n">
        <v>0.225</v>
      </c>
      <c r="J168" s="6" t="n">
        <v>1</v>
      </c>
      <c r="K168" t="n">
        <v>0.011</v>
      </c>
      <c r="P168">
        <f>MAX(P169)</f>
        <v/>
      </c>
      <c r="S168">
        <f>S169</f>
        <v/>
      </c>
      <c r="T168">
        <f>(E168/100000+F168/100+(P168/1000)*J168/5+S168/200)*200*I168*H168</f>
        <v/>
      </c>
      <c r="U168">
        <f>((E168*F168/25000)+((P168/1000)*J168*S168/2.5))*I168*H168</f>
        <v/>
      </c>
      <c r="V168">
        <f>(E168*F168*(P168/1000)*J168*S168*I168*H168)/12500000</f>
        <v/>
      </c>
      <c r="W168">
        <f>(T168+U168+V168)/3</f>
        <v/>
      </c>
      <c r="X168" s="6" t="n">
        <v>700</v>
      </c>
      <c r="Y168">
        <f>IFERROR(W168-X168,"")</f>
        <v/>
      </c>
      <c r="Z168">
        <f>IFERROR(ABS(Y168)/MAX(X168,1),"")</f>
        <v/>
      </c>
      <c r="AA168">
        <f>IFERROR((X168-(((E168/100000+F168/100+S168/200)*200*I168*H168)+((E168*F168/25000)*I168*H168))/3)/(((J168/5)*200*I168*H168)+((J168*S168/2.5)*I168*H168)+((E168*F168*J168*S168*I168*H168)/12500000))/3*1000,"")</f>
        <v/>
      </c>
    </row>
    <row r="169">
      <c r="B169" s="7" t="inlineStr">
        <is>
          <t xml:space="preserve">  ↳ Nike</t>
        </is>
      </c>
      <c r="C169" s="7" t="inlineStr">
        <is>
          <t>Armament</t>
        </is>
      </c>
      <c r="L169" s="6" t="n">
        <v>16000</v>
      </c>
      <c r="M169" s="6" t="n">
        <v>27</v>
      </c>
      <c r="N169" s="6" t="n">
        <v>1</v>
      </c>
      <c r="O169" s="6" t="n"/>
      <c r="P169" s="6" t="n">
        <v>12790</v>
      </c>
      <c r="Q169" s="6" t="n">
        <v>1</v>
      </c>
      <c r="R169">
        <f>M169+IF(MAX(N169-1,0)&gt;0,IF(ISBLANK(O169),5*MAX(N169-1,0),IF(ISNUMBER(O169),O169*MAX(N169-1,0),SUM(IFERROR(VALUE(TEXTSPLIT(O169,",")),0)))),0)</f>
        <v/>
      </c>
      <c r="S169">
        <f>IFERROR(L169*MAX(N169,1)/R169*IF(ISBLANK(K168),1,K168),0)</f>
        <v/>
      </c>
      <c r="AB169" s="7" t="inlineStr">
        <is>
          <t>^FlakWeapon, ^HeavyMissile, ^MediumMissile, ^LightMissile</t>
        </is>
      </c>
    </row>
    <row r="170">
      <c r="A170" t="inlineStr">
        <is>
          <t>redalert</t>
        </is>
      </c>
      <c r="B170" t="inlineStr">
        <is>
          <t>ra1_allies_alliedaagun</t>
        </is>
      </c>
      <c r="C170" t="inlineStr">
        <is>
          <t>Allied AA Gun</t>
        </is>
      </c>
      <c r="D170" s="6" t="inlineStr">
        <is>
          <t>AntiAirDefense</t>
        </is>
      </c>
      <c r="E170" s="6" t="n">
        <v>62500</v>
      </c>
      <c r="F170" t="n">
        <v>100</v>
      </c>
      <c r="G170" t="inlineStr">
        <is>
          <t>Concrete</t>
        </is>
      </c>
      <c r="H170" s="6" t="n">
        <v>0.8462</v>
      </c>
      <c r="I170" s="6" t="n">
        <v>1</v>
      </c>
      <c r="J170" s="6" t="n">
        <v>1</v>
      </c>
      <c r="P170">
        <f>MAX(P171,P172)</f>
        <v/>
      </c>
      <c r="S170">
        <f>S171+S172</f>
        <v/>
      </c>
      <c r="T170">
        <f>(E170/100000+F170/100+(P170/1000)*J170/5+S170/200)*200*I170*H170</f>
        <v/>
      </c>
      <c r="U170">
        <f>((E170*F170/25000)+((P170/1000)*J170*S170/2.5))*I170*H170</f>
        <v/>
      </c>
      <c r="V170">
        <f>(E170*F170*(P170/1000)*J170*S170*I170*H170)/12500000</f>
        <v/>
      </c>
      <c r="W170">
        <f>(T170+U170+V170)/3</f>
        <v/>
      </c>
      <c r="X170" s="6" t="n">
        <v>500</v>
      </c>
      <c r="Y170">
        <f>IFERROR(W170-X170,"")</f>
        <v/>
      </c>
      <c r="Z170">
        <f>IFERROR(ABS(Y170)/MAX(X170,1),"")</f>
        <v/>
      </c>
      <c r="AA170">
        <f>IFERROR((X170-(((E170/100000+F170/100+S170/200)*200*I170*H170)+((E170*F170/25000)*I170*H170))/3)/(((J170/5)*200*I170*H170)+((J170*S170/2.5)*I170*H170)+((E170*F170*J170*S170*I170*H170)/12500000))/3*1000,"")</f>
        <v/>
      </c>
    </row>
    <row r="171">
      <c r="B171" s="7" t="inlineStr">
        <is>
          <t xml:space="preserve">  ↳ zsu_23</t>
        </is>
      </c>
      <c r="C171" s="7" t="inlineStr">
        <is>
          <t>Armament</t>
        </is>
      </c>
      <c r="L171" s="6" t="n">
        <v>4000</v>
      </c>
      <c r="M171" s="6" t="n">
        <v>14</v>
      </c>
      <c r="N171" s="6" t="n">
        <v>2</v>
      </c>
      <c r="O171" s="6" t="n">
        <v>2</v>
      </c>
      <c r="P171" s="6" t="n">
        <v>11412</v>
      </c>
      <c r="Q171" s="6" t="n">
        <v>1</v>
      </c>
      <c r="R171">
        <f>M171+IF(MAX(N171-1,0)&gt;0,IF(ISBLANK(O171),5*MAX(N171-1,0),IF(ISNUMBER(O171),O171*MAX(N171-1,0),SUM(IFERROR(VALUE(TEXTSPLIT(O171,",")),0)))),0)</f>
        <v/>
      </c>
      <c r="S171">
        <f>IFERROR(L171*MAX(N171,1)/R171*IF(ISBLANK(K170),1,K170),0)</f>
        <v/>
      </c>
      <c r="AB171" s="7" t="inlineStr">
        <is>
          <t>^Warhead_Flak_Medium</t>
        </is>
      </c>
    </row>
    <row r="172">
      <c r="B172" s="7" t="inlineStr">
        <is>
          <t xml:space="preserve">  ↳ zsu_23Cryo</t>
        </is>
      </c>
      <c r="C172" s="7" t="inlineStr">
        <is>
          <t>Armament@Cryo</t>
        </is>
      </c>
      <c r="L172" s="6" t="n">
        <v>4000</v>
      </c>
      <c r="M172" s="6" t="n">
        <v>14</v>
      </c>
      <c r="N172" s="6" t="n">
        <v>2</v>
      </c>
      <c r="O172" s="6" t="n">
        <v>2</v>
      </c>
      <c r="P172" s="6" t="n">
        <v>11412</v>
      </c>
      <c r="Q172" s="6" t="n">
        <v>1</v>
      </c>
      <c r="R172">
        <f>M172+IF(MAX(N172-1,0)&gt;0,IF(ISBLANK(O172),5*MAX(N172-1,0),IF(ISNUMBER(O172),O172*MAX(N172-1,0),SUM(IFERROR(VALUE(TEXTSPLIT(O172,",")),0)))),0)</f>
        <v/>
      </c>
      <c r="S172">
        <f>IFERROR(L172*MAX(N172,1)/R172*IF(ISBLANK(K170),1,K170),0)</f>
        <v/>
      </c>
      <c r="AB172" s="7" t="inlineStr">
        <is>
          <t>^Warhead_FlakCryo_Medium</t>
        </is>
      </c>
    </row>
    <row r="173">
      <c r="A173" t="inlineStr">
        <is>
          <t>tiberiansun</t>
        </is>
      </c>
      <c r="B173" t="inlineStr">
        <is>
          <t>cabal_obeliskofdarkness</t>
        </is>
      </c>
      <c r="C173" t="inlineStr">
        <is>
          <t>Obelisk of Darkness</t>
        </is>
      </c>
      <c r="D173" s="6" t="inlineStr">
        <is>
          <t>AntiAirDefense</t>
        </is>
      </c>
      <c r="E173" s="6" t="n">
        <v>120000</v>
      </c>
      <c r="F173" t="n">
        <v>100</v>
      </c>
      <c r="G173" t="inlineStr">
        <is>
          <t>Heavy</t>
        </is>
      </c>
      <c r="H173" s="6" t="n">
        <v>1</v>
      </c>
      <c r="I173" s="6" t="n">
        <v>1</v>
      </c>
      <c r="J173" s="6" t="n">
        <v>1</v>
      </c>
      <c r="P173">
        <f>MAX(P174)</f>
        <v/>
      </c>
      <c r="S173">
        <f>S174</f>
        <v/>
      </c>
      <c r="T173">
        <f>(E173/100000+F173/100+(P173/1000)*J173/5+S173/200)*200*I173*H173</f>
        <v/>
      </c>
      <c r="U173">
        <f>((E173*F173/25000)+((P173/1000)*J173*S173/2.5))*I173*H173</f>
        <v/>
      </c>
      <c r="V173">
        <f>(E173*F173*(P173/1000)*J173*S173*I173*H173)/12500000</f>
        <v/>
      </c>
      <c r="W173">
        <f>(T173+U173+V173)/3</f>
        <v/>
      </c>
      <c r="X173" s="6" t="n">
        <v>1200</v>
      </c>
      <c r="Y173">
        <f>IFERROR(W173-X173,"")</f>
        <v/>
      </c>
      <c r="Z173">
        <f>IFERROR(ABS(Y173)/MAX(X173,1),"")</f>
        <v/>
      </c>
      <c r="AA173">
        <f>IFERROR((X173-(((E173/100000+F173/100+S173/200)*200*I173*H173)+((E173*F173/25000)*I173*H173))/3)/(((J173/5)*200*I173*H173)+((J173*S173/2.5)*I173*H173)+((E173*F173*J173*S173*I173*H173)/12500000))/3*1000,"")</f>
        <v/>
      </c>
    </row>
    <row r="174">
      <c r="B174" s="7" t="inlineStr">
        <is>
          <t xml:space="preserve">  ↳ DarkObeliskLaser</t>
        </is>
      </c>
      <c r="C174" s="7" t="inlineStr">
        <is>
          <t>Armament</t>
        </is>
      </c>
      <c r="L174" s="6" t="n">
        <v>36000</v>
      </c>
      <c r="M174" s="6" t="n">
        <v>50</v>
      </c>
      <c r="N174" s="6" t="n">
        <v>1</v>
      </c>
      <c r="O174" s="6" t="n"/>
      <c r="P174" s="6" t="n">
        <v>12288</v>
      </c>
      <c r="Q174" s="6" t="n">
        <v>1.25</v>
      </c>
      <c r="R174">
        <f>M174+IF(MAX(N174-1,0)&gt;0,IF(ISBLANK(O174),5*MAX(N174-1,0),IF(ISNUMBER(O174),O174*MAX(N174-1,0),SUM(IFERROR(VALUE(TEXTSPLIT(O174,",")),0)))),0)</f>
        <v/>
      </c>
      <c r="S174">
        <f>IFERROR(L174*MAX(N174,1)/R174*IF(ISBLANK(K173),1,K173),0)</f>
        <v/>
      </c>
      <c r="AB174" s="7" t="inlineStr">
        <is>
          <t>^Warhead_Laser_Heavy</t>
        </is>
      </c>
    </row>
    <row r="175">
      <c r="A175" t="inlineStr">
        <is>
          <t>tiberiansun</t>
        </is>
      </c>
      <c r="B175" t="inlineStr">
        <is>
          <t>ts_nod_samsite</t>
        </is>
      </c>
      <c r="C175" t="inlineStr">
        <is>
          <t>SAM Site</t>
        </is>
      </c>
      <c r="D175" s="6" t="inlineStr">
        <is>
          <t>AntiAirDefense</t>
        </is>
      </c>
      <c r="E175" s="6" t="n">
        <v>100000</v>
      </c>
      <c r="F175" t="n">
        <v>100</v>
      </c>
      <c r="G175" t="inlineStr">
        <is>
          <t>Concrete</t>
        </is>
      </c>
      <c r="H175" s="6" t="n">
        <v>1</v>
      </c>
      <c r="I175" s="6" t="n">
        <v>1</v>
      </c>
      <c r="J175" s="6" t="n">
        <v>1</v>
      </c>
      <c r="P175">
        <f>MAX(P176,P177)</f>
        <v/>
      </c>
      <c r="S175">
        <f>S176+S177</f>
        <v/>
      </c>
      <c r="T175">
        <f>(E175/100000+F175/100+(P175/1000)*J175/5+S175/200)*200*I175*H175</f>
        <v/>
      </c>
      <c r="U175">
        <f>((E175*F175/25000)+((P175/1000)*J175*S175/2.5))*I175*H175</f>
        <v/>
      </c>
      <c r="V175">
        <f>(E175*F175*(P175/1000)*J175*S175*I175*H175)/12500000</f>
        <v/>
      </c>
      <c r="W175">
        <f>(T175+U175+V175)/3</f>
        <v/>
      </c>
      <c r="X175" s="6" t="n">
        <v>800</v>
      </c>
      <c r="Y175">
        <f>IFERROR(W175-X175,"")</f>
        <v/>
      </c>
      <c r="Z175">
        <f>IFERROR(ABS(Y175)/MAX(X175,1),"")</f>
        <v/>
      </c>
      <c r="AA175">
        <f>IFERROR((X175-(((E175/100000+F175/100+S175/200)*200*I175*H175)+((E175*F175/25000)*I175*H175))/3)/(((J175/5)*200*I175*H175)+((J175*S175/2.5)*I175*H175)+((E175*F175*J175*S175*I175*H175)/12500000))/3*1000,"")</f>
        <v/>
      </c>
    </row>
    <row r="176">
      <c r="B176" s="7" t="inlineStr">
        <is>
          <t xml:space="preserve">  ↳ TSNODRedEye</t>
        </is>
      </c>
      <c r="C176" s="7" t="inlineStr">
        <is>
          <t>Armament@PRIMARY</t>
        </is>
      </c>
      <c r="L176" s="6" t="n">
        <v>12000</v>
      </c>
      <c r="M176" s="6" t="n">
        <v>50</v>
      </c>
      <c r="N176" s="6" t="n">
        <v>3</v>
      </c>
      <c r="O176" s="6" t="n">
        <v>2</v>
      </c>
      <c r="P176" s="6" t="n">
        <v>13176</v>
      </c>
      <c r="Q176" s="6" t="n">
        <v>1.25</v>
      </c>
      <c r="R176">
        <f>M176+IF(MAX(N176-1,0)&gt;0,IF(ISBLANK(O176),5*MAX(N176-1,0),IF(ISNUMBER(O176),O176*MAX(N176-1,0),SUM(IFERROR(VALUE(TEXTSPLIT(O176,",")),0)))),0)</f>
        <v/>
      </c>
      <c r="S176">
        <f>IFERROR(L176*MAX(N176,1)/R176*IF(ISBLANK(K175),1,K175),0)</f>
        <v/>
      </c>
      <c r="AB176" s="7" t="inlineStr">
        <is>
          <t>^Warhead_MissileAP_Heavy</t>
        </is>
      </c>
    </row>
    <row r="177">
      <c r="B177" s="7" t="inlineStr">
        <is>
          <t xml:space="preserve">  ↳ TSNODTibRedEye</t>
        </is>
      </c>
      <c r="C177" s="7" t="inlineStr">
        <is>
          <t>Armament@UPGRADE</t>
        </is>
      </c>
      <c r="L177" s="6" t="n">
        <v>18000</v>
      </c>
      <c r="M177" s="6" t="n">
        <v>50</v>
      </c>
      <c r="N177" s="6" t="n">
        <v>3</v>
      </c>
      <c r="O177" s="6" t="n">
        <v>2</v>
      </c>
      <c r="P177" s="6" t="n">
        <v>13176</v>
      </c>
      <c r="Q177" s="6" t="n">
        <v>1.25</v>
      </c>
      <c r="R177">
        <f>M177+IF(MAX(N177-1,0)&gt;0,IF(ISBLANK(O177),5*MAX(N177-1,0),IF(ISNUMBER(O177),O177*MAX(N177-1,0),SUM(IFERROR(VALUE(TEXTSPLIT(O177,",")),0)))),0)</f>
        <v/>
      </c>
      <c r="S177">
        <f>IFERROR(L177*MAX(N177,1)/R177*IF(ISBLANK(K175),1,K175),0)</f>
        <v/>
      </c>
      <c r="AB177" s="7" t="inlineStr">
        <is>
          <t>^Warhead_MissileAP_Heavy</t>
        </is>
      </c>
    </row>
    <row r="178">
      <c r="A178" t="inlineStr">
        <is>
          <t>tiberiansun</t>
        </is>
      </c>
      <c r="B178" t="inlineStr">
        <is>
          <t>ts_gdi_samtower</t>
        </is>
      </c>
      <c r="C178" t="inlineStr">
        <is>
          <t>SAM Tower</t>
        </is>
      </c>
      <c r="D178" s="6" t="inlineStr">
        <is>
          <t>AntiAirDefense</t>
        </is>
      </c>
      <c r="E178" s="6" t="n">
        <v>100000</v>
      </c>
      <c r="F178" t="n">
        <v>100</v>
      </c>
      <c r="G178" t="inlineStr">
        <is>
          <t>Light</t>
        </is>
      </c>
      <c r="H178" s="6" t="n">
        <v>1</v>
      </c>
      <c r="I178" s="6" t="n">
        <v>1</v>
      </c>
      <c r="J178" s="6" t="n">
        <v>1</v>
      </c>
      <c r="P178">
        <f>MAX(P179)</f>
        <v/>
      </c>
      <c r="S178">
        <f>S179</f>
        <v/>
      </c>
      <c r="T178">
        <f>(E178/100000+F178/100+(P178/1000)*J178/5+S178/200)*200*I178*H178</f>
        <v/>
      </c>
      <c r="U178">
        <f>((E178*F178/25000)+((P178/1000)*J178*S178/2.5))*I178*H178</f>
        <v/>
      </c>
      <c r="V178">
        <f>(E178*F178*(P178/1000)*J178*S178*I178*H178)/12500000</f>
        <v/>
      </c>
      <c r="W178">
        <f>(T178+U178+V178)/3</f>
        <v/>
      </c>
      <c r="X178" s="6" t="n">
        <v>800</v>
      </c>
      <c r="Y178">
        <f>IFERROR(W178-X178,"")</f>
        <v/>
      </c>
      <c r="Z178">
        <f>IFERROR(ABS(Y178)/MAX(X178,1),"")</f>
        <v/>
      </c>
      <c r="AA178">
        <f>IFERROR((X178-(((E178/100000+F178/100+S178/200)*200*I178*H178)+((E178*F178/25000)*I178*H178))/3)/(((J178/5)*200*I178*H178)+((J178*S178/2.5)*I178*H178)+((E178*F178*J178*S178*I178*H178)/12500000))/3*1000,"")</f>
        <v/>
      </c>
    </row>
    <row r="179">
      <c r="B179" s="7" t="inlineStr">
        <is>
          <t xml:space="preserve">  ↳ TSGDIRedEye</t>
        </is>
      </c>
      <c r="C179" s="7" t="inlineStr">
        <is>
          <t>Armament</t>
        </is>
      </c>
      <c r="L179" s="6" t="n">
        <v>8000</v>
      </c>
      <c r="M179" s="6" t="n">
        <v>30</v>
      </c>
      <c r="N179" s="6" t="n">
        <v>2</v>
      </c>
      <c r="O179" s="6" t="n">
        <v>4</v>
      </c>
      <c r="P179" s="6" t="n">
        <v>12440</v>
      </c>
      <c r="Q179" s="6" t="n">
        <v>1.25</v>
      </c>
      <c r="R179">
        <f>M179+IF(MAX(N179-1,0)&gt;0,IF(ISBLANK(O179),5*MAX(N179-1,0),IF(ISNUMBER(O179),O179*MAX(N179-1,0),SUM(IFERROR(VALUE(TEXTSPLIT(O179,",")),0)))),0)</f>
        <v/>
      </c>
      <c r="S179">
        <f>IFERROR(L179*MAX(N179,1)/R179*IF(ISBLANK(K178),1,K178),0)</f>
        <v/>
      </c>
      <c r="AB179" s="7" t="inlineStr">
        <is>
          <t>^Warhead_MissileAP_Heavy</t>
        </is>
      </c>
    </row>
    <row r="180">
      <c r="A180" t="inlineStr">
        <is>
          <t>tiberiansun</t>
        </is>
      </c>
      <c r="B180" t="inlineStr">
        <is>
          <t>forgotten_juggerflakwall</t>
        </is>
      </c>
      <c r="C180" t="inlineStr">
        <is>
          <t>actor_forgotten_juggerflakwall.name</t>
        </is>
      </c>
      <c r="D180" s="6" t="inlineStr">
        <is>
          <t>AntiAirDefense</t>
        </is>
      </c>
      <c r="E180" s="6" t="n">
        <v>75000</v>
      </c>
      <c r="F180" t="n">
        <v>100</v>
      </c>
      <c r="G180" t="inlineStr">
        <is>
          <t>Concrete</t>
        </is>
      </c>
      <c r="H180" s="6" t="n">
        <v>1</v>
      </c>
      <c r="I180" s="6" t="n">
        <v>1</v>
      </c>
      <c r="J180" s="6" t="n">
        <v>1</v>
      </c>
      <c r="P180">
        <f>MAX(P181)</f>
        <v/>
      </c>
      <c r="S180">
        <f>S181</f>
        <v/>
      </c>
      <c r="T180">
        <f>(E180/100000+F180/100+(P180/1000)*J180/5+S180/200)*200*I180*H180</f>
        <v/>
      </c>
      <c r="U180">
        <f>((E180*F180/25000)+((P180/1000)*J180*S180/2.5))*I180*H180</f>
        <v/>
      </c>
      <c r="V180">
        <f>(E180*F180*(P180/1000)*J180*S180*I180*H180)/12500000</f>
        <v/>
      </c>
      <c r="W180">
        <f>(T180+U180+V180)/3</f>
        <v/>
      </c>
      <c r="X180" s="6" t="n">
        <v>1000</v>
      </c>
      <c r="Y180">
        <f>IFERROR(W180-X180,"")</f>
        <v/>
      </c>
      <c r="Z180">
        <f>IFERROR(ABS(Y180)/MAX(X180,1),"")</f>
        <v/>
      </c>
      <c r="AA180">
        <f>IFERROR((X180-(((E180/100000+F180/100+S180/200)*200*I180*H180)+((E180*F180/25000)*I180*H180))/3)/(((J180/5)*200*I180*H180)+((J180*S180/2.5)*I180*H180)+((E180*F180*J180*S180*I180*H180)/12500000))/3*1000,"")</f>
        <v/>
      </c>
    </row>
    <row r="181">
      <c r="B181" s="7" t="inlineStr">
        <is>
          <t xml:space="preserve">  ↳ TSJuggerFlakAA</t>
        </is>
      </c>
      <c r="C181" s="7" t="inlineStr">
        <is>
          <t>Armament</t>
        </is>
      </c>
      <c r="L181" s="6" t="n">
        <v>10000</v>
      </c>
      <c r="M181" s="6" t="n">
        <v>28</v>
      </c>
      <c r="N181" s="6" t="n">
        <v>3</v>
      </c>
      <c r="O181" s="6" t="n">
        <v>1</v>
      </c>
      <c r="P181" s="6" t="n">
        <v>11234</v>
      </c>
      <c r="Q181" s="6" t="n">
        <v>1</v>
      </c>
      <c r="R181">
        <f>M181+IF(MAX(N181-1,0)&gt;0,IF(ISBLANK(O181),5*MAX(N181-1,0),IF(ISNUMBER(O181),O181*MAX(N181-1,0),SUM(IFERROR(VALUE(TEXTSPLIT(O181,",")),0)))),0)</f>
        <v/>
      </c>
      <c r="S181">
        <f>IFERROR(L181*MAX(N181,1)/R181*IF(ISBLANK(K180),1,K180),0)</f>
        <v/>
      </c>
      <c r="AB181" s="7" t="inlineStr">
        <is>
          <t>^Warhead_Flak_Medium</t>
        </is>
      </c>
    </row>
    <row r="182">
      <c r="A182" t="inlineStr">
        <is>
          <t>redalert2</t>
        </is>
      </c>
      <c r="B182" t="inlineStr">
        <is>
          <t>ra2_allies_patriotmissilesystem</t>
        </is>
      </c>
      <c r="C182" t="inlineStr">
        <is>
          <t>Patriot Missile System</t>
        </is>
      </c>
      <c r="D182" s="6" t="inlineStr">
        <is>
          <t>AntiAirDefense</t>
        </is>
      </c>
      <c r="E182" s="6" t="n">
        <v>90000</v>
      </c>
      <c r="F182" t="n">
        <v>100</v>
      </c>
      <c r="G182" t="inlineStr">
        <is>
          <t>Concrete</t>
        </is>
      </c>
      <c r="H182" s="6" t="n">
        <v>1</v>
      </c>
      <c r="I182" s="6" t="n">
        <v>0.225</v>
      </c>
      <c r="J182" s="6" t="n">
        <v>1</v>
      </c>
      <c r="P182">
        <f>MAX(P183,P184)</f>
        <v/>
      </c>
      <c r="S182">
        <f>S183+S184</f>
        <v/>
      </c>
      <c r="T182">
        <f>(E182/100000+F182/100+(P182/1000)*J182/5+S182/200)*200*I182*H182</f>
        <v/>
      </c>
      <c r="U182">
        <f>((E182*F182/25000)+((P182/1000)*J182*S182/2.5))*I182*H182</f>
        <v/>
      </c>
      <c r="V182">
        <f>(E182*F182*(P182/1000)*J182*S182*I182*H182)/12500000</f>
        <v/>
      </c>
      <c r="W182">
        <f>(T182+U182+V182)/3</f>
        <v/>
      </c>
      <c r="X182" s="6" t="n">
        <v>800</v>
      </c>
      <c r="Y182">
        <f>IFERROR(W182-X182,"")</f>
        <v/>
      </c>
      <c r="Z182">
        <f>IFERROR(ABS(Y182)/MAX(X182,1),"")</f>
        <v/>
      </c>
      <c r="AA182">
        <f>IFERROR((X182-(((E182/100000+F182/100+S182/200)*200*I182*H182)+((E182*F182/25000)*I182*H182))/3)/(((J182/5)*200*I182*H182)+((J182*S182/2.5)*I182*H182)+((E182*F182*J182*S182*I182*H182)/12500000))/3*1000,"")</f>
        <v/>
      </c>
    </row>
    <row r="183">
      <c r="B183" s="7" t="inlineStr">
        <is>
          <t xml:space="preserve">  ↳ RA2Patriot</t>
        </is>
      </c>
      <c r="C183" s="7" t="inlineStr">
        <is>
          <t>Armament</t>
        </is>
      </c>
      <c r="L183" s="6" t="n">
        <v>10000</v>
      </c>
      <c r="M183" s="6" t="n">
        <v>30</v>
      </c>
      <c r="N183" s="6" t="n">
        <v>2</v>
      </c>
      <c r="O183" s="6" t="n">
        <v>6</v>
      </c>
      <c r="P183" s="6" t="n">
        <v>14150</v>
      </c>
      <c r="Q183" s="6" t="n">
        <v>1</v>
      </c>
      <c r="R183">
        <f>M183+IF(MAX(N183-1,0)&gt;0,IF(ISBLANK(O183),5*MAX(N183-1,0),IF(ISNUMBER(O183),O183*MAX(N183-1,0),SUM(IFERROR(VALUE(TEXTSPLIT(O183,",")),0)))),0)</f>
        <v/>
      </c>
      <c r="S183">
        <f>IFERROR(L183*MAX(N183,1)/R183*IF(ISBLANK(K182),1,K182),0)</f>
        <v/>
      </c>
      <c r="AB183" s="7" t="inlineStr">
        <is>
          <t>^Warhead_MissileAP_Medium</t>
        </is>
      </c>
    </row>
    <row r="184">
      <c r="B184" s="7" t="inlineStr">
        <is>
          <t xml:space="preserve">  ↳ RA2PatriotThunderboltMissile</t>
        </is>
      </c>
      <c r="C184" s="7" t="inlineStr">
        <is>
          <t>Armament@missileeliteThunderbolt</t>
        </is>
      </c>
      <c r="L184" s="6" t="n">
        <v>2000</v>
      </c>
      <c r="M184" s="6" t="n">
        <v>30</v>
      </c>
      <c r="N184" s="6" t="n">
        <v>2</v>
      </c>
      <c r="O184" s="6" t="n">
        <v>6</v>
      </c>
      <c r="P184" s="6" t="n">
        <v>14150</v>
      </c>
      <c r="Q184" s="6" t="n">
        <v>1.25</v>
      </c>
      <c r="R184">
        <f>M184+IF(MAX(N184-1,0)&gt;0,IF(ISBLANK(O184),5*MAX(N184-1,0),IF(ISNUMBER(O184),O184*MAX(N184-1,0),SUM(IFERROR(VALUE(TEXTSPLIT(O184,",")),0)))),0)</f>
        <v/>
      </c>
      <c r="S184">
        <f>IFERROR(L184*MAX(N184,1)/R184*IF(ISBLANK(K182),1,K182),0)</f>
        <v/>
      </c>
      <c r="AB184" s="7" t="inlineStr">
        <is>
          <t>^Warhead_MissileAA_Heavy</t>
        </is>
      </c>
    </row>
    <row r="185">
      <c r="A185" t="inlineStr">
        <is>
          <t>redalert2</t>
        </is>
      </c>
      <c r="B185" t="inlineStr">
        <is>
          <t>ra2_soviets_flakcannon</t>
        </is>
      </c>
      <c r="C185" t="inlineStr">
        <is>
          <t>Flak Cannon</t>
        </is>
      </c>
      <c r="D185" s="6" t="inlineStr">
        <is>
          <t>AntiAirDefense</t>
        </is>
      </c>
      <c r="E185" s="6" t="n">
        <v>60000</v>
      </c>
      <c r="F185" t="n">
        <v>100</v>
      </c>
      <c r="G185" t="inlineStr">
        <is>
          <t>Concrete</t>
        </is>
      </c>
      <c r="H185" s="6" t="n">
        <v>1</v>
      </c>
      <c r="I185" s="6" t="n">
        <v>0.225</v>
      </c>
      <c r="J185" s="6" t="n">
        <v>1</v>
      </c>
      <c r="P185">
        <f>MAX(P186)</f>
        <v/>
      </c>
      <c r="S185">
        <f>S186</f>
        <v/>
      </c>
      <c r="T185">
        <f>(E185/100000+F185/100+(P185/1000)*J185/5+S185/200)*200*I185*H185</f>
        <v/>
      </c>
      <c r="U185">
        <f>((E185*F185/25000)+((P185/1000)*J185*S185/2.5))*I185*H185</f>
        <v/>
      </c>
      <c r="V185">
        <f>(E185*F185*(P185/1000)*J185*S185*I185*H185)/12500000</f>
        <v/>
      </c>
      <c r="W185">
        <f>(T185+U185+V185)/3</f>
        <v/>
      </c>
      <c r="X185" s="6" t="n">
        <v>700</v>
      </c>
      <c r="Y185">
        <f>IFERROR(W185-X185,"")</f>
        <v/>
      </c>
      <c r="Z185">
        <f>IFERROR(ABS(Y185)/MAX(X185,1),"")</f>
        <v/>
      </c>
      <c r="AA185">
        <f>IFERROR((X185-(((E185/100000+F185/100+S185/200)*200*I185*H185)+((E185*F185/25000)*I185*H185))/3)/(((J185/5)*200*I185*H185)+((J185*S185/2.5)*I185*H185)+((E185*F185*J185*S185*I185*H185)/12500000))/3*1000,"")</f>
        <v/>
      </c>
    </row>
    <row r="186">
      <c r="B186" s="7" t="inlineStr">
        <is>
          <t xml:space="preserve">  ↳ RA2TURRETFLAKAA</t>
        </is>
      </c>
      <c r="C186" s="7" t="inlineStr">
        <is>
          <t>Armament</t>
        </is>
      </c>
      <c r="L186" s="6" t="n">
        <v>10000</v>
      </c>
      <c r="M186" s="6" t="n">
        <v>15</v>
      </c>
      <c r="N186" s="6" t="n">
        <v>1</v>
      </c>
      <c r="O186" s="6" t="n"/>
      <c r="P186" s="6" t="n">
        <v>12936</v>
      </c>
      <c r="Q186" s="6" t="n">
        <v>1</v>
      </c>
      <c r="R186">
        <f>M186+IF(MAX(N186-1,0)&gt;0,IF(ISBLANK(O186),5*MAX(N186-1,0),IF(ISNUMBER(O186),O186*MAX(N186-1,0),SUM(IFERROR(VALUE(TEXTSPLIT(O186,",")),0)))),0)</f>
        <v/>
      </c>
      <c r="S186">
        <f>IFERROR(L186*MAX(N186,1)/R186*IF(ISBLANK(K185),1,K185),0)</f>
        <v/>
      </c>
      <c r="AB186" s="7" t="inlineStr">
        <is>
          <t>^Warhead_Flak_Medium</t>
        </is>
      </c>
    </row>
    <row r="187">
      <c r="A187" t="inlineStr">
        <is>
          <t>redalert2mod</t>
        </is>
      </c>
      <c r="B187" t="inlineStr">
        <is>
          <t>asianalliance_hyperionprojector</t>
        </is>
      </c>
      <c r="C187" t="inlineStr">
        <is>
          <t>Hyperion Projector</t>
        </is>
      </c>
      <c r="D187" s="6" t="inlineStr">
        <is>
          <t>AntiAirDefense</t>
        </is>
      </c>
      <c r="E187" s="6" t="n">
        <v>100000</v>
      </c>
      <c r="G187" t="inlineStr">
        <is>
          <t>Concrete</t>
        </is>
      </c>
      <c r="H187" s="6" t="n">
        <v>0.4125</v>
      </c>
      <c r="I187" s="6" t="n">
        <v>1</v>
      </c>
      <c r="J187" s="6" t="n">
        <v>1</v>
      </c>
      <c r="X187" s="6" t="n">
        <v>1000</v>
      </c>
    </row>
    <row r="188">
      <c r="B188" s="7" t="inlineStr">
        <is>
          <t xml:space="preserve">  ↳ AAHyperionMagnet</t>
        </is>
      </c>
      <c r="C188" s="7" t="inlineStr">
        <is>
          <t>Armament@Normal</t>
        </is>
      </c>
      <c r="L188" s="6" t="n">
        <v>2000</v>
      </c>
      <c r="M188" s="6" t="n">
        <v>200</v>
      </c>
      <c r="N188" s="6" t="n">
        <v>100</v>
      </c>
      <c r="O188" s="6" t="n">
        <v>1</v>
      </c>
      <c r="P188" s="6" t="n">
        <v>9000</v>
      </c>
      <c r="Q188" s="6" t="n">
        <v>1.25</v>
      </c>
      <c r="R188">
        <f>M188+IF(MAX(N188-1,0)&gt;0,IF(ISBLANK(O188),5*MAX(N188-1,0),IF(ISNUMBER(O188),O188*MAX(N188-1,0),SUM(IFERROR(VALUE(TEXTSPLIT(O188,",")),0)))),0)</f>
        <v/>
      </c>
      <c r="S188">
        <f>IFERROR(L188*MAX(N188,1)/R188*IF(ISBLANK(K187),1,K187),0)</f>
        <v/>
      </c>
      <c r="AB188" s="7" t="inlineStr">
        <is>
          <t>^Warhead_Laser_Heavy</t>
        </is>
      </c>
    </row>
    <row r="189">
      <c r="A189" t="inlineStr">
        <is>
          <t>redalert2mod</t>
        </is>
      </c>
      <c r="B189" t="inlineStr">
        <is>
          <t>asianalliance_pulsar</t>
        </is>
      </c>
      <c r="C189" t="inlineStr">
        <is>
          <t>Pulsar</t>
        </is>
      </c>
      <c r="D189" s="6" t="inlineStr">
        <is>
          <t>AntiAirDefense</t>
        </is>
      </c>
      <c r="E189" s="6" t="n">
        <v>80000</v>
      </c>
      <c r="G189" t="inlineStr">
        <is>
          <t>Concrete</t>
        </is>
      </c>
      <c r="H189" s="6" t="n">
        <v>0.825</v>
      </c>
      <c r="I189" s="6" t="n">
        <v>1</v>
      </c>
      <c r="J189" s="6" t="n">
        <v>1</v>
      </c>
      <c r="X189" s="6" t="n">
        <v>900</v>
      </c>
    </row>
    <row r="190">
      <c r="B190" s="7" t="inlineStr">
        <is>
          <t xml:space="preserve">  ↳ AsianPhotonCannon</t>
        </is>
      </c>
      <c r="C190" s="7" t="inlineStr">
        <is>
          <t>Armament</t>
        </is>
      </c>
      <c r="L190" s="6" t="n">
        <v>8000</v>
      </c>
      <c r="M190" s="6" t="n">
        <v>13</v>
      </c>
      <c r="N190" s="6" t="n">
        <v>1</v>
      </c>
      <c r="O190" s="6" t="n"/>
      <c r="P190" s="6" t="n">
        <v>14000</v>
      </c>
      <c r="Q190" s="6" t="n">
        <v>1</v>
      </c>
      <c r="R190">
        <f>M190+IF(MAX(N190-1,0)&gt;0,IF(ISBLANK(O190),5*MAX(N190-1,0),IF(ISNUMBER(O190),O190*MAX(N190-1,0),SUM(IFERROR(VALUE(TEXTSPLIT(O190,",")),0)))),0)</f>
        <v/>
      </c>
      <c r="S190">
        <f>IFERROR(L190*MAX(N190,1)/R190*IF(ISBLANK(K189),1,K189),0)</f>
        <v/>
      </c>
      <c r="AB190" s="7" t="inlineStr">
        <is>
          <t>^MediumMissile, ^FlakWeapon, ^TeslaWeapon, ^MagicWeapon</t>
        </is>
      </c>
    </row>
    <row r="191">
      <c r="B191" s="7" t="inlineStr">
        <is>
          <t xml:space="preserve">  ↳ AsianPhotonCannon_EMP</t>
        </is>
      </c>
      <c r="C191" s="7" t="inlineStr">
        <is>
          <t>Armament@Upgrade</t>
        </is>
      </c>
      <c r="L191" s="6" t="n">
        <v>8000</v>
      </c>
      <c r="M191" s="6" t="n">
        <v>13</v>
      </c>
      <c r="N191" s="6" t="n">
        <v>1</v>
      </c>
      <c r="O191" s="6" t="n"/>
      <c r="P191" s="6" t="n">
        <v>14000</v>
      </c>
      <c r="Q191" s="6" t="n">
        <v>1</v>
      </c>
      <c r="R191">
        <f>M191+IF(MAX(N191-1,0)&gt;0,IF(ISBLANK(O191),5*MAX(N191-1,0),IF(ISNUMBER(O191),O191*MAX(N191-1,0),SUM(IFERROR(VALUE(TEXTSPLIT(O191,",")),0)))),0)</f>
        <v/>
      </c>
      <c r="S191">
        <f>IFERROR(L191*MAX(N191,1)/R191*IF(ISBLANK(K189),1,K189),0)</f>
        <v/>
      </c>
      <c r="AB191" s="7" t="inlineStr">
        <is>
          <t>AsianPhotonCannon</t>
        </is>
      </c>
    </row>
    <row r="192">
      <c r="A192" t="inlineStr">
        <is>
          <t>redalert2mod</t>
        </is>
      </c>
      <c r="B192" t="inlineStr">
        <is>
          <t>steelconsortium_antiairquantummissileturret</t>
        </is>
      </c>
      <c r="C192" t="inlineStr">
        <is>
          <t>Anti Air Quantum Missile Turret</t>
        </is>
      </c>
      <c r="D192" s="6" t="inlineStr">
        <is>
          <t>AntiAirDefense</t>
        </is>
      </c>
      <c r="E192" s="6" t="n">
        <v>121000</v>
      </c>
      <c r="G192" t="inlineStr">
        <is>
          <t>Concrete</t>
        </is>
      </c>
      <c r="H192" s="6" t="n">
        <v>0.8048999999999999</v>
      </c>
      <c r="I192" s="6" t="n">
        <v>1</v>
      </c>
      <c r="J192" s="6" t="n">
        <v>1</v>
      </c>
      <c r="X192" s="6" t="n">
        <v>1000</v>
      </c>
    </row>
    <row r="193">
      <c r="B193" s="7" t="inlineStr">
        <is>
          <t xml:space="preserve">  ↳ GLStingerTargeting</t>
        </is>
      </c>
      <c r="C193" s="7" t="inlineStr">
        <is>
          <t>Armament@DroneTargeting</t>
        </is>
      </c>
      <c r="M193" s="6" t="n">
        <v>25</v>
      </c>
      <c r="N193" s="6" t="n">
        <v>1</v>
      </c>
      <c r="O193" s="6" t="n"/>
      <c r="P193" s="6" t="n">
        <v>15000</v>
      </c>
      <c r="Q193" s="6" t="n">
        <v>1</v>
      </c>
      <c r="R193">
        <f>M193+IF(MAX(N193-1,0)&gt;0,IF(ISBLANK(O193),5*MAX(N193-1,0),IF(ISNUMBER(O193),O193*MAX(N193-1,0),SUM(IFERROR(VALUE(TEXTSPLIT(O193,",")),0)))),0)</f>
        <v/>
      </c>
      <c r="S193">
        <f>IFERROR(L193*MAX(N193,1)/R193*IF(ISBLANK(K192),1,K192),0)</f>
        <v/>
      </c>
      <c r="AB193" s="7" t="inlineStr"/>
    </row>
    <row r="194">
      <c r="B194" s="7" t="inlineStr">
        <is>
          <t xml:space="preserve">  ↳ ConsortiumMissileSystem</t>
        </is>
      </c>
      <c r="C194" s="7" t="inlineStr">
        <is>
          <t>Armament</t>
        </is>
      </c>
      <c r="L194" s="6" t="n">
        <v>24000</v>
      </c>
      <c r="M194" s="6" t="n">
        <v>60</v>
      </c>
      <c r="N194" s="6" t="n">
        <v>2</v>
      </c>
      <c r="O194" s="6" t="n">
        <v>10</v>
      </c>
      <c r="P194" s="6" t="n">
        <v>12000</v>
      </c>
      <c r="Q194" s="6" t="n">
        <v>1</v>
      </c>
      <c r="R194">
        <f>M194+IF(MAX(N194-1,0)&gt;0,IF(ISBLANK(O194),5*MAX(N194-1,0),IF(ISNUMBER(O194),O194*MAX(N194-1,0),SUM(IFERROR(VALUE(TEXTSPLIT(O194,",")),0)))),0)</f>
        <v/>
      </c>
      <c r="S194">
        <f>IFERROR(L194*MAX(N194,1)/R194*IF(ISBLANK(K192),1,K192),0)</f>
        <v/>
      </c>
      <c r="AB194" s="7" t="inlineStr">
        <is>
          <t>^Warhead_Flak_Medium, ^Warhead_MissileAP_Medium</t>
        </is>
      </c>
    </row>
    <row r="195">
      <c r="B195" s="7" t="inlineStr">
        <is>
          <t xml:space="preserve">  ↳ ConsortiumMissileSystem_EMP</t>
        </is>
      </c>
      <c r="C195" s="7" t="inlineStr">
        <is>
          <t>Armament@Upgrade</t>
        </is>
      </c>
      <c r="L195" s="6" t="n">
        <v>24000</v>
      </c>
      <c r="M195" s="6" t="n">
        <v>60</v>
      </c>
      <c r="N195" s="6" t="n">
        <v>2</v>
      </c>
      <c r="O195" s="6" t="n">
        <v>10</v>
      </c>
      <c r="P195" s="6" t="n">
        <v>12000</v>
      </c>
      <c r="Q195" s="6" t="n">
        <v>1</v>
      </c>
      <c r="R195">
        <f>M195+IF(MAX(N195-1,0)&gt;0,IF(ISBLANK(O195),5*MAX(N195-1,0),IF(ISNUMBER(O195),O195*MAX(N195-1,0),SUM(IFERROR(VALUE(TEXTSPLIT(O195,",")),0)))),0)</f>
        <v/>
      </c>
      <c r="S195">
        <f>IFERROR(L195*MAX(N195,1)/R195*IF(ISBLANK(K192),1,K192),0)</f>
        <v/>
      </c>
      <c r="AB195" s="7" t="inlineStr">
        <is>
          <t>^Warhead_Flak_Medium, ^Warhead_MissileAP_Medium</t>
        </is>
      </c>
    </row>
    <row r="196">
      <c r="A196" t="inlineStr">
        <is>
          <t>redalert2mod</t>
        </is>
      </c>
      <c r="B196" t="inlineStr">
        <is>
          <t>latinsyndicate_latinaadefender</t>
        </is>
      </c>
      <c r="C196" t="inlineStr">
        <is>
          <t>Latin AA Defender</t>
        </is>
      </c>
      <c r="D196" s="6" t="inlineStr">
        <is>
          <t>AntiAirDefense</t>
        </is>
      </c>
      <c r="E196" s="6" t="n">
        <v>132500</v>
      </c>
      <c r="G196" t="inlineStr">
        <is>
          <t>Concrete</t>
        </is>
      </c>
      <c r="H196" s="6" t="n">
        <v>0.8048999999999999</v>
      </c>
      <c r="I196" s="6" t="n">
        <v>1</v>
      </c>
      <c r="J196" s="6" t="n">
        <v>1</v>
      </c>
      <c r="X196" s="6" t="n">
        <v>1500</v>
      </c>
    </row>
    <row r="197">
      <c r="B197" s="7" t="inlineStr">
        <is>
          <t xml:space="preserve">  ↳ LatinAADefenderCannon</t>
        </is>
      </c>
      <c r="C197" s="7" t="inlineStr">
        <is>
          <t>Armament@1</t>
        </is>
      </c>
      <c r="L197" s="6" t="n">
        <v>4000</v>
      </c>
      <c r="M197" s="6" t="n">
        <v>20</v>
      </c>
      <c r="N197" s="6" t="n">
        <v>2</v>
      </c>
      <c r="O197" s="6" t="n">
        <v>0</v>
      </c>
      <c r="P197" s="6" t="n">
        <v>15000</v>
      </c>
      <c r="Q197" s="6" t="n">
        <v>1</v>
      </c>
      <c r="R197">
        <f>M197+IF(MAX(N197-1,0)&gt;0,IF(ISBLANK(O197),5*MAX(N197-1,0),IF(ISNUMBER(O197),O197*MAX(N197-1,0),SUM(IFERROR(VALUE(TEXTSPLIT(O197,",")),0)))),0)</f>
        <v/>
      </c>
      <c r="S197">
        <f>IFERROR(L197*MAX(N197,1)/R197*IF(ISBLANK(K196),1,K196),0)</f>
        <v/>
      </c>
      <c r="AB197" s="7" t="inlineStr">
        <is>
          <t>^Warhead_MissileAP_Medium, ^Warhead_Flak_Medium</t>
        </is>
      </c>
    </row>
    <row r="198">
      <c r="B198" s="7" t="inlineStr">
        <is>
          <t xml:space="preserve">  ↳ LatinAADefenderCannon</t>
        </is>
      </c>
      <c r="C198" s="7" t="inlineStr">
        <is>
          <t>Armament@2</t>
        </is>
      </c>
      <c r="L198" s="6" t="n">
        <v>4000</v>
      </c>
      <c r="M198" s="6" t="n">
        <v>20</v>
      </c>
      <c r="N198" s="6" t="n">
        <v>2</v>
      </c>
      <c r="O198" s="6" t="n">
        <v>0</v>
      </c>
      <c r="P198" s="6" t="n">
        <v>15000</v>
      </c>
      <c r="Q198" s="6" t="n">
        <v>1</v>
      </c>
      <c r="R198">
        <f>M198+IF(MAX(N198-1,0)&gt;0,IF(ISBLANK(O198),5*MAX(N198-1,0),IF(ISNUMBER(O198),O198*MAX(N198-1,0),SUM(IFERROR(VALUE(TEXTSPLIT(O198,",")),0)))),0)</f>
        <v/>
      </c>
      <c r="S198">
        <f>IFERROR(L198*MAX(N198,1)/R198*IF(ISBLANK(K196),1,K196),0)</f>
        <v/>
      </c>
      <c r="AB198" s="7" t="inlineStr">
        <is>
          <t>^Warhead_MissileAP_Medium, ^Warhead_Flak_Medium</t>
        </is>
      </c>
    </row>
    <row r="199">
      <c r="A199" t="inlineStr">
        <is>
          <t>redalert2mod</t>
        </is>
      </c>
      <c r="B199" t="inlineStr">
        <is>
          <t>tkm_quadturretbunker</t>
        </is>
      </c>
      <c r="C199" t="inlineStr">
        <is>
          <t>TKM Quad Turret Bunker</t>
        </is>
      </c>
      <c r="D199" s="6" t="inlineStr">
        <is>
          <t>AntiAirDefense</t>
        </is>
      </c>
      <c r="E199" s="6" t="n">
        <v>85000</v>
      </c>
      <c r="F199" t="n">
        <v>100</v>
      </c>
      <c r="G199" t="inlineStr">
        <is>
          <t>Concrete</t>
        </is>
      </c>
      <c r="H199" s="6" t="n">
        <v>0.7082000000000001</v>
      </c>
      <c r="I199" s="6" t="n">
        <v>1</v>
      </c>
      <c r="J199" s="6" t="n">
        <v>1</v>
      </c>
      <c r="P199">
        <f>MAX(P200)</f>
        <v/>
      </c>
      <c r="S199">
        <f>S200</f>
        <v/>
      </c>
      <c r="T199">
        <f>(E199/100000+F199/100+(P199/1000)*J199/5+S199/200)*200*I199*H199</f>
        <v/>
      </c>
      <c r="U199">
        <f>((E199*F199/25000)+((P199/1000)*J199*S199/2.5))*I199*H199</f>
        <v/>
      </c>
      <c r="V199">
        <f>(E199*F199*(P199/1000)*J199*S199*I199*H199)/12500000</f>
        <v/>
      </c>
      <c r="W199">
        <f>(T199+U199+V199)/3</f>
        <v/>
      </c>
      <c r="X199" s="6" t="n">
        <v>900</v>
      </c>
      <c r="Y199">
        <f>IFERROR(W199-X199,"")</f>
        <v/>
      </c>
      <c r="Z199">
        <f>IFERROR(ABS(Y199)/MAX(X199,1),"")</f>
        <v/>
      </c>
      <c r="AA199">
        <f>IFERROR((X199-(((E199/100000+F199/100+S199/200)*200*I199*H199)+((E199*F199/25000)*I199*H199))/3)/(((J199/5)*200*I199*H199)+((J199*S199/2.5)*I199*H199)+((E199*F199*J199*S199*I199*H199)/12500000))/3*1000,"")</f>
        <v/>
      </c>
    </row>
    <row r="200">
      <c r="B200" s="7" t="inlineStr">
        <is>
          <t xml:space="preserve">  ↳ TKMAATurretCannon</t>
        </is>
      </c>
      <c r="C200" s="7" t="inlineStr">
        <is>
          <t>Armament@AA</t>
        </is>
      </c>
      <c r="L200" s="6" t="n">
        <v>4000</v>
      </c>
      <c r="M200" s="6" t="n">
        <v>5</v>
      </c>
      <c r="N200" s="6" t="n">
        <v>1</v>
      </c>
      <c r="O200" s="6" t="n"/>
      <c r="P200" s="6" t="n">
        <v>11604</v>
      </c>
      <c r="Q200" s="6" t="n">
        <v>1</v>
      </c>
      <c r="R200">
        <f>M200+IF(MAX(N200-1,0)&gt;0,IF(ISBLANK(O200),5*MAX(N200-1,0),IF(ISNUMBER(O200),O200*MAX(N200-1,0),SUM(IFERROR(VALUE(TEXTSPLIT(O200,",")),0)))),0)</f>
        <v/>
      </c>
      <c r="S200">
        <f>IFERROR(L200*MAX(N200,1)/R200*IF(ISBLANK(K199),1,K199),0)</f>
        <v/>
      </c>
      <c r="AB200" s="7" t="inlineStr">
        <is>
          <t>^Warhead_MissileHE_Medium, ^Warhead_Flak_Medium</t>
        </is>
      </c>
    </row>
    <row r="201">
      <c r="A201" t="inlineStr">
        <is>
          <t>starcraft</t>
        </is>
      </c>
      <c r="B201" t="inlineStr">
        <is>
          <t>protoss_photoncannon</t>
        </is>
      </c>
      <c r="C201" t="inlineStr">
        <is>
          <t>Photon Cannon</t>
        </is>
      </c>
      <c r="D201" s="6" t="inlineStr">
        <is>
          <t>AntiAirDefense</t>
        </is>
      </c>
      <c r="E201" s="6" t="n">
        <v>200000</v>
      </c>
      <c r="F201" t="n">
        <v>100</v>
      </c>
      <c r="G201" t="inlineStr">
        <is>
          <t>Concrete</t>
        </is>
      </c>
      <c r="H201" s="6" t="n">
        <v>1</v>
      </c>
      <c r="I201" s="6" t="n">
        <v>0.325</v>
      </c>
      <c r="J201" s="6" t="n">
        <v>1</v>
      </c>
      <c r="P201">
        <f>MAX(P202)</f>
        <v/>
      </c>
      <c r="S201">
        <f>S202</f>
        <v/>
      </c>
      <c r="T201">
        <f>(E201/100000+F201/100+(P201/1000)*J201/5+S201/200)*200*I201*H201</f>
        <v/>
      </c>
      <c r="U201">
        <f>((E201*F201/25000)+((P201/1000)*J201*S201/2.5))*I201*H201</f>
        <v/>
      </c>
      <c r="V201">
        <f>(E201*F201*(P201/1000)*J201*S201*I201*H201)/12500000</f>
        <v/>
      </c>
      <c r="W201">
        <f>(T201+U201+V201)/3</f>
        <v/>
      </c>
      <c r="X201" s="6" t="n">
        <v>2000</v>
      </c>
      <c r="Y201">
        <f>IFERROR(W201-X201,"")</f>
        <v/>
      </c>
      <c r="Z201">
        <f>IFERROR(ABS(Y201)/MAX(X201,1),"")</f>
        <v/>
      </c>
      <c r="AA201">
        <f>IFERROR((X201-(((E201/100000+F201/100+S201/200)*200*I201*H201)+((E201*F201/25000)*I201*H201))/3)/(((J201/5)*200*I201*H201)+((J201*S201/2.5)*I201*H201)+((E201*F201*J201*S201*I201*H201)/12500000))/3*1000,"")</f>
        <v/>
      </c>
    </row>
    <row r="202">
      <c r="B202" s="7" t="inlineStr">
        <is>
          <t xml:space="preserve">  ↳ PhotonCannon</t>
        </is>
      </c>
      <c r="C202" s="7" t="inlineStr">
        <is>
          <t>Armament</t>
        </is>
      </c>
      <c r="L202" s="6" t="n">
        <v>40000</v>
      </c>
      <c r="M202" s="6" t="n">
        <v>28</v>
      </c>
      <c r="N202" s="6" t="n">
        <v>1</v>
      </c>
      <c r="O202" s="6" t="n"/>
      <c r="P202" s="6" t="n">
        <v>8228</v>
      </c>
      <c r="Q202" s="6" t="n">
        <v>1</v>
      </c>
      <c r="R202">
        <f>M202+IF(MAX(N202-1,0)&gt;0,IF(ISBLANK(O202),5*MAX(N202-1,0),IF(ISNUMBER(O202),O202*MAX(N202-1,0),SUM(IFERROR(VALUE(TEXTSPLIT(O202,",")),0)))),0)</f>
        <v/>
      </c>
      <c r="S202">
        <f>IFERROR(L202*MAX(N202,1)/R202*IF(ISBLANK(K201),1,K201),0)</f>
        <v/>
      </c>
      <c r="AB202" s="7" t="inlineStr">
        <is>
          <t>^FlakWeapon, ^HeavyCannon, ^MediumCannon, ^TankDestroyerCannon</t>
        </is>
      </c>
    </row>
    <row r="203">
      <c r="A203" t="inlineStr">
        <is>
          <t>starcraft</t>
        </is>
      </c>
      <c r="B203" t="inlineStr">
        <is>
          <t>terran_missileturret</t>
        </is>
      </c>
      <c r="C203" t="inlineStr">
        <is>
          <t>Missile Turret</t>
        </is>
      </c>
      <c r="D203" s="6" t="inlineStr">
        <is>
          <t>AntiAirDefense</t>
        </is>
      </c>
      <c r="E203" s="6" t="n">
        <v>200000</v>
      </c>
      <c r="F203" t="n">
        <v>100</v>
      </c>
      <c r="G203" t="inlineStr">
        <is>
          <t>Concrete</t>
        </is>
      </c>
      <c r="H203" s="6" t="n">
        <v>1</v>
      </c>
      <c r="I203" s="6" t="n">
        <v>0.225</v>
      </c>
      <c r="J203" s="6" t="n">
        <v>1</v>
      </c>
      <c r="P203">
        <f>MAX(P204,P205)</f>
        <v/>
      </c>
      <c r="S203">
        <f>S204+S205</f>
        <v/>
      </c>
      <c r="T203">
        <f>(E203/100000+F203/100+(P203/1000)*J203/5+S203/200)*200*I203*H203</f>
        <v/>
      </c>
      <c r="U203">
        <f>((E203*F203/25000)+((P203/1000)*J203*S203/2.5))*I203*H203</f>
        <v/>
      </c>
      <c r="V203">
        <f>(E203*F203*(P203/1000)*J203*S203*I203*H203)/12500000</f>
        <v/>
      </c>
      <c r="W203">
        <f>(T203+U203+V203)/3</f>
        <v/>
      </c>
      <c r="X203" s="6" t="n">
        <v>1200</v>
      </c>
      <c r="Y203">
        <f>IFERROR(W203-X203,"")</f>
        <v/>
      </c>
      <c r="Z203">
        <f>IFERROR(ABS(Y203)/MAX(X203,1),"")</f>
        <v/>
      </c>
      <c r="AA203">
        <f>IFERROR((X203-(((E203/100000+F203/100+S203/200)*200*I203*H203)+((E203*F203/25000)*I203*H203))/3)/(((J203/5)*200*I203*H203)+((J203*S203/2.5)*I203*H203)+((E203*F203*J203*S203*I203*H203)/12500000))/3*1000,"")</f>
        <v/>
      </c>
    </row>
    <row r="204">
      <c r="B204" s="7" t="inlineStr">
        <is>
          <t xml:space="preserve">  ↳ MissileTurret</t>
        </is>
      </c>
      <c r="C204" s="7" t="inlineStr">
        <is>
          <t>Armament@1</t>
        </is>
      </c>
      <c r="L204" s="6" t="n">
        <v>20000</v>
      </c>
      <c r="M204" s="6" t="n">
        <v>30</v>
      </c>
      <c r="N204" s="6" t="n">
        <v>1</v>
      </c>
      <c r="O204" s="6" t="n"/>
      <c r="P204" s="6" t="n">
        <v>11626</v>
      </c>
      <c r="Q204" s="6" t="n">
        <v>1.25</v>
      </c>
      <c r="R204">
        <f>M204+IF(MAX(N204-1,0)&gt;0,IF(ISBLANK(O204),5*MAX(N204-1,0),IF(ISNUMBER(O204),O204*MAX(N204-1,0),SUM(IFERROR(VALUE(TEXTSPLIT(O204,",")),0)))),0)</f>
        <v/>
      </c>
      <c r="S204">
        <f>IFERROR(L204*MAX(N204,1)/R204*IF(ISBLANK(K203),1,K203),0)</f>
        <v/>
      </c>
      <c r="AB204" s="7" t="inlineStr">
        <is>
          <t>^Warhead_MissileAA_Heavy</t>
        </is>
      </c>
    </row>
    <row r="205">
      <c r="B205" s="7" t="inlineStr">
        <is>
          <t xml:space="preserve">  ↳ MissileTurret</t>
        </is>
      </c>
      <c r="C205" s="7" t="inlineStr">
        <is>
          <t>Armament@2</t>
        </is>
      </c>
      <c r="L205" s="6" t="n">
        <v>20000</v>
      </c>
      <c r="M205" s="6" t="n">
        <v>30</v>
      </c>
      <c r="N205" s="6" t="n">
        <v>1</v>
      </c>
      <c r="O205" s="6" t="n"/>
      <c r="P205" s="6" t="n">
        <v>11626</v>
      </c>
      <c r="Q205" s="6" t="n">
        <v>1.25</v>
      </c>
      <c r="R205">
        <f>M205+IF(MAX(N205-1,0)&gt;0,IF(ISBLANK(O205),5*MAX(N205-1,0),IF(ISNUMBER(O205),O205*MAX(N205-1,0),SUM(IFERROR(VALUE(TEXTSPLIT(O205,",")),0)))),0)</f>
        <v/>
      </c>
      <c r="S205">
        <f>IFERROR(L205*MAX(N205,1)/R205*IF(ISBLANK(K203),1,K203),0)</f>
        <v/>
      </c>
      <c r="AB205" s="7" t="inlineStr">
        <is>
          <t>^Warhead_MissileAA_Heavy</t>
        </is>
      </c>
    </row>
    <row r="206">
      <c r="A206" s="4" t="inlineStr">
        <is>
          <t>AdvancedDefense</t>
        </is>
      </c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</row>
    <row r="207">
      <c r="A207" t="inlineStr">
        <is>
          <t>tiberiandawn</t>
        </is>
      </c>
      <c r="B207" t="inlineStr">
        <is>
          <t>td_gdi_advancedguardtower</t>
        </is>
      </c>
      <c r="C207" t="inlineStr">
        <is>
          <t>Advanced Guard Tower</t>
        </is>
      </c>
      <c r="D207" s="6" t="inlineStr">
        <is>
          <t>AdvancedDefense</t>
        </is>
      </c>
      <c r="E207" s="6" t="n">
        <v>140000</v>
      </c>
      <c r="G207" t="inlineStr">
        <is>
          <t>Steel</t>
        </is>
      </c>
      <c r="H207" s="6" t="n">
        <v>1</v>
      </c>
      <c r="I207" s="6" t="n">
        <v>0.325</v>
      </c>
      <c r="J207" s="6" t="n">
        <v>1</v>
      </c>
      <c r="X207" s="6" t="n">
        <v>1600</v>
      </c>
    </row>
    <row r="208">
      <c r="B208" s="7" t="inlineStr">
        <is>
          <t xml:space="preserve">  ↳ TowerMissile</t>
        </is>
      </c>
      <c r="C208" s="7" t="inlineStr">
        <is>
          <t>Armament@PRIMARY</t>
        </is>
      </c>
      <c r="L208" s="6" t="n">
        <v>14000</v>
      </c>
      <c r="M208" s="6" t="n">
        <v>25</v>
      </c>
      <c r="N208" s="6" t="n">
        <v>2</v>
      </c>
      <c r="O208" s="6" t="n">
        <v>5</v>
      </c>
      <c r="P208" s="6" t="n">
        <v>8772</v>
      </c>
      <c r="Q208" s="6" t="n">
        <v>1</v>
      </c>
      <c r="R208">
        <f>M208+IF(MAX(N208-1,0)&gt;0,IF(ISBLANK(O208),5*MAX(N208-1,0),IF(ISNUMBER(O208),O208*MAX(N208-1,0),SUM(IFERROR(VALUE(TEXTSPLIT(O208,",")),0)))),0)</f>
        <v/>
      </c>
      <c r="S208">
        <f>IFERROR(L208*MAX(N208,1)/R208*IF(ISBLANK(K207),1,K207),0)</f>
        <v/>
      </c>
      <c r="AB208" s="7" t="inlineStr">
        <is>
          <t>^TankDestroyerCannon, ^Grenade, ^ShrapnelWeapon, ^FlakWeapon, ^HeavyAAWeapon, ^HeavyMissile, ^MediumMissile</t>
        </is>
      </c>
    </row>
    <row r="209">
      <c r="B209" s="7" t="inlineStr">
        <is>
          <t xml:space="preserve">  ↳ TowerMissileAMT</t>
        </is>
      </c>
      <c r="C209" s="7" t="inlineStr">
        <is>
          <t>Armament@AdvancedMissileTargeting</t>
        </is>
      </c>
      <c r="L209" s="6" t="n">
        <v>14000</v>
      </c>
      <c r="M209" s="6" t="n">
        <v>25</v>
      </c>
      <c r="N209" s="6" t="n">
        <v>2</v>
      </c>
      <c r="O209" s="6" t="n">
        <v>5</v>
      </c>
      <c r="P209" s="6" t="n">
        <v>8772</v>
      </c>
      <c r="Q209" s="6" t="n">
        <v>1</v>
      </c>
      <c r="R209">
        <f>M209+IF(MAX(N209-1,0)&gt;0,IF(ISBLANK(O209),5*MAX(N209-1,0),IF(ISNUMBER(O209),O209*MAX(N209-1,0),SUM(IFERROR(VALUE(TEXTSPLIT(O209,",")),0)))),0)</f>
        <v/>
      </c>
      <c r="S209">
        <f>IFERROR(L209*MAX(N209,1)/R209*IF(ISBLANK(K207),1,K207),0)</f>
        <v/>
      </c>
      <c r="AB209" s="7" t="inlineStr">
        <is>
          <t>TowerMissile, ^AMTProjectile</t>
        </is>
      </c>
    </row>
    <row r="210">
      <c r="A210" t="inlineStr">
        <is>
          <t>tiberiandawn</t>
        </is>
      </c>
      <c r="B210" t="inlineStr">
        <is>
          <t>td_nod_obeliskoflight</t>
        </is>
      </c>
      <c r="C210" t="inlineStr">
        <is>
          <t>Obelisk of Light</t>
        </is>
      </c>
      <c r="D210" s="6" t="inlineStr">
        <is>
          <t>AdvancedDefense</t>
        </is>
      </c>
      <c r="E210" s="6" t="n">
        <v>242500</v>
      </c>
      <c r="G210" t="inlineStr">
        <is>
          <t>Steel</t>
        </is>
      </c>
      <c r="H210" s="6" t="n">
        <v>0.4177</v>
      </c>
      <c r="I210" s="6" t="n">
        <v>1</v>
      </c>
      <c r="J210" s="6" t="n">
        <v>1</v>
      </c>
      <c r="K210" t="n">
        <v>0.016</v>
      </c>
      <c r="X210" s="6" t="n">
        <v>1800</v>
      </c>
    </row>
    <row r="211">
      <c r="B211" s="7" t="inlineStr">
        <is>
          <t xml:space="preserve">  ↳ LaserObelisk</t>
        </is>
      </c>
      <c r="C211" s="7" t="inlineStr">
        <is>
          <t>Armament@Base</t>
        </is>
      </c>
      <c r="L211" s="6" t="n">
        <v>96000</v>
      </c>
      <c r="M211" s="6" t="n">
        <v>96</v>
      </c>
      <c r="N211" s="6" t="n">
        <v>1</v>
      </c>
      <c r="O211" s="6" t="n"/>
      <c r="P211" s="6" t="n">
        <v>9600</v>
      </c>
      <c r="Q211" s="6" t="n">
        <v>1.25</v>
      </c>
      <c r="R211">
        <f>M211+IF(MAX(N211-1,0)&gt;0,IF(ISBLANK(O211),5*MAX(N211-1,0),IF(ISNUMBER(O211),O211*MAX(N211-1,0),SUM(IFERROR(VALUE(TEXTSPLIT(O211,",")),0)))),0)</f>
        <v/>
      </c>
      <c r="S211">
        <f>IFERROR(L211*MAX(N211,1)/R211*IF(ISBLANK(K210),1,K210),0)</f>
        <v/>
      </c>
      <c r="AB211" s="7" t="inlineStr">
        <is>
          <t>^Warhead_Laser_Heavy</t>
        </is>
      </c>
    </row>
    <row r="212">
      <c r="B212" s="7" t="inlineStr">
        <is>
          <t xml:space="preserve">  ↳ LaserObelisk</t>
        </is>
      </c>
      <c r="C212" s="7" t="inlineStr">
        <is>
          <t>Armament@Elite</t>
        </is>
      </c>
      <c r="L212" s="6" t="n">
        <v>96000</v>
      </c>
      <c r="M212" s="6" t="n">
        <v>96</v>
      </c>
      <c r="N212" s="6" t="n">
        <v>1</v>
      </c>
      <c r="O212" s="6" t="n"/>
      <c r="P212" s="6" t="n">
        <v>9600</v>
      </c>
      <c r="Q212" s="6" t="n">
        <v>1.25</v>
      </c>
      <c r="R212">
        <f>M212+IF(MAX(N212-1,0)&gt;0,IF(ISBLANK(O212),5*MAX(N212-1,0),IF(ISNUMBER(O212),O212*MAX(N212-1,0),SUM(IFERROR(VALUE(TEXTSPLIT(O212,",")),0)))),0)</f>
        <v/>
      </c>
      <c r="S212">
        <f>IFERROR(L212*MAX(N212,1)/R212*IF(ISBLANK(K210),1,K210),0)</f>
        <v/>
      </c>
      <c r="AB212" s="7" t="inlineStr">
        <is>
          <t>^Warhead_Laser_Heavy</t>
        </is>
      </c>
    </row>
    <row r="213">
      <c r="B213" s="7" t="inlineStr">
        <is>
          <t xml:space="preserve">  ↳ LaserObeliskBurning</t>
        </is>
      </c>
      <c r="C213" s="7" t="inlineStr">
        <is>
          <t>Armament@Burning</t>
        </is>
      </c>
      <c r="L213" s="6" t="n">
        <v>120000</v>
      </c>
      <c r="M213" s="6" t="n">
        <v>96</v>
      </c>
      <c r="N213" s="6" t="n">
        <v>10</v>
      </c>
      <c r="O213" s="6" t="n">
        <v>1</v>
      </c>
      <c r="P213" s="6" t="n">
        <v>9600</v>
      </c>
      <c r="Q213" s="6" t="n">
        <v>1.25</v>
      </c>
      <c r="R213">
        <f>M213+IF(MAX(N213-1,0)&gt;0,IF(ISBLANK(O213),5*MAX(N213-1,0),IF(ISNUMBER(O213),O213*MAX(N213-1,0),SUM(IFERROR(VALUE(TEXTSPLIT(O213,",")),0)))),0)</f>
        <v/>
      </c>
      <c r="S213">
        <f>IFERROR(L213*MAX(N213,1)/R213*IF(ISBLANK(K210),1,K210),0)</f>
        <v/>
      </c>
      <c r="AB213" s="7" t="inlineStr">
        <is>
          <t>^Warhead_Laser_Heavy, ^Warhead_Inferno_Heavy</t>
        </is>
      </c>
    </row>
    <row r="214">
      <c r="A214" t="inlineStr">
        <is>
          <t>redalert</t>
        </is>
      </c>
      <c r="B214" t="inlineStr">
        <is>
          <t>japan_ballistatower</t>
        </is>
      </c>
      <c r="C214" t="inlineStr">
        <is>
          <t>Ballista Tower</t>
        </is>
      </c>
      <c r="D214" s="6" t="inlineStr">
        <is>
          <t>AdvancedDefense</t>
        </is>
      </c>
      <c r="E214" s="6" t="n">
        <v>190000</v>
      </c>
      <c r="F214" t="n">
        <v>100</v>
      </c>
      <c r="G214" t="inlineStr">
        <is>
          <t>Steel</t>
        </is>
      </c>
      <c r="H214" s="6" t="n">
        <v>1</v>
      </c>
      <c r="I214" s="6" t="n">
        <v>0.325</v>
      </c>
      <c r="J214" s="6" t="n">
        <v>1</v>
      </c>
      <c r="K214" t="n">
        <v>0.0075</v>
      </c>
      <c r="P214">
        <f>MAX(P215,P216,P217,P218)</f>
        <v/>
      </c>
      <c r="S214">
        <f>S215+S216+S217+S218</f>
        <v/>
      </c>
      <c r="T214">
        <f>(E214/100000+F214/100+(P214/1000)*J214/5+S214/200)*200*I214*H214</f>
        <v/>
      </c>
      <c r="U214">
        <f>((E214*F214/25000)+((P214/1000)*J214*S214/2.5))*I214*H214</f>
        <v/>
      </c>
      <c r="V214">
        <f>(E214*F214*(P214/1000)*J214*S214*I214*H214)/12500000</f>
        <v/>
      </c>
      <c r="W214">
        <f>(T214+U214+V214)/3</f>
        <v/>
      </c>
      <c r="X214" s="6" t="n">
        <v>1400</v>
      </c>
      <c r="Y214">
        <f>IFERROR(W214-X214,"")</f>
        <v/>
      </c>
      <c r="Z214">
        <f>IFERROR(ABS(Y214)/MAX(X214,1),"")</f>
        <v/>
      </c>
      <c r="AA214">
        <f>IFERROR((X214-(((E214/100000+F214/100+S214/200)*200*I214*H214)+((E214*F214/25000)*I214*H214))/3)/(((J214/5)*200*I214*H214)+((J214*S214/2.5)*I214*H214)+((E214*F214*J214*S214*I214*H214)/12500000))/3*1000,"")</f>
        <v/>
      </c>
    </row>
    <row r="215">
      <c r="B215" s="7" t="inlineStr">
        <is>
          <t xml:space="preserve">  ↳ BallistaTowerMultiShot</t>
        </is>
      </c>
      <c r="C215" s="7" t="inlineStr">
        <is>
          <t>Armament@PRIMARY</t>
        </is>
      </c>
      <c r="L215" s="6" t="n">
        <v>40000</v>
      </c>
      <c r="M215" s="6" t="n">
        <v>176</v>
      </c>
      <c r="N215" s="6" t="n">
        <v>5</v>
      </c>
      <c r="O215" s="6" t="n">
        <v>6</v>
      </c>
      <c r="P215" s="6" t="n">
        <v>9214</v>
      </c>
      <c r="Q215" s="6" t="n">
        <v>1</v>
      </c>
      <c r="R215">
        <f>M215+IF(MAX(N215-1,0)&gt;0,IF(ISBLANK(O215),5*MAX(N215-1,0),IF(ISNUMBER(O215),O215*MAX(N215-1,0),SUM(IFERROR(VALUE(TEXTSPLIT(O215,",")),0)))),0)</f>
        <v/>
      </c>
      <c r="S215">
        <f>IFERROR(L215*MAX(N215,1)/R215*IF(ISBLANK(K214),1,K214),0)</f>
        <v/>
      </c>
      <c r="AB215" s="7" t="inlineStr">
        <is>
          <t>BallistaMultiShot</t>
        </is>
      </c>
    </row>
    <row r="216">
      <c r="B216" s="7" t="inlineStr">
        <is>
          <t xml:space="preserve">  ↳ BallistaSingleShotAir</t>
        </is>
      </c>
      <c r="C216" s="7" t="inlineStr">
        <is>
          <t>Armament@AIR</t>
        </is>
      </c>
      <c r="L216" s="6" t="n">
        <v>160000</v>
      </c>
      <c r="M216" s="6" t="n">
        <v>200</v>
      </c>
      <c r="N216" s="6" t="n">
        <v>1</v>
      </c>
      <c r="O216" s="6" t="n"/>
      <c r="P216" s="6" t="n">
        <v>9214</v>
      </c>
      <c r="Q216" s="6" t="n">
        <v>0.75</v>
      </c>
      <c r="R216">
        <f>M216+IF(MAX(N216-1,0)&gt;0,IF(ISBLANK(O216),5*MAX(N216-1,0),IF(ISNUMBER(O216),O216*MAX(N216-1,0),SUM(IFERROR(VALUE(TEXTSPLIT(O216,",")),0)))),0)</f>
        <v/>
      </c>
      <c r="S216">
        <f>IFERROR(L216*MAX(N216,1)/R216*IF(ISBLANK(K214),1,K214),0)</f>
        <v/>
      </c>
      <c r="AB216" s="7" t="inlineStr">
        <is>
          <t>^Warhead_Arrow_Light</t>
        </is>
      </c>
    </row>
    <row r="217">
      <c r="B217" s="7" t="inlineStr">
        <is>
          <t xml:space="preserve">  ↳ BallistaTowerMultiShotEnergized</t>
        </is>
      </c>
      <c r="C217" s="7" t="inlineStr">
        <is>
          <t>Armament@Upgrade</t>
        </is>
      </c>
      <c r="L217" s="6" t="n">
        <v>40000</v>
      </c>
      <c r="M217" s="6" t="n">
        <v>176</v>
      </c>
      <c r="N217" s="6" t="n">
        <v>5</v>
      </c>
      <c r="O217" s="6" t="n">
        <v>6</v>
      </c>
      <c r="P217" s="6" t="n">
        <v>9214</v>
      </c>
      <c r="Q217" s="6" t="n">
        <v>1</v>
      </c>
      <c r="R217">
        <f>M217+IF(MAX(N217-1,0)&gt;0,IF(ISBLANK(O217),5*MAX(N217-1,0),IF(ISNUMBER(O217),O217*MAX(N217-1,0),SUM(IFERROR(VALUE(TEXTSPLIT(O217,",")),0)))),0)</f>
        <v/>
      </c>
      <c r="S217">
        <f>IFERROR(L217*MAX(N217,1)/R217*IF(ISBLANK(K214),1,K214),0)</f>
        <v/>
      </c>
      <c r="AB217" s="7" t="inlineStr">
        <is>
          <t>BallistaMultiShotEnergized</t>
        </is>
      </c>
    </row>
    <row r="218">
      <c r="B218" s="7" t="inlineStr">
        <is>
          <t xml:space="preserve">  ↳ BallistaSingleShotAirEnergized</t>
        </is>
      </c>
      <c r="C218" s="7" t="inlineStr">
        <is>
          <t>Armament@UpgradeAIR</t>
        </is>
      </c>
      <c r="L218" s="6" t="n">
        <v>160000</v>
      </c>
      <c r="M218" s="6" t="n">
        <v>200</v>
      </c>
      <c r="N218" s="6" t="n">
        <v>1</v>
      </c>
      <c r="O218" s="6" t="n"/>
      <c r="P218" s="6" t="n">
        <v>9214</v>
      </c>
      <c r="Q218" s="6" t="n">
        <v>0.75</v>
      </c>
      <c r="R218">
        <f>M218+IF(MAX(N218-1,0)&gt;0,IF(ISBLANK(O218),5*MAX(N218-1,0),IF(ISNUMBER(O218),O218*MAX(N218-1,0),SUM(IFERROR(VALUE(TEXTSPLIT(O218,",")),0)))),0)</f>
        <v/>
      </c>
      <c r="S218">
        <f>IFERROR(L218*MAX(N218,1)/R218*IF(ISBLANK(K214),1,K214),0)</f>
        <v/>
      </c>
      <c r="AB218" s="7" t="inlineStr">
        <is>
          <t>^Warhead_MissileAP_Light, ^Warhead_Arrow_Light</t>
        </is>
      </c>
    </row>
    <row r="219">
      <c r="A219" t="inlineStr">
        <is>
          <t>redalert</t>
        </is>
      </c>
      <c r="B219" t="inlineStr">
        <is>
          <t>japan_waveforceturret</t>
        </is>
      </c>
      <c r="C219" t="inlineStr">
        <is>
          <t>Waveforce Turret</t>
        </is>
      </c>
      <c r="D219" s="6" t="inlineStr">
        <is>
          <t>AdvancedDefense</t>
        </is>
      </c>
      <c r="E219" s="6" t="n">
        <v>220000</v>
      </c>
      <c r="F219" t="n">
        <v>100</v>
      </c>
      <c r="G219" t="inlineStr">
        <is>
          <t>Steel</t>
        </is>
      </c>
      <c r="H219" s="6" t="n">
        <v>1</v>
      </c>
      <c r="I219" s="6" t="n">
        <v>0.325</v>
      </c>
      <c r="J219" s="6" t="n">
        <v>1.25</v>
      </c>
      <c r="K219" t="n">
        <v>0.005</v>
      </c>
      <c r="X219" s="6" t="n">
        <v>3200</v>
      </c>
    </row>
    <row r="220">
      <c r="B220" s="7" t="inlineStr">
        <is>
          <t xml:space="preserve">  ↳ WaveTurretShell</t>
        </is>
      </c>
      <c r="C220" s="7" t="inlineStr">
        <is>
          <t>Armament@WaveTurretShell</t>
        </is>
      </c>
      <c r="M220" s="6" t="n">
        <v>100</v>
      </c>
      <c r="N220" s="6" t="n">
        <v>1</v>
      </c>
      <c r="O220" s="6" t="n"/>
      <c r="P220" s="6" t="n">
        <v>9825</v>
      </c>
      <c r="Q220" s="6" t="n">
        <v>1</v>
      </c>
      <c r="R220">
        <f>M220+IF(MAX(N220-1,0)&gt;0,IF(ISBLANK(O220),5*MAX(N220-1,0),IF(ISNUMBER(O220),O220*MAX(N220-1,0),SUM(IFERROR(VALUE(TEXTSPLIT(O220,",")),0)))),0)</f>
        <v/>
      </c>
      <c r="S220">
        <f>IFERROR(L220*MAX(N220,1)/R220*IF(ISBLANK(K219),1,K219),0)</f>
        <v/>
      </c>
      <c r="AB220" s="7" t="inlineStr">
        <is>
          <t>WaveArtilleryShell</t>
        </is>
      </c>
    </row>
    <row r="221">
      <c r="A221" t="inlineStr">
        <is>
          <t>redalert</t>
        </is>
      </c>
      <c r="B221" t="inlineStr">
        <is>
          <t>ra1_soviets_teslacoil</t>
        </is>
      </c>
      <c r="C221" t="inlineStr">
        <is>
          <t>Tesla Coil</t>
        </is>
      </c>
      <c r="D221" s="6" t="inlineStr">
        <is>
          <t>AdvancedDefense</t>
        </is>
      </c>
      <c r="E221" s="6" t="n">
        <v>90000</v>
      </c>
      <c r="F221" t="n">
        <v>100</v>
      </c>
      <c r="G221" t="inlineStr">
        <is>
          <t>Steel</t>
        </is>
      </c>
      <c r="H221" s="6" t="n">
        <v>0.5593</v>
      </c>
      <c r="I221" s="6" t="n">
        <v>1</v>
      </c>
      <c r="J221" s="6" t="n">
        <v>1</v>
      </c>
      <c r="P221">
        <f>MAX(P222,P223,P224)</f>
        <v/>
      </c>
      <c r="S221">
        <f>S222+S223+S224</f>
        <v/>
      </c>
      <c r="T221">
        <f>(E221/100000+F221/100+(P221/1000)*J221/5+S221/200)*200*I221*H221</f>
        <v/>
      </c>
      <c r="U221">
        <f>((E221*F221/25000)+((P221/1000)*J221*S221/2.5))*I221*H221</f>
        <v/>
      </c>
      <c r="V221">
        <f>(E221*F221*(P221/1000)*J221*S221*I221*H221)/12500000</f>
        <v/>
      </c>
      <c r="W221">
        <f>(T221+U221+V221)/3</f>
        <v/>
      </c>
      <c r="X221" s="6" t="n">
        <v>1500</v>
      </c>
      <c r="Y221">
        <f>IFERROR(W221-X221,"")</f>
        <v/>
      </c>
      <c r="Z221">
        <f>IFERROR(ABS(Y221)/MAX(X221,1),"")</f>
        <v/>
      </c>
      <c r="AA221">
        <f>IFERROR((X221-(((E221/100000+F221/100+S221/200)*200*I221*H221)+((E221*F221/25000)*I221*H221))/3)/(((J221/5)*200*I221*H221)+((J221*S221/2.5)*I221*H221)+((E221*F221*J221*S221*I221*H221)/12500000))/3*1000,"")</f>
        <v/>
      </c>
    </row>
    <row r="222">
      <c r="B222" s="7" t="inlineStr">
        <is>
          <t xml:space="preserve">  ↳ TeslaZap</t>
        </is>
      </c>
      <c r="C222" s="7" t="inlineStr">
        <is>
          <t>Armament</t>
        </is>
      </c>
      <c r="L222" s="6" t="n">
        <v>32000</v>
      </c>
      <c r="M222" s="6" t="n">
        <v>3</v>
      </c>
      <c r="N222" s="6" t="n">
        <v>1</v>
      </c>
      <c r="O222" s="6" t="n"/>
      <c r="P222" s="6" t="n">
        <v>9320</v>
      </c>
      <c r="Q222" s="6" t="n">
        <v>1.25</v>
      </c>
      <c r="R222">
        <f>M222+IF(MAX(N222-1,0)&gt;0,IF(ISBLANK(O222),5*MAX(N222-1,0),IF(ISNUMBER(O222),O222*MAX(N222-1,0),SUM(IFERROR(VALUE(TEXTSPLIT(O222,",")),0)))),0)</f>
        <v/>
      </c>
      <c r="S222">
        <f>IFERROR(L222*MAX(N222,1)/R222*IF(ISBLANK(K221),1,K221),0)</f>
        <v/>
      </c>
      <c r="AB222" s="7" t="inlineStr">
        <is>
          <t>^Warhead_Tesla_Heavy</t>
        </is>
      </c>
    </row>
    <row r="223">
      <c r="B223" s="7" t="inlineStr">
        <is>
          <t xml:space="preserve">  ↳ TeslaZap_EMP</t>
        </is>
      </c>
      <c r="C223" s="7" t="inlineStr">
        <is>
          <t>Armament@Upgrade1</t>
        </is>
      </c>
      <c r="L223" s="6" t="n">
        <v>32000</v>
      </c>
      <c r="M223" s="6" t="n">
        <v>3</v>
      </c>
      <c r="N223" s="6" t="n">
        <v>1</v>
      </c>
      <c r="O223" s="6" t="n"/>
      <c r="P223" s="6" t="n">
        <v>9320</v>
      </c>
      <c r="Q223" s="6" t="n">
        <v>1.25</v>
      </c>
      <c r="R223">
        <f>M223+IF(MAX(N223-1,0)&gt;0,IF(ISBLANK(O223),5*MAX(N223-1,0),IF(ISNUMBER(O223),O223*MAX(N223-1,0),SUM(IFERROR(VALUE(TEXTSPLIT(O223,",")),0)))),0)</f>
        <v/>
      </c>
      <c r="S223">
        <f>IFERROR(L223*MAX(N223,1)/R223*IF(ISBLANK(K221),1,K221),0)</f>
        <v/>
      </c>
      <c r="AB223" s="7" t="inlineStr">
        <is>
          <t>^Warhead_Tesla_Heavy</t>
        </is>
      </c>
    </row>
    <row r="224">
      <c r="B224" s="7" t="inlineStr">
        <is>
          <t xml:space="preserve">  ↳ TeslaZapArc_EMP</t>
        </is>
      </c>
      <c r="C224" s="7" t="inlineStr">
        <is>
          <t>Armament@Upgrade2</t>
        </is>
      </c>
      <c r="L224" s="6" t="n">
        <v>32000</v>
      </c>
      <c r="M224" s="6" t="n">
        <v>3</v>
      </c>
      <c r="N224" s="6" t="n">
        <v>1</v>
      </c>
      <c r="O224" s="6" t="n"/>
      <c r="P224" s="6" t="n">
        <v>9320</v>
      </c>
      <c r="Q224" s="6" t="n">
        <v>1.25</v>
      </c>
      <c r="R224">
        <f>M224+IF(MAX(N224-1,0)&gt;0,IF(ISBLANK(O224),5*MAX(N224-1,0),IF(ISNUMBER(O224),O224*MAX(N224-1,0),SUM(IFERROR(VALUE(TEXTSPLIT(O224,",")),0)))),0)</f>
        <v/>
      </c>
      <c r="S224">
        <f>IFERROR(L224*MAX(N224,1)/R224*IF(ISBLANK(K221),1,K221),0)</f>
        <v/>
      </c>
      <c r="AB224" s="7" t="inlineStr">
        <is>
          <t>^Warhead_Tesla_Heavy</t>
        </is>
      </c>
    </row>
    <row r="225">
      <c r="A225" t="inlineStr">
        <is>
          <t>redalert</t>
        </is>
      </c>
      <c r="B225" t="inlineStr">
        <is>
          <t>ra1_allies_bastionartillerybunker</t>
        </is>
      </c>
      <c r="C225" t="inlineStr">
        <is>
          <t>Bastion Artillery Bunker</t>
        </is>
      </c>
      <c r="D225" s="6" t="inlineStr">
        <is>
          <t>AdvancedDefense</t>
        </is>
      </c>
      <c r="E225" s="6" t="n">
        <v>350000</v>
      </c>
      <c r="F225" t="n">
        <v>100</v>
      </c>
      <c r="G225" t="inlineStr">
        <is>
          <t>Steel</t>
        </is>
      </c>
      <c r="H225" s="6" t="n">
        <v>1</v>
      </c>
      <c r="I225" s="6" t="n">
        <v>1</v>
      </c>
      <c r="J225" s="6" t="n">
        <v>1</v>
      </c>
      <c r="P225">
        <f>MAX(P226,P227)</f>
        <v/>
      </c>
      <c r="S225">
        <f>S226+S227</f>
        <v/>
      </c>
      <c r="T225">
        <f>(E225/100000+F225/100+(P225/1000)*J225/5+S225/200)*200*I225*H225</f>
        <v/>
      </c>
      <c r="U225">
        <f>((E225*F225/25000)+((P225/1000)*J225*S225/2.5))*I225*H225</f>
        <v/>
      </c>
      <c r="V225">
        <f>(E225*F225*(P225/1000)*J225*S225*I225*H225)/12500000</f>
        <v/>
      </c>
      <c r="W225">
        <f>(T225+U225+V225)/3</f>
        <v/>
      </c>
      <c r="X225" s="6" t="n">
        <v>2000</v>
      </c>
      <c r="Y225">
        <f>IFERROR(W225-X225,"")</f>
        <v/>
      </c>
      <c r="Z225">
        <f>IFERROR(ABS(Y225)/MAX(X225,1),"")</f>
        <v/>
      </c>
      <c r="AA225">
        <f>IFERROR((X225-(((E225/100000+F225/100+S225/200)*200*I225*H225)+((E225*F225/25000)*I225*H225))/3)/(((J225/5)*200*I225*H225)+((J225*S225/2.5)*I225*H225)+((E225*F225*J225*S225*I225*H225)/12500000))/3*1000,"")</f>
        <v/>
      </c>
    </row>
    <row r="226">
      <c r="B226" s="7" t="inlineStr">
        <is>
          <t xml:space="preserve">  ↳ 155mmBastion</t>
        </is>
      </c>
      <c r="C226" s="7" t="inlineStr">
        <is>
          <t>Armament</t>
        </is>
      </c>
      <c r="L226" s="6" t="n">
        <v>30000</v>
      </c>
      <c r="M226" s="6" t="n">
        <v>80</v>
      </c>
      <c r="N226" s="6" t="n">
        <v>1</v>
      </c>
      <c r="O226" s="6" t="n"/>
      <c r="P226" s="6" t="n">
        <v>10185</v>
      </c>
      <c r="Q226" s="6" t="n">
        <v>1</v>
      </c>
      <c r="R226">
        <f>M226+IF(MAX(N226-1,0)&gt;0,IF(ISBLANK(O226),5*MAX(N226-1,0),IF(ISNUMBER(O226),O226*MAX(N226-1,0),SUM(IFERROR(VALUE(TEXTSPLIT(O226,",")),0)))),0)</f>
        <v/>
      </c>
      <c r="S226">
        <f>IFERROR(L226*MAX(N226,1)/R226*IF(ISBLANK(K225),1,K225),0)</f>
        <v/>
      </c>
      <c r="AB226" s="7" t="inlineStr">
        <is>
          <t>155mm</t>
        </is>
      </c>
    </row>
    <row r="227">
      <c r="B227" s="7" t="inlineStr">
        <is>
          <t xml:space="preserve">  ↳ 155mmBastionCryo</t>
        </is>
      </c>
      <c r="C227" s="7" t="inlineStr">
        <is>
          <t>Armament@Upgrade</t>
        </is>
      </c>
      <c r="L227" s="6" t="n">
        <v>30000</v>
      </c>
      <c r="M227" s="6" t="n">
        <v>80</v>
      </c>
      <c r="N227" s="6" t="n">
        <v>1</v>
      </c>
      <c r="O227" s="6" t="n"/>
      <c r="P227" s="6" t="n">
        <v>10185</v>
      </c>
      <c r="Q227" s="6" t="n">
        <v>1</v>
      </c>
      <c r="R227">
        <f>M227+IF(MAX(N227-1,0)&gt;0,IF(ISBLANK(O227),5*MAX(N227-1,0),IF(ISNUMBER(O227),O227*MAX(N227-1,0),SUM(IFERROR(VALUE(TEXTSPLIT(O227,",")),0)))),0)</f>
        <v/>
      </c>
      <c r="S227">
        <f>IFERROR(L227*MAX(N227,1)/R227*IF(ISBLANK(K225),1,K225),0)</f>
        <v/>
      </c>
      <c r="AB227" s="7" t="inlineStr">
        <is>
          <t>155mmCryo</t>
        </is>
      </c>
    </row>
    <row r="228">
      <c r="A228" t="inlineStr">
        <is>
          <t>redalert</t>
        </is>
      </c>
      <c r="B228" t="inlineStr">
        <is>
          <t>ra1_allies_gapgenerator</t>
        </is>
      </c>
      <c r="C228" t="inlineStr">
        <is>
          <t>Gap Generator</t>
        </is>
      </c>
      <c r="D228" s="6" t="inlineStr">
        <is>
          <t>AdvancedDefense</t>
        </is>
      </c>
      <c r="E228" s="6" t="n">
        <v>50000</v>
      </c>
      <c r="F228" t="n">
        <v>100</v>
      </c>
      <c r="G228" t="inlineStr">
        <is>
          <t>Steel</t>
        </is>
      </c>
      <c r="H228" s="6" t="n">
        <v>0.5593</v>
      </c>
      <c r="I228" s="6" t="n">
        <v>1</v>
      </c>
      <c r="J228" s="6" t="n">
        <v>1</v>
      </c>
      <c r="X228" s="6" t="n">
        <v>5000</v>
      </c>
    </row>
    <row r="229">
      <c r="A229" t="inlineStr">
        <is>
          <t>tiberiansun</t>
        </is>
      </c>
      <c r="B229" t="inlineStr">
        <is>
          <t>cabal_heavycabalobelisk</t>
        </is>
      </c>
      <c r="C229" t="inlineStr">
        <is>
          <t>Fortified Obelisk</t>
        </is>
      </c>
      <c r="D229" s="6" t="inlineStr">
        <is>
          <t>AdvancedDefense</t>
        </is>
      </c>
      <c r="E229" s="6" t="n">
        <v>300000</v>
      </c>
      <c r="F229" t="n">
        <v>100</v>
      </c>
      <c r="G229" t="inlineStr">
        <is>
          <t>Steel</t>
        </is>
      </c>
      <c r="H229" s="6" t="n">
        <v>0.8639</v>
      </c>
      <c r="I229" s="6" t="n">
        <v>1</v>
      </c>
      <c r="J229" s="6" t="n">
        <v>1</v>
      </c>
      <c r="P229">
        <f>MAX(P230)</f>
        <v/>
      </c>
      <c r="S229">
        <f>S230</f>
        <v/>
      </c>
      <c r="T229">
        <f>(E229/100000+F229/100+(P229/1000)*J229/5+S229/200)*200*I229*H229</f>
        <v/>
      </c>
      <c r="U229">
        <f>((E229*F229/25000)+((P229/1000)*J229*S229/2.5))*I229*H229</f>
        <v/>
      </c>
      <c r="V229">
        <f>(E229*F229*(P229/1000)*J229*S229*I229*H229)/12500000</f>
        <v/>
      </c>
      <c r="W229">
        <f>(T229+U229+V229)/3</f>
        <v/>
      </c>
      <c r="X229" s="6" t="n">
        <v>2400</v>
      </c>
      <c r="Y229">
        <f>IFERROR(W229-X229,"")</f>
        <v/>
      </c>
      <c r="Z229">
        <f>IFERROR(ABS(Y229)/MAX(X229,1),"")</f>
        <v/>
      </c>
      <c r="AA229">
        <f>IFERROR((X229-(((E229/100000+F229/100+S229/200)*200*I229*H229)+((E229*F229/25000)*I229*H229))/3)/(((J229/5)*200*I229*H229)+((J229*S229/2.5)*I229*H229)+((E229*F229*J229*S229*I229*H229)/12500000))/3*1000,"")</f>
        <v/>
      </c>
    </row>
    <row r="230">
      <c r="B230" s="7" t="inlineStr">
        <is>
          <t xml:space="preserve">  ↳ TSCABALObeliskLaserFire</t>
        </is>
      </c>
      <c r="C230" s="7" t="inlineStr">
        <is>
          <t>Armament@PRIMARY</t>
        </is>
      </c>
      <c r="L230" s="6" t="n">
        <v>280000</v>
      </c>
      <c r="M230" s="6" t="n">
        <v>90</v>
      </c>
      <c r="N230" s="6" t="n">
        <v>1</v>
      </c>
      <c r="O230" s="6" t="n"/>
      <c r="P230" s="6" t="n">
        <v>12288</v>
      </c>
      <c r="Q230" s="6" t="n">
        <v>1</v>
      </c>
      <c r="R230">
        <f>M230+IF(MAX(N230-1,0)&gt;0,IF(ISBLANK(O230),5*MAX(N230-1,0),IF(ISNUMBER(O230),O230*MAX(N230-1,0),SUM(IFERROR(VALUE(TEXTSPLIT(O230,",")),0)))),0)</f>
        <v/>
      </c>
      <c r="S230">
        <f>IFERROR(L230*MAX(N230,1)/R230*IF(ISBLANK(K229),1,K229),0)</f>
        <v/>
      </c>
      <c r="AB230" s="7" t="inlineStr">
        <is>
          <t>^TankDestroyerCannon, ^LaserWeapon, ^MediumFlameWeapon, ^MediumChemicalWeapon, ^TSLaserEffect</t>
        </is>
      </c>
    </row>
    <row r="231">
      <c r="A231" t="inlineStr">
        <is>
          <t>tiberiansun</t>
        </is>
      </c>
      <c r="B231" t="inlineStr">
        <is>
          <t>ts_nod_obeliskoflight</t>
        </is>
      </c>
      <c r="C231" t="inlineStr">
        <is>
          <t>Obelisk of Light</t>
        </is>
      </c>
      <c r="D231" s="6" t="inlineStr">
        <is>
          <t>AdvancedDefense</t>
        </is>
      </c>
      <c r="E231" s="6" t="n">
        <v>250000</v>
      </c>
      <c r="F231" t="n">
        <v>100</v>
      </c>
      <c r="G231" t="inlineStr">
        <is>
          <t>Steel</t>
        </is>
      </c>
      <c r="H231" s="6" t="n">
        <v>0.7604</v>
      </c>
      <c r="I231" s="6" t="n">
        <v>1</v>
      </c>
      <c r="J231" s="6" t="n">
        <v>1</v>
      </c>
      <c r="P231">
        <f>MAX(P232,P233)</f>
        <v/>
      </c>
      <c r="S231">
        <f>S232+S233</f>
        <v/>
      </c>
      <c r="T231">
        <f>(E231/100000+F231/100+(P231/1000)*J231/5+S231/200)*200*I231*H231</f>
        <v/>
      </c>
      <c r="U231">
        <f>((E231*F231/25000)+((P231/1000)*J231*S231/2.5))*I231*H231</f>
        <v/>
      </c>
      <c r="V231">
        <f>(E231*F231*(P231/1000)*J231*S231*I231*H231)/12500000</f>
        <v/>
      </c>
      <c r="W231">
        <f>(T231+U231+V231)/3</f>
        <v/>
      </c>
      <c r="X231" s="6" t="n">
        <v>2200</v>
      </c>
      <c r="Y231">
        <f>IFERROR(W231-X231,"")</f>
        <v/>
      </c>
      <c r="Z231">
        <f>IFERROR(ABS(Y231)/MAX(X231,1),"")</f>
        <v/>
      </c>
      <c r="AA231">
        <f>IFERROR((X231-(((E231/100000+F231/100+S231/200)*200*I231*H231)+((E231*F231/25000)*I231*H231))/3)/(((J231/5)*200*I231*H231)+((J231*S231/2.5)*I231*H231)+((E231*F231*J231*S231*I231*H231)/12500000))/3*1000,"")</f>
        <v/>
      </c>
    </row>
    <row r="232">
      <c r="B232" s="7" t="inlineStr">
        <is>
          <t xml:space="preserve">  ↳ TSObeliskLaserFire</t>
        </is>
      </c>
      <c r="C232" s="7" t="inlineStr">
        <is>
          <t>Armament@PRIMARY</t>
        </is>
      </c>
      <c r="L232" s="6" t="n">
        <v>104000</v>
      </c>
      <c r="M232" s="6" t="n">
        <v>60</v>
      </c>
      <c r="N232" s="6" t="n">
        <v>1</v>
      </c>
      <c r="O232" s="6" t="n"/>
      <c r="P232" s="6" t="n">
        <v>10199</v>
      </c>
      <c r="Q232" s="6" t="n">
        <v>1</v>
      </c>
      <c r="R232">
        <f>M232+IF(MAX(N232-1,0)&gt;0,IF(ISBLANK(O232),5*MAX(N232-1,0),IF(ISNUMBER(O232),O232*MAX(N232-1,0),SUM(IFERROR(VALUE(TEXTSPLIT(O232,",")),0)))),0)</f>
        <v/>
      </c>
      <c r="S232">
        <f>IFERROR(L232*MAX(N232,1)/R232*IF(ISBLANK(K231),1,K231),0)</f>
        <v/>
      </c>
      <c r="AB232" s="7" t="inlineStr">
        <is>
          <t>^Warhead_CannonAP_Light, ^Warhead_Laser_Heavy</t>
        </is>
      </c>
    </row>
    <row r="233">
      <c r="B233" s="7" t="inlineStr">
        <is>
          <t xml:space="preserve">  ↳ TSLaserObeliskLaserFire</t>
        </is>
      </c>
      <c r="C233" s="7" t="inlineStr">
        <is>
          <t>Armament@UPGRADE</t>
        </is>
      </c>
      <c r="L233" s="6" t="n">
        <v>160000</v>
      </c>
      <c r="M233" s="6" t="n">
        <v>32</v>
      </c>
      <c r="N233" s="6" t="n">
        <v>1</v>
      </c>
      <c r="O233" s="6" t="n"/>
      <c r="P233" s="6" t="n">
        <v>10435</v>
      </c>
      <c r="Q233" s="6" t="n">
        <v>1</v>
      </c>
      <c r="R233">
        <f>M233+IF(MAX(N233-1,0)&gt;0,IF(ISBLANK(O233),5*MAX(N233-1,0),IF(ISNUMBER(O233),O233*MAX(N233-1,0),SUM(IFERROR(VALUE(TEXTSPLIT(O233,",")),0)))),0)</f>
        <v/>
      </c>
      <c r="S233">
        <f>IFERROR(L233*MAX(N233,1)/R233*IF(ISBLANK(K231),1,K231),0)</f>
        <v/>
      </c>
      <c r="AB233" s="7" t="inlineStr">
        <is>
          <t>^Warhead_CannonAP_Light, ^Warhead_Laser_Heavy</t>
        </is>
      </c>
    </row>
    <row r="234">
      <c r="A234" t="inlineStr">
        <is>
          <t>tiberiansun</t>
        </is>
      </c>
      <c r="B234" t="inlineStr">
        <is>
          <t>ts_gdi_empulsecannon</t>
        </is>
      </c>
      <c r="C234" t="inlineStr">
        <is>
          <t>E.M. Pulse Cannon</t>
        </is>
      </c>
      <c r="D234" s="6" t="inlineStr">
        <is>
          <t>AdvancedDefense</t>
        </is>
      </c>
      <c r="E234" s="6" t="n">
        <v>250000</v>
      </c>
      <c r="F234" t="n">
        <v>100</v>
      </c>
      <c r="G234" t="inlineStr">
        <is>
          <t>Concrete</t>
        </is>
      </c>
      <c r="H234" s="6" t="n">
        <v>0.7674</v>
      </c>
      <c r="I234" s="6" t="n">
        <v>1</v>
      </c>
      <c r="J234" s="6" t="n">
        <v>1</v>
      </c>
      <c r="P234">
        <f>MAX(P235)</f>
        <v/>
      </c>
      <c r="S234">
        <f>S235</f>
        <v/>
      </c>
      <c r="T234">
        <f>(E234/100000+F234/100+(P234/1000)*J234/5+S234/200)*200*I234*H234</f>
        <v/>
      </c>
      <c r="U234">
        <f>((E234*F234/25000)+((P234/1000)*J234*S234/2.5))*I234*H234</f>
        <v/>
      </c>
      <c r="V234">
        <f>(E234*F234*(P234/1000)*J234*S234*I234*H234)/12500000</f>
        <v/>
      </c>
      <c r="W234">
        <f>(T234+U234+V234)/3</f>
        <v/>
      </c>
      <c r="X234" s="6" t="n">
        <v>2000</v>
      </c>
      <c r="Y234">
        <f>IFERROR(W234-X234,"")</f>
        <v/>
      </c>
      <c r="Z234">
        <f>IFERROR(ABS(Y234)/MAX(X234,1),"")</f>
        <v/>
      </c>
      <c r="AA234">
        <f>IFERROR((X234-(((E234/100000+F234/100+S234/200)*200*I234*H234)+((E234*F234/25000)*I234*H234))/3)/(((J234/5)*200*I234*H234)+((J234*S234/2.5)*I234*H234)+((E234*F234*J234*S234*I234*H234)/12500000))/3*1000,"")</f>
        <v/>
      </c>
    </row>
    <row r="235">
      <c r="B235" s="7" t="inlineStr">
        <is>
          <t xml:space="preserve">  ↳ TSPulseCannon_EMP</t>
        </is>
      </c>
      <c r="C235" s="7" t="inlineStr">
        <is>
          <t>Armament@PRIMARY</t>
        </is>
      </c>
      <c r="L235" s="6" t="n">
        <v>20000</v>
      </c>
      <c r="M235" s="6" t="n">
        <v>100</v>
      </c>
      <c r="N235" s="6" t="n">
        <v>1</v>
      </c>
      <c r="O235" s="6" t="n"/>
      <c r="P235" s="6" t="n">
        <v>40960</v>
      </c>
      <c r="Q235" s="6" t="n">
        <v>1</v>
      </c>
      <c r="R235">
        <f>M235+IF(MAX(N235-1,0)&gt;0,IF(ISBLANK(O235),5*MAX(N235-1,0),IF(ISNUMBER(O235),O235*MAX(N235-1,0),SUM(IFERROR(VALUE(TEXTSPLIT(O235,",")),0)))),0)</f>
        <v/>
      </c>
      <c r="S235">
        <f>IFERROR(L235*MAX(N235,1)/R235*IF(ISBLANK(K234),1,K234),0)</f>
        <v/>
      </c>
      <c r="AB235" s="7" t="inlineStr"/>
    </row>
    <row r="236">
      <c r="A236" t="inlineStr">
        <is>
          <t>tiberiansun</t>
        </is>
      </c>
      <c r="B236" t="inlineStr">
        <is>
          <t>ts_gdi_rpgtower</t>
        </is>
      </c>
      <c r="C236" t="inlineStr">
        <is>
          <t>RPG Tower</t>
        </is>
      </c>
      <c r="D236" s="6" t="inlineStr">
        <is>
          <t>AdvancedDefense</t>
        </is>
      </c>
      <c r="E236" s="6" t="n">
        <v>150000</v>
      </c>
      <c r="F236" t="n">
        <v>100</v>
      </c>
      <c r="G236" t="inlineStr">
        <is>
          <t>Steel</t>
        </is>
      </c>
      <c r="H236" s="6" t="n">
        <v>0.7674</v>
      </c>
      <c r="I236" s="6" t="n">
        <v>1</v>
      </c>
      <c r="J236" s="6" t="n">
        <v>1</v>
      </c>
      <c r="P236">
        <f>MAX(P237,P238)</f>
        <v/>
      </c>
      <c r="S236">
        <f>S237+S238</f>
        <v/>
      </c>
      <c r="T236">
        <f>(E236/100000+F236/100+(P236/1000)*J236/5+S236/200)*200*I236*H236</f>
        <v/>
      </c>
      <c r="U236">
        <f>((E236*F236/25000)+((P236/1000)*J236*S236/2.5))*I236*H236</f>
        <v/>
      </c>
      <c r="V236">
        <f>(E236*F236*(P236/1000)*J236*S236*I236*H236)/12500000</f>
        <v/>
      </c>
      <c r="W236">
        <f>(T236+U236+V236)/3</f>
        <v/>
      </c>
      <c r="X236" s="6" t="n">
        <v>1400</v>
      </c>
      <c r="Y236">
        <f>IFERROR(W236-X236,"")</f>
        <v/>
      </c>
      <c r="Z236">
        <f>IFERROR(ABS(Y236)/MAX(X236,1),"")</f>
        <v/>
      </c>
      <c r="AA236">
        <f>IFERROR((X236-(((E236/100000+F236/100+S236/200)*200*I236*H236)+((E236*F236/25000)*I236*H236))/3)/(((J236/5)*200*I236*H236)+((J236*S236/2.5)*I236*H236)+((E236*F236*J236*S236*I236*H236)/12500000))/3*1000,"")</f>
        <v/>
      </c>
    </row>
    <row r="237">
      <c r="B237" s="7" t="inlineStr">
        <is>
          <t xml:space="preserve">  ↳ TSRPGTower</t>
        </is>
      </c>
      <c r="C237" s="7" t="inlineStr">
        <is>
          <t>Armament@PRIMARY</t>
        </is>
      </c>
      <c r="L237" s="6" t="n">
        <v>32000</v>
      </c>
      <c r="M237" s="6" t="n">
        <v>46</v>
      </c>
      <c r="N237" s="6" t="n">
        <v>1</v>
      </c>
      <c r="O237" s="6" t="n"/>
      <c r="P237" s="6" t="n">
        <v>8544</v>
      </c>
      <c r="Q237" s="6" t="n">
        <v>1.125</v>
      </c>
      <c r="R237">
        <f>M237+IF(MAX(N237-1,0)&gt;0,IF(ISBLANK(O237),5*MAX(N237-1,0),IF(ISNUMBER(O237),O237*MAX(N237-1,0),SUM(IFERROR(VALUE(TEXTSPLIT(O237,",")),0)))),0)</f>
        <v/>
      </c>
      <c r="S237">
        <f>IFERROR(L237*MAX(N237,1)/R237*IF(ISBLANK(K236),1,K236),0)</f>
        <v/>
      </c>
      <c r="AB237" s="7" t="inlineStr">
        <is>
          <t>^Warhead_Concussion_Medium, ^Warhead_CannonHE_Heavy</t>
        </is>
      </c>
    </row>
    <row r="238">
      <c r="B238" s="7" t="inlineStr">
        <is>
          <t xml:space="preserve">  ↳ TSRPGTowerRail</t>
        </is>
      </c>
      <c r="C238" s="7" t="inlineStr">
        <is>
          <t>Armament@Upgrade</t>
        </is>
      </c>
      <c r="L238" s="6" t="n">
        <v>48000</v>
      </c>
      <c r="M238" s="6" t="n">
        <v>46</v>
      </c>
      <c r="N238" s="6" t="n">
        <v>1</v>
      </c>
      <c r="O238" s="6" t="n"/>
      <c r="P238" s="6" t="n">
        <v>8544</v>
      </c>
      <c r="Q238" s="6" t="n">
        <v>1.25</v>
      </c>
      <c r="R238">
        <f>M238+IF(MAX(N238-1,0)&gt;0,IF(ISBLANK(O238),5*MAX(N238-1,0),IF(ISNUMBER(O238),O238*MAX(N238-1,0),SUM(IFERROR(VALUE(TEXTSPLIT(O238,",")),0)))),0)</f>
        <v/>
      </c>
      <c r="S238">
        <f>IFERROR(L238*MAX(N238,1)/R238*IF(ISBLANK(K236),1,K236),0)</f>
        <v/>
      </c>
      <c r="AB238" s="7" t="inlineStr">
        <is>
          <t>^Warhead_CannonHE_Heavy</t>
        </is>
      </c>
    </row>
    <row r="239">
      <c r="A239" t="inlineStr">
        <is>
          <t>tiberiansun</t>
        </is>
      </c>
      <c r="B239" t="inlineStr">
        <is>
          <t>forgotten_brokenscoopertankturret</t>
        </is>
      </c>
      <c r="C239" t="inlineStr">
        <is>
          <t>actor_forgotten_brokenscoopertankturret.name</t>
        </is>
      </c>
      <c r="D239" s="6" t="inlineStr">
        <is>
          <t>AdvancedDefense</t>
        </is>
      </c>
      <c r="E239" s="6" t="n">
        <v>200000</v>
      </c>
      <c r="F239" t="n">
        <v>100</v>
      </c>
      <c r="G239" t="inlineStr">
        <is>
          <t>Steel</t>
        </is>
      </c>
      <c r="H239" s="6" t="n">
        <v>0.8824</v>
      </c>
      <c r="I239" s="6" t="n">
        <v>1</v>
      </c>
      <c r="J239" s="6" t="n">
        <v>1</v>
      </c>
      <c r="P239">
        <f>MAX(P240,P241)</f>
        <v/>
      </c>
      <c r="S239">
        <f>S240+S241</f>
        <v/>
      </c>
      <c r="T239">
        <f>(E239/100000+F239/100+(P239/1000)*J239/5+S239/200)*200*I239*H239</f>
        <v/>
      </c>
      <c r="U239">
        <f>((E239*F239/25000)+((P239/1000)*J239*S239/2.5))*I239*H239</f>
        <v/>
      </c>
      <c r="V239">
        <f>(E239*F239*(P239/1000)*J239*S239*I239*H239)/12500000</f>
        <v/>
      </c>
      <c r="W239">
        <f>(T239+U239+V239)/3</f>
        <v/>
      </c>
      <c r="X239" s="6" t="n">
        <v>1750</v>
      </c>
      <c r="Y239">
        <f>IFERROR(W239-X239,"")</f>
        <v/>
      </c>
      <c r="Z239">
        <f>IFERROR(ABS(Y239)/MAX(X239,1),"")</f>
        <v/>
      </c>
      <c r="AA239">
        <f>IFERROR((X239-(((E239/100000+F239/100+S239/200)*200*I239*H239)+((E239*F239/25000)*I239*H239))/3)/(((J239/5)*200*I239*H239)+((J239*S239/2.5)*I239*H239)+((E239*F239*J239*S239*I239*H239)/12500000))/3*1000,"")</f>
        <v/>
      </c>
    </row>
    <row r="240">
      <c r="B240" s="7" t="inlineStr">
        <is>
          <t xml:space="preserve">  ↳ TSScoopDualTur</t>
        </is>
      </c>
      <c r="C240" s="7" t="inlineStr">
        <is>
          <t>Armament@PRIMARY</t>
        </is>
      </c>
      <c r="L240" s="6" t="n">
        <v>32000</v>
      </c>
      <c r="M240" s="6" t="n">
        <v>48</v>
      </c>
      <c r="N240" s="6" t="n">
        <v>2</v>
      </c>
      <c r="O240" s="6" t="n">
        <v>2</v>
      </c>
      <c r="P240" s="6" t="n">
        <v>6404</v>
      </c>
      <c r="Q240" s="6" t="n">
        <v>1.125</v>
      </c>
      <c r="R240">
        <f>M240+IF(MAX(N240-1,0)&gt;0,IF(ISBLANK(O240),5*MAX(N240-1,0),IF(ISNUMBER(O240),O240*MAX(N240-1,0),SUM(IFERROR(VALUE(TEXTSPLIT(O240,",")),0)))),0)</f>
        <v/>
      </c>
      <c r="S240">
        <f>IFERROR(L240*MAX(N240,1)/R240*IF(ISBLANK(K239),1,K239),0)</f>
        <v/>
      </c>
      <c r="AB240" s="7" t="inlineStr">
        <is>
          <t>^Warhead_CannonHE_Heavy, ^Warhead_Concussion_Medium</t>
        </is>
      </c>
    </row>
    <row r="241">
      <c r="B241" s="7" t="inlineStr">
        <is>
          <t xml:space="preserve">  ↳ TSScoopDualTurChem</t>
        </is>
      </c>
      <c r="C241" s="7" t="inlineStr">
        <is>
          <t>Armament@UPGRADE</t>
        </is>
      </c>
      <c r="L241" s="6" t="n">
        <v>48000</v>
      </c>
      <c r="M241" s="6" t="n">
        <v>48</v>
      </c>
      <c r="N241" s="6" t="n">
        <v>2</v>
      </c>
      <c r="O241" s="6" t="n">
        <v>2</v>
      </c>
      <c r="P241" s="6" t="n">
        <v>6404</v>
      </c>
      <c r="Q241" s="6" t="n">
        <v>1.25</v>
      </c>
      <c r="R241">
        <f>M241+IF(MAX(N241-1,0)&gt;0,IF(ISBLANK(O241),5*MAX(N241-1,0),IF(ISNUMBER(O241),O241*MAX(N241-1,0),SUM(IFERROR(VALUE(TEXTSPLIT(O241,",")),0)))),0)</f>
        <v/>
      </c>
      <c r="S241">
        <f>IFERROR(L241*MAX(N241,1)/R241*IF(ISBLANK(K239),1,K239),0)</f>
        <v/>
      </c>
      <c r="AB241" s="7" t="inlineStr">
        <is>
          <t>^Warhead_CannonHE_Heavy</t>
        </is>
      </c>
    </row>
    <row r="242">
      <c r="A242" t="inlineStr">
        <is>
          <t>tiberiansun</t>
        </is>
      </c>
      <c r="B242" t="inlineStr">
        <is>
          <t>forgotten_brokenwarriortankturret</t>
        </is>
      </c>
      <c r="C242" t="inlineStr">
        <is>
          <t>actor_forgotten_brokenwarriortankturret.name</t>
        </is>
      </c>
      <c r="D242" s="6" t="inlineStr">
        <is>
          <t>AdvancedDefense</t>
        </is>
      </c>
      <c r="E242" s="6" t="n">
        <v>125000</v>
      </c>
      <c r="F242" t="n">
        <v>100</v>
      </c>
      <c r="G242" t="inlineStr">
        <is>
          <t>Steel</t>
        </is>
      </c>
      <c r="H242" s="6" t="n">
        <v>0.8824</v>
      </c>
      <c r="I242" s="6" t="n">
        <v>1</v>
      </c>
      <c r="J242" s="6" t="n">
        <v>1</v>
      </c>
      <c r="P242">
        <f>MAX(P243)</f>
        <v/>
      </c>
      <c r="S242">
        <f>S243</f>
        <v/>
      </c>
      <c r="T242">
        <f>(E242/100000+F242/100+(P242/1000)*J242/5+S242/200)*200*I242*H242</f>
        <v/>
      </c>
      <c r="U242">
        <f>((E242*F242/25000)+((P242/1000)*J242*S242/2.5))*I242*H242</f>
        <v/>
      </c>
      <c r="V242">
        <f>(E242*F242*(P242/1000)*J242*S242*I242*H242)/12500000</f>
        <v/>
      </c>
      <c r="W242">
        <f>(T242+U242+V242)/3</f>
        <v/>
      </c>
      <c r="X242" s="6" t="n">
        <v>1500</v>
      </c>
      <c r="Y242">
        <f>IFERROR(W242-X242,"")</f>
        <v/>
      </c>
      <c r="Z242">
        <f>IFERROR(ABS(Y242)/MAX(X242,1),"")</f>
        <v/>
      </c>
      <c r="AA242">
        <f>IFERROR((X242-(((E242/100000+F242/100+S242/200)*200*I242*H242)+((E242*F242/25000)*I242*H242))/3)/(((J242/5)*200*I242*H242)+((J242*S242/2.5)*I242*H242)+((E242*F242*J242*S242*I242*H242)/12500000))/3*1000,"")</f>
        <v/>
      </c>
    </row>
    <row r="243">
      <c r="B243" s="7" t="inlineStr">
        <is>
          <t xml:space="preserve">  ↳ TSHighVelocityTur</t>
        </is>
      </c>
      <c r="C243" s="7" t="inlineStr">
        <is>
          <t>Armament@PRIMARY</t>
        </is>
      </c>
      <c r="L243" s="6" t="n">
        <v>48000</v>
      </c>
      <c r="M243" s="6" t="n">
        <v>30</v>
      </c>
      <c r="N243" s="6" t="n">
        <v>1</v>
      </c>
      <c r="O243" s="6" t="n"/>
      <c r="P243" s="6" t="n">
        <v>9483</v>
      </c>
      <c r="Q243" s="6" t="n">
        <v>0.75</v>
      </c>
      <c r="R243">
        <f>M243+IF(MAX(N243-1,0)&gt;0,IF(ISBLANK(O243),5*MAX(N243-1,0),IF(ISNUMBER(O243),O243*MAX(N243-1,0),SUM(IFERROR(VALUE(TEXTSPLIT(O243,",")),0)))),0)</f>
        <v/>
      </c>
      <c r="S243">
        <f>IFERROR(L243*MAX(N243,1)/R243*IF(ISBLANK(K242),1,K242),0)</f>
        <v/>
      </c>
      <c r="AB243" s="7" t="inlineStr">
        <is>
          <t>^Warhead_CannonAP_Light</t>
        </is>
      </c>
    </row>
    <row r="244">
      <c r="A244" t="inlineStr">
        <is>
          <t>redalert2</t>
        </is>
      </c>
      <c r="B244" t="inlineStr">
        <is>
          <t>ra2_allies_gapgenerator</t>
        </is>
      </c>
      <c r="C244" t="inlineStr">
        <is>
          <t>Gap Generator</t>
        </is>
      </c>
      <c r="D244" s="6" t="inlineStr">
        <is>
          <t>AdvancedDefense</t>
        </is>
      </c>
      <c r="E244" s="6" t="n">
        <v>50000</v>
      </c>
      <c r="F244" t="n">
        <v>100</v>
      </c>
      <c r="G244" t="inlineStr">
        <is>
          <t>Steel</t>
        </is>
      </c>
      <c r="H244" s="6" t="n">
        <v>0.5669999999999999</v>
      </c>
      <c r="I244" s="6" t="n">
        <v>1</v>
      </c>
      <c r="J244" s="6" t="n">
        <v>1</v>
      </c>
      <c r="X244" s="6" t="n">
        <v>5000</v>
      </c>
    </row>
    <row r="245">
      <c r="A245" t="inlineStr">
        <is>
          <t>redalert2</t>
        </is>
      </c>
      <c r="B245" t="inlineStr">
        <is>
          <t>ra2_allies_grandcannon</t>
        </is>
      </c>
      <c r="C245" t="inlineStr">
        <is>
          <t>Grand Cannon</t>
        </is>
      </c>
      <c r="D245" s="6" t="inlineStr">
        <is>
          <t>AdvancedDefense</t>
        </is>
      </c>
      <c r="E245" s="6" t="n">
        <v>250000</v>
      </c>
      <c r="F245" t="n">
        <v>100</v>
      </c>
      <c r="G245" t="inlineStr">
        <is>
          <t>Steel</t>
        </is>
      </c>
      <c r="H245" s="6" t="n">
        <v>1</v>
      </c>
      <c r="I245" s="6" t="n">
        <v>0.325</v>
      </c>
      <c r="J245" s="6" t="n">
        <v>1</v>
      </c>
      <c r="P245">
        <f>MAX(P246)</f>
        <v/>
      </c>
      <c r="S245">
        <f>S246</f>
        <v/>
      </c>
      <c r="T245">
        <f>(E245/100000+F245/100+(P245/1000)*J245/5+S245/200)*200*I245*H245</f>
        <v/>
      </c>
      <c r="U245">
        <f>((E245*F245/25000)+((P245/1000)*J245*S245/2.5))*I245*H245</f>
        <v/>
      </c>
      <c r="V245">
        <f>(E245*F245*(P245/1000)*J245*S245*I245*H245)/12500000</f>
        <v/>
      </c>
      <c r="W245">
        <f>(T245+U245+V245)/3</f>
        <v/>
      </c>
      <c r="X245" s="6" t="n">
        <v>5000</v>
      </c>
      <c r="Y245">
        <f>IFERROR(W245-X245,"")</f>
        <v/>
      </c>
      <c r="Z245">
        <f>IFERROR(ABS(Y245)/MAX(X245,1),"")</f>
        <v/>
      </c>
      <c r="AA245">
        <f>IFERROR((X245-(((E245/100000+F245/100+S245/200)*200*I245*H245)+((E245*F245/25000)*I245*H245))/3)/(((J245/5)*200*I245*H245)+((J245*S245/2.5)*I245*H245)+((E245*F245*J245*S245*I245*H245)/12500000))/3*1000,"")</f>
        <v/>
      </c>
    </row>
    <row r="246">
      <c r="B246" s="7" t="inlineStr">
        <is>
          <t xml:space="preserve">  ↳ RA2GrandCannonWeapon</t>
        </is>
      </c>
      <c r="C246" s="7" t="inlineStr">
        <is>
          <t>Armament</t>
        </is>
      </c>
      <c r="L246" s="6" t="n">
        <v>300000</v>
      </c>
      <c r="M246" s="6" t="n">
        <v>200</v>
      </c>
      <c r="N246" s="6" t="n">
        <v>1</v>
      </c>
      <c r="O246" s="6" t="n"/>
      <c r="P246" s="6" t="n">
        <v>11800</v>
      </c>
      <c r="Q246" s="6" t="n">
        <v>1</v>
      </c>
      <c r="R246">
        <f>M246+IF(MAX(N246-1,0)&gt;0,IF(ISBLANK(O246),5*MAX(N246-1,0),IF(ISNUMBER(O246),O246*MAX(N246-1,0),SUM(IFERROR(VALUE(TEXTSPLIT(O246,",")),0)))),0)</f>
        <v/>
      </c>
      <c r="S246">
        <f>IFERROR(L246*MAX(N246,1)/R246*IF(ISBLANK(K245),1,K245),0)</f>
        <v/>
      </c>
      <c r="AB246" s="7" t="inlineStr">
        <is>
          <t>^Warhead_CannonHE_Heavy, ^Warhead_Demolition_Light</t>
        </is>
      </c>
    </row>
    <row r="247">
      <c r="A247" t="inlineStr">
        <is>
          <t>redalert2</t>
        </is>
      </c>
      <c r="B247" t="inlineStr">
        <is>
          <t>ra2_allies_prismtower</t>
        </is>
      </c>
      <c r="C247" t="inlineStr">
        <is>
          <t>Prism Tower</t>
        </is>
      </c>
      <c r="D247" s="6" t="inlineStr">
        <is>
          <t>AdvancedDefense</t>
        </is>
      </c>
      <c r="E247" s="6" t="n">
        <v>135000</v>
      </c>
      <c r="F247" t="n">
        <v>100</v>
      </c>
      <c r="G247" t="inlineStr">
        <is>
          <t>Steel</t>
        </is>
      </c>
      <c r="H247" s="6" t="n">
        <v>1</v>
      </c>
      <c r="I247" s="6" t="n">
        <v>0.325</v>
      </c>
      <c r="J247" s="6" t="n">
        <v>1.25</v>
      </c>
      <c r="P247">
        <f>MAX(P249)</f>
        <v/>
      </c>
      <c r="S247">
        <f>S249</f>
        <v/>
      </c>
      <c r="T247">
        <f>(E247/100000+F247/100+(P247/1000)*J247/5+S247/200)*200*I247*H247</f>
        <v/>
      </c>
      <c r="U247">
        <f>((E247*F247/25000)+((P247/1000)*J247*S247/2.5))*I247*H247</f>
        <v/>
      </c>
      <c r="V247">
        <f>(E247*F247*(P247/1000)*J247*S247*I247*H247)/12500000</f>
        <v/>
      </c>
      <c r="W247">
        <f>(T247+U247+V247)/3</f>
        <v/>
      </c>
      <c r="X247" s="6" t="n">
        <v>2200</v>
      </c>
      <c r="Y247">
        <f>IFERROR(W247-X247,"")</f>
        <v/>
      </c>
      <c r="Z247">
        <f>IFERROR(ABS(Y247)/MAX(X247,1),"")</f>
        <v/>
      </c>
      <c r="AA247">
        <f>IFERROR((X247-(((E247/100000+F247/100+S247/200)*200*I247*H247)+((E247*F247/25000)*I247*H247))/3)/(((J247/5)*200*I247*H247)+((J247*S247/2.5)*I247*H247)+((E247*F247*J247*S247*I247*H247)/12500000))/3*1000,"")</f>
        <v/>
      </c>
    </row>
    <row r="248">
      <c r="B248" s="7" t="inlineStr">
        <is>
          <t xml:space="preserve">  ↳ PrismCharge</t>
        </is>
      </c>
      <c r="C248" s="7" t="inlineStr">
        <is>
          <t>Armament@Charge</t>
        </is>
      </c>
      <c r="M248" s="6" t="n">
        <v>3</v>
      </c>
      <c r="N248" s="6" t="n">
        <v>1</v>
      </c>
      <c r="O248" s="6" t="n"/>
      <c r="P248" s="6" t="n">
        <v>9630</v>
      </c>
      <c r="Q248" s="6" t="n">
        <v>1</v>
      </c>
      <c r="R248">
        <f>M248+IF(MAX(N248-1,0)&gt;0,IF(ISBLANK(O248),5*MAX(N248-1,0),IF(ISNUMBER(O248),O248*MAX(N248-1,0),SUM(IFERROR(VALUE(TEXTSPLIT(O248,",")),0)))),0)</f>
        <v/>
      </c>
      <c r="S248">
        <f>IFERROR(L248*MAX(N248,1)/R248*IF(ISBLANK(K247),1,K247),0)</f>
        <v/>
      </c>
      <c r="AB248" s="7" t="inlineStr"/>
    </row>
    <row r="249">
      <c r="B249" s="7" t="inlineStr">
        <is>
          <t xml:space="preserve">  ↳ RA2Prism</t>
        </is>
      </c>
      <c r="C249" s="7" t="inlineStr">
        <is>
          <t>Armament</t>
        </is>
      </c>
      <c r="L249" s="6" t="n">
        <v>32000</v>
      </c>
      <c r="M249" s="6" t="n">
        <v>3</v>
      </c>
      <c r="N249" s="6" t="n">
        <v>1</v>
      </c>
      <c r="O249" s="6" t="n"/>
      <c r="P249" s="6" t="n">
        <v>9630</v>
      </c>
      <c r="Q249" s="6" t="n">
        <v>1.25</v>
      </c>
      <c r="R249">
        <f>M249+IF(MAX(N249-1,0)&gt;0,IF(ISBLANK(O249),5*MAX(N249-1,0),IF(ISNUMBER(O249),O249*MAX(N249-1,0),SUM(IFERROR(VALUE(TEXTSPLIT(O249,",")),0)))),0)</f>
        <v/>
      </c>
      <c r="S249">
        <f>IFERROR(L249*MAX(N249,1)/R249*IF(ISBLANK(K247),1,K247),0)</f>
        <v/>
      </c>
      <c r="AB249" s="7" t="inlineStr">
        <is>
          <t>^Warhead_Laser_Heavy</t>
        </is>
      </c>
    </row>
    <row r="250">
      <c r="A250" t="inlineStr">
        <is>
          <t>redalert2</t>
        </is>
      </c>
      <c r="B250" t="inlineStr">
        <is>
          <t>ra2_soviets_teslacoil</t>
        </is>
      </c>
      <c r="C250" t="inlineStr">
        <is>
          <t>Tesla Coil</t>
        </is>
      </c>
      <c r="D250" s="6" t="inlineStr">
        <is>
          <t>AdvancedDefense</t>
        </is>
      </c>
      <c r="E250" s="6" t="n">
        <v>120000</v>
      </c>
      <c r="F250" t="n">
        <v>100</v>
      </c>
      <c r="G250" t="inlineStr">
        <is>
          <t>Steel</t>
        </is>
      </c>
      <c r="H250" s="6" t="n">
        <v>0.5957</v>
      </c>
      <c r="I250" s="6" t="n">
        <v>1</v>
      </c>
      <c r="J250" s="6" t="n">
        <v>1</v>
      </c>
      <c r="P250">
        <f>MAX(P251,P252,P253,P254,P255,P256)</f>
        <v/>
      </c>
      <c r="S250">
        <f>S251+S252+S253+S254+S255+S256</f>
        <v/>
      </c>
      <c r="T250">
        <f>(E250/100000+F250/100+(P250/1000)*J250/5+S250/200)*200*I250*H250</f>
        <v/>
      </c>
      <c r="U250">
        <f>((E250*F250/25000)+((P250/1000)*J250*S250/2.5))*I250*H250</f>
        <v/>
      </c>
      <c r="V250">
        <f>(E250*F250*(P250/1000)*J250*S250*I250*H250)/12500000</f>
        <v/>
      </c>
      <c r="W250">
        <f>(T250+U250+V250)/3</f>
        <v/>
      </c>
      <c r="X250" s="6" t="n">
        <v>2000</v>
      </c>
      <c r="Y250">
        <f>IFERROR(W250-X250,"")</f>
        <v/>
      </c>
      <c r="Z250">
        <f>IFERROR(ABS(Y250)/MAX(X250,1),"")</f>
        <v/>
      </c>
      <c r="AA250">
        <f>IFERROR((X250-(((E250/100000+F250/100+S250/200)*200*I250*H250)+((E250*F250/25000)*I250*H250))/3)/(((J250/5)*200*I250*H250)+((J250*S250/2.5)*I250*H250)+((E250*F250*J250*S250*I250*H250)/12500000))/3*1000,"")</f>
        <v/>
      </c>
    </row>
    <row r="251">
      <c r="B251" s="7" t="inlineStr">
        <is>
          <t xml:space="preserve">  ↳ RA2CoilBolt</t>
        </is>
      </c>
      <c r="C251" s="7" t="inlineStr">
        <is>
          <t>Armament</t>
        </is>
      </c>
      <c r="L251" s="6" t="n">
        <v>64000</v>
      </c>
      <c r="M251" s="6" t="n">
        <v>3</v>
      </c>
      <c r="N251" s="6" t="n">
        <v>1</v>
      </c>
      <c r="O251" s="6" t="n"/>
      <c r="P251" s="6" t="n">
        <v>8842</v>
      </c>
      <c r="Q251" s="6" t="n">
        <v>1.25</v>
      </c>
      <c r="R251">
        <f>M251+IF(MAX(N251-1,0)&gt;0,IF(ISBLANK(O251),5*MAX(N251-1,0),IF(ISNUMBER(O251),O251*MAX(N251-1,0),SUM(IFERROR(VALUE(TEXTSPLIT(O251,",")),0)))),0)</f>
        <v/>
      </c>
      <c r="S251">
        <f>IFERROR(L251*MAX(N251,1)/R251*IF(ISBLANK(K250),1,K250),0)</f>
        <v/>
      </c>
      <c r="AB251" s="7" t="inlineStr">
        <is>
          <t>^Warhead_Tesla_Heavy</t>
        </is>
      </c>
    </row>
    <row r="252">
      <c r="B252" s="7" t="inlineStr">
        <is>
          <t xml:space="preserve">  ↳ RA2CoilBolt2</t>
        </is>
      </c>
      <c r="C252" s="7" t="inlineStr">
        <is>
          <t>Armament@2</t>
        </is>
      </c>
      <c r="L252" s="6" t="n">
        <v>64000</v>
      </c>
      <c r="M252" s="6" t="n">
        <v>3</v>
      </c>
      <c r="N252" s="6" t="n">
        <v>1</v>
      </c>
      <c r="O252" s="6" t="n"/>
      <c r="P252" s="6" t="n">
        <v>8842</v>
      </c>
      <c r="Q252" s="6" t="n">
        <v>1.25</v>
      </c>
      <c r="R252">
        <f>M252+IF(MAX(N252-1,0)&gt;0,IF(ISBLANK(O252),5*MAX(N252-1,0),IF(ISNUMBER(O252),O252*MAX(N252-1,0),SUM(IFERROR(VALUE(TEXTSPLIT(O252,",")),0)))),0)</f>
        <v/>
      </c>
      <c r="S252">
        <f>IFERROR(L252*MAX(N252,1)/R252*IF(ISBLANK(K250),1,K250),0)</f>
        <v/>
      </c>
      <c r="AB252" s="7" t="inlineStr">
        <is>
          <t>^Warhead_Tesla_Heavy</t>
        </is>
      </c>
    </row>
    <row r="253">
      <c r="B253" s="7" t="inlineStr">
        <is>
          <t xml:space="preserve">  ↳ RA2CoilBolt3</t>
        </is>
      </c>
      <c r="C253" s="7" t="inlineStr">
        <is>
          <t>Armament@3</t>
        </is>
      </c>
      <c r="L253" s="6" t="n">
        <v>64000</v>
      </c>
      <c r="M253" s="6" t="n">
        <v>3</v>
      </c>
      <c r="N253" s="6" t="n">
        <v>1</v>
      </c>
      <c r="O253" s="6" t="n"/>
      <c r="P253" s="6" t="n">
        <v>8842</v>
      </c>
      <c r="Q253" s="6" t="n">
        <v>1.25</v>
      </c>
      <c r="R253">
        <f>M253+IF(MAX(N253-1,0)&gt;0,IF(ISBLANK(O253),5*MAX(N253-1,0),IF(ISNUMBER(O253),O253*MAX(N253-1,0),SUM(IFERROR(VALUE(TEXTSPLIT(O253,",")),0)))),0)</f>
        <v/>
      </c>
      <c r="S253">
        <f>IFERROR(L253*MAX(N253,1)/R253*IF(ISBLANK(K250),1,K250),0)</f>
        <v/>
      </c>
      <c r="AB253" s="7" t="inlineStr">
        <is>
          <t>^Warhead_Tesla_Heavy</t>
        </is>
      </c>
    </row>
    <row r="254">
      <c r="B254" s="7" t="inlineStr">
        <is>
          <t xml:space="preserve">  ↳ RA2OPCoilBolt1</t>
        </is>
      </c>
      <c r="C254" s="7" t="inlineStr">
        <is>
          <t>Armament@Charged1</t>
        </is>
      </c>
      <c r="L254" s="6" t="n">
        <v>64000</v>
      </c>
      <c r="M254" s="6" t="n">
        <v>3</v>
      </c>
      <c r="N254" s="6" t="n">
        <v>1</v>
      </c>
      <c r="O254" s="6" t="n"/>
      <c r="P254" s="6" t="n">
        <v>8842</v>
      </c>
      <c r="Q254" s="6" t="n">
        <v>1</v>
      </c>
      <c r="R254">
        <f>M254+IF(MAX(N254-1,0)&gt;0,IF(ISBLANK(O254),5*MAX(N254-1,0),IF(ISNUMBER(O254),O254*MAX(N254-1,0),SUM(IFERROR(VALUE(TEXTSPLIT(O254,",")),0)))),0)</f>
        <v/>
      </c>
      <c r="S254">
        <f>IFERROR(L254*MAX(N254,1)/R254*IF(ISBLANK(K250),1,K250),0)</f>
        <v/>
      </c>
      <c r="AB254" s="7" t="inlineStr">
        <is>
          <t>^Warhead_Tesla_Super</t>
        </is>
      </c>
    </row>
    <row r="255">
      <c r="B255" s="7" t="inlineStr">
        <is>
          <t xml:space="preserve">  ↳ RA2OPCoilBolt2</t>
        </is>
      </c>
      <c r="C255" s="7" t="inlineStr">
        <is>
          <t>Armament@Charged2</t>
        </is>
      </c>
      <c r="L255" s="6" t="n">
        <v>64000</v>
      </c>
      <c r="M255" s="6" t="n">
        <v>3</v>
      </c>
      <c r="N255" s="6" t="n">
        <v>1</v>
      </c>
      <c r="O255" s="6" t="n"/>
      <c r="P255" s="6" t="n">
        <v>8842</v>
      </c>
      <c r="Q255" s="6" t="n">
        <v>1</v>
      </c>
      <c r="R255">
        <f>M255+IF(MAX(N255-1,0)&gt;0,IF(ISBLANK(O255),5*MAX(N255-1,0),IF(ISNUMBER(O255),O255*MAX(N255-1,0),SUM(IFERROR(VALUE(TEXTSPLIT(O255,",")),0)))),0)</f>
        <v/>
      </c>
      <c r="S255">
        <f>IFERROR(L255*MAX(N255,1)/R255*IF(ISBLANK(K250),1,K250),0)</f>
        <v/>
      </c>
      <c r="AB255" s="7" t="inlineStr">
        <is>
          <t>^Warhead_Tesla_Super</t>
        </is>
      </c>
    </row>
    <row r="256">
      <c r="B256" s="7" t="inlineStr">
        <is>
          <t xml:space="preserve">  ↳ RA2OPCoilBolt3</t>
        </is>
      </c>
      <c r="C256" s="7" t="inlineStr">
        <is>
          <t>Armament@Charged3</t>
        </is>
      </c>
      <c r="L256" s="6" t="n">
        <v>64000</v>
      </c>
      <c r="M256" s="6" t="n">
        <v>3</v>
      </c>
      <c r="N256" s="6" t="n">
        <v>1</v>
      </c>
      <c r="O256" s="6" t="n"/>
      <c r="P256" s="6" t="n">
        <v>8842</v>
      </c>
      <c r="Q256" s="6" t="n">
        <v>1</v>
      </c>
      <c r="R256">
        <f>M256+IF(MAX(N256-1,0)&gt;0,IF(ISBLANK(O256),5*MAX(N256-1,0),IF(ISNUMBER(O256),O256*MAX(N256-1,0),SUM(IFERROR(VALUE(TEXTSPLIT(O256,",")),0)))),0)</f>
        <v/>
      </c>
      <c r="S256">
        <f>IFERROR(L256*MAX(N256,1)/R256*IF(ISBLANK(K250),1,K250),0)</f>
        <v/>
      </c>
      <c r="AB256" s="7" t="inlineStr">
        <is>
          <t>^Warhead_Tesla_Super</t>
        </is>
      </c>
    </row>
    <row r="257">
      <c r="A257" t="inlineStr">
        <is>
          <t>redalert2</t>
        </is>
      </c>
      <c r="B257" t="inlineStr">
        <is>
          <t>yuri_psychictower</t>
        </is>
      </c>
      <c r="C257" t="inlineStr">
        <is>
          <t>Psychic Tower</t>
        </is>
      </c>
      <c r="D257" s="6" t="inlineStr">
        <is>
          <t>AdvancedDefense</t>
        </is>
      </c>
      <c r="E257" s="6" t="n">
        <v>150000</v>
      </c>
      <c r="F257" t="n">
        <v>100</v>
      </c>
      <c r="G257" t="inlineStr">
        <is>
          <t>Steel</t>
        </is>
      </c>
      <c r="H257" s="6" t="n">
        <v>0.5749</v>
      </c>
      <c r="I257" s="6" t="n">
        <v>1</v>
      </c>
      <c r="J257" s="6" t="n">
        <v>1</v>
      </c>
      <c r="P257">
        <f>MAX(P258)</f>
        <v/>
      </c>
      <c r="S257">
        <f>S258</f>
        <v/>
      </c>
      <c r="T257">
        <f>(E257/100000+F257/100+(P257/1000)*J257/5+S257/200)*200*I257*H257</f>
        <v/>
      </c>
      <c r="U257">
        <f>((E257*F257/25000)+((P257/1000)*J257*S257/2.5))*I257*H257</f>
        <v/>
      </c>
      <c r="V257">
        <f>(E257*F257*(P257/1000)*J257*S257*I257*H257)/12500000</f>
        <v/>
      </c>
      <c r="W257">
        <f>(T257+U257+V257)/3</f>
        <v/>
      </c>
      <c r="X257" s="6" t="n">
        <v>2000</v>
      </c>
      <c r="Y257">
        <f>IFERROR(W257-X257,"")</f>
        <v/>
      </c>
      <c r="Z257">
        <f>IFERROR(ABS(Y257)/MAX(X257,1),"")</f>
        <v/>
      </c>
      <c r="AA257">
        <f>IFERROR((X257-(((E257/100000+F257/100+S257/200)*200*I257*H257)+((E257*F257/25000)*I257*H257))/3)/(((J257/5)*200*I257*H257)+((J257*S257/2.5)*I257*H257)+((E257*F257*J257*S257*I257*H257)/12500000))/3*1000,"")</f>
        <v/>
      </c>
    </row>
    <row r="258">
      <c r="B258" s="7" t="inlineStr">
        <is>
          <t xml:space="preserve">  ↳ RA2TMindControl</t>
        </is>
      </c>
      <c r="C258" s="7" t="inlineStr">
        <is>
          <t>Armament@CONTROL</t>
        </is>
      </c>
      <c r="L258" t="n">
        <v>0</v>
      </c>
      <c r="M258" s="6" t="n">
        <v>75</v>
      </c>
      <c r="N258" s="6" t="n">
        <v>1</v>
      </c>
      <c r="O258" s="6" t="n"/>
      <c r="P258" s="6" t="n">
        <v>8000</v>
      </c>
      <c r="Q258" s="6" t="n">
        <v>1</v>
      </c>
      <c r="R258">
        <f>M258+IF(MAX(N258-1,0)&gt;0,IF(ISBLANK(O258),5*MAX(N258-1,0),IF(ISNUMBER(O258),O258*MAX(N258-1,0),SUM(IFERROR(VALUE(TEXTSPLIT(O258,",")),0)))),0)</f>
        <v/>
      </c>
      <c r="S258">
        <f>IFERROR(L258*MAX(N258,1)/R258*IF(ISBLANK(K257),1,K257),0)</f>
        <v/>
      </c>
      <c r="AB258" s="7" t="inlineStr">
        <is>
          <t>RA2MindControl</t>
        </is>
      </c>
    </row>
    <row r="259">
      <c r="A259" t="inlineStr">
        <is>
          <t>redalert2mod</t>
        </is>
      </c>
      <c r="B259" t="inlineStr">
        <is>
          <t>asianalliance_chaostower</t>
        </is>
      </c>
      <c r="C259" t="inlineStr">
        <is>
          <t>Chaos Tower</t>
        </is>
      </c>
      <c r="D259" s="6" t="inlineStr">
        <is>
          <t>AdvancedDefense</t>
        </is>
      </c>
      <c r="E259" s="6" t="n">
        <v>100000</v>
      </c>
      <c r="G259" t="inlineStr">
        <is>
          <t>Steel</t>
        </is>
      </c>
      <c r="H259" s="6" t="n">
        <v>0.4125</v>
      </c>
      <c r="I259" s="6" t="n">
        <v>1</v>
      </c>
      <c r="J259" s="6" t="n">
        <v>1</v>
      </c>
      <c r="X259" s="6" t="n">
        <v>1000</v>
      </c>
    </row>
    <row r="260">
      <c r="B260" s="7" t="inlineStr">
        <is>
          <t xml:space="preserve">  ↳ AsianChaosTurret</t>
        </is>
      </c>
      <c r="C260" s="7" t="inlineStr">
        <is>
          <t>Armament</t>
        </is>
      </c>
      <c r="M260" s="6" t="n">
        <v>125</v>
      </c>
      <c r="N260" s="6" t="n">
        <v>1</v>
      </c>
      <c r="O260" s="6" t="n"/>
      <c r="P260" s="6" t="n">
        <v>5000</v>
      </c>
      <c r="Q260" s="6" t="n">
        <v>1</v>
      </c>
      <c r="R260">
        <f>M260+IF(MAX(N260-1,0)&gt;0,IF(ISBLANK(O260),5*MAX(N260-1,0),IF(ISNUMBER(O260),O260*MAX(N260-1,0),SUM(IFERROR(VALUE(TEXTSPLIT(O260,",")),0)))),0)</f>
        <v/>
      </c>
      <c r="S260">
        <f>IFERROR(L260*MAX(N260,1)/R260*IF(ISBLANK(K259),1,K259),0)</f>
        <v/>
      </c>
      <c r="AB260" s="7" t="inlineStr"/>
    </row>
    <row r="261">
      <c r="A261" t="inlineStr">
        <is>
          <t>redalert2mod</t>
        </is>
      </c>
      <c r="B261" t="inlineStr">
        <is>
          <t>asianalliance_plasmacannon</t>
        </is>
      </c>
      <c r="C261" t="inlineStr">
        <is>
          <t>Plasma Cannon</t>
        </is>
      </c>
      <c r="D261" s="6" t="inlineStr">
        <is>
          <t>AdvancedDefense</t>
        </is>
      </c>
      <c r="E261" s="6" t="n">
        <v>300000</v>
      </c>
      <c r="G261" t="inlineStr">
        <is>
          <t>Steel</t>
        </is>
      </c>
      <c r="H261" s="6" t="n">
        <v>0.4125</v>
      </c>
      <c r="I261" s="6" t="n">
        <v>1</v>
      </c>
      <c r="J261" s="6" t="n">
        <v>1</v>
      </c>
      <c r="X261" s="6" t="n">
        <v>4000</v>
      </c>
    </row>
    <row r="262">
      <c r="B262" s="7" t="inlineStr">
        <is>
          <t xml:space="preserve">  ↳ AsianTurretPlasma</t>
        </is>
      </c>
      <c r="C262" s="7" t="inlineStr">
        <is>
          <t>Armament</t>
        </is>
      </c>
      <c r="L262" s="6" t="n">
        <v>16000</v>
      </c>
      <c r="M262" s="6" t="n">
        <v>90</v>
      </c>
      <c r="N262" s="6" t="n">
        <v>2</v>
      </c>
      <c r="O262" s="6" t="n">
        <v>6</v>
      </c>
      <c r="P262" s="6" t="n">
        <v>14000</v>
      </c>
      <c r="Q262" s="6" t="n">
        <v>1.125</v>
      </c>
      <c r="R262">
        <f>M262+IF(MAX(N262-1,0)&gt;0,IF(ISBLANK(O262),5*MAX(N262-1,0),IF(ISNUMBER(O262),O262*MAX(N262-1,0),SUM(IFERROR(VALUE(TEXTSPLIT(O262,",")),0)))),0)</f>
        <v/>
      </c>
      <c r="S262">
        <f>IFERROR(L262*MAX(N262,1)/R262*IF(ISBLANK(K261),1,K261),0)</f>
        <v/>
      </c>
      <c r="AB262" s="7" t="inlineStr">
        <is>
          <t>^Warhead_CannonHE_Medium, ^Warhead_CannonHE_Heavy</t>
        </is>
      </c>
    </row>
    <row r="263">
      <c r="A263" t="inlineStr">
        <is>
          <t>redalert2mod</t>
        </is>
      </c>
      <c r="B263" t="inlineStr">
        <is>
          <t>asianalliance_railtower</t>
        </is>
      </c>
      <c r="C263" t="inlineStr">
        <is>
          <t>Rail Tower</t>
        </is>
      </c>
      <c r="D263" s="6" t="inlineStr">
        <is>
          <t>AdvancedDefense</t>
        </is>
      </c>
      <c r="E263" s="6" t="n">
        <v>125000</v>
      </c>
      <c r="G263" t="inlineStr">
        <is>
          <t>Steel</t>
        </is>
      </c>
      <c r="H263" s="6" t="n">
        <v>0.55</v>
      </c>
      <c r="I263" s="6" t="n">
        <v>1</v>
      </c>
      <c r="J263" s="6" t="n">
        <v>1</v>
      </c>
      <c r="X263" s="6" t="n">
        <v>2500</v>
      </c>
    </row>
    <row r="264">
      <c r="B264" s="7" t="inlineStr">
        <is>
          <t xml:space="preserve">  ↳ AsianRailgun</t>
        </is>
      </c>
      <c r="C264" s="7" t="inlineStr">
        <is>
          <t>Armament</t>
        </is>
      </c>
      <c r="L264" s="6" t="n">
        <v>30000</v>
      </c>
      <c r="M264" s="6" t="n">
        <v>10</v>
      </c>
      <c r="N264" s="6" t="n">
        <v>1</v>
      </c>
      <c r="O264" s="6" t="n"/>
      <c r="P264" s="6" t="n">
        <v>9600</v>
      </c>
      <c r="Q264" s="6" t="n">
        <v>1.25</v>
      </c>
      <c r="R264">
        <f>M264+IF(MAX(N264-1,0)&gt;0,IF(ISBLANK(O264),5*MAX(N264-1,0),IF(ISNUMBER(O264),O264*MAX(N264-1,0),SUM(IFERROR(VALUE(TEXTSPLIT(O264,",")),0)))),0)</f>
        <v/>
      </c>
      <c r="S264">
        <f>IFERROR(L264*MAX(N264,1)/R264*IF(ISBLANK(K263),1,K263),0)</f>
        <v/>
      </c>
      <c r="AB264" s="7" t="inlineStr">
        <is>
          <t>^Warhead_Railgun_Heavy</t>
        </is>
      </c>
    </row>
    <row r="265">
      <c r="A265" t="inlineStr">
        <is>
          <t>redalert2mod</t>
        </is>
      </c>
      <c r="B265" t="inlineStr">
        <is>
          <t>asianalliance_spitfire</t>
        </is>
      </c>
      <c r="C265" t="inlineStr">
        <is>
          <t>Spitfire</t>
        </is>
      </c>
      <c r="D265" s="6" t="inlineStr">
        <is>
          <t>AdvancedDefense</t>
        </is>
      </c>
      <c r="E265" s="6" t="n">
        <v>100000</v>
      </c>
      <c r="G265" t="inlineStr">
        <is>
          <t>Steel</t>
        </is>
      </c>
      <c r="H265" s="6" t="n">
        <v>0.4125</v>
      </c>
      <c r="I265" s="6" t="n">
        <v>1</v>
      </c>
      <c r="J265" s="6" t="n">
        <v>1</v>
      </c>
      <c r="X265" s="6" t="n">
        <v>2000</v>
      </c>
    </row>
    <row r="266">
      <c r="B266" s="7" t="inlineStr">
        <is>
          <t xml:space="preserve">  ↳ AsianSpitfireRockets</t>
        </is>
      </c>
      <c r="C266" s="7" t="inlineStr">
        <is>
          <t>Armament</t>
        </is>
      </c>
      <c r="L266" s="6" t="n">
        <v>16000</v>
      </c>
      <c r="M266" s="6" t="n">
        <v>90</v>
      </c>
      <c r="N266" s="6" t="n">
        <v>8</v>
      </c>
      <c r="O266" s="6" t="n">
        <v>4</v>
      </c>
      <c r="P266" s="6" t="n">
        <v>12000</v>
      </c>
      <c r="Q266" s="6" t="n">
        <v>0.875</v>
      </c>
      <c r="R266">
        <f>M266+IF(MAX(N266-1,0)&gt;0,IF(ISBLANK(O266),5*MAX(N266-1,0),IF(ISNUMBER(O266),O266*MAX(N266-1,0),SUM(IFERROR(VALUE(TEXTSPLIT(O266,",")),0)))),0)</f>
        <v/>
      </c>
      <c r="S266">
        <f>IFERROR(L266*MAX(N266,1)/R266*IF(ISBLANK(K265),1,K265),0)</f>
        <v/>
      </c>
      <c r="AB266" s="7" t="inlineStr">
        <is>
          <t>^Warhead_Demolition_Light, ^Warhead_MissileAP_Medium</t>
        </is>
      </c>
    </row>
    <row r="267">
      <c r="A267" t="inlineStr">
        <is>
          <t>redalert2mod</t>
        </is>
      </c>
      <c r="B267" t="inlineStr">
        <is>
          <t>steelconsortium_bfg10000</t>
        </is>
      </c>
      <c r="C267" t="inlineStr">
        <is>
          <t>BFG 10000</t>
        </is>
      </c>
      <c r="D267" s="6" t="inlineStr">
        <is>
          <t>AdvancedDefense</t>
        </is>
      </c>
      <c r="E267" s="6" t="n">
        <v>1000000</v>
      </c>
      <c r="G267" t="inlineStr">
        <is>
          <t>Steel</t>
        </is>
      </c>
      <c r="H267" s="6" t="n">
        <v>1</v>
      </c>
      <c r="I267" s="6" t="n">
        <v>0.5</v>
      </c>
      <c r="J267" s="6" t="n">
        <v>1</v>
      </c>
      <c r="X267" s="6" t="n">
        <v>10000</v>
      </c>
    </row>
    <row r="268">
      <c r="B268" s="7" t="inlineStr">
        <is>
          <t xml:space="preserve">  ↳ bfg10kCannonDummy</t>
        </is>
      </c>
      <c r="C268" s="7" t="inlineStr">
        <is>
          <t>Armament@Dummy</t>
        </is>
      </c>
      <c r="M268" s="6" t="n">
        <v>750</v>
      </c>
      <c r="N268" s="6" t="n">
        <v>1</v>
      </c>
      <c r="O268" s="6" t="n"/>
      <c r="P268" s="6" t="n">
        <v>25000</v>
      </c>
      <c r="Q268" s="6" t="n">
        <v>1</v>
      </c>
      <c r="R268">
        <f>M268+IF(MAX(N268-1,0)&gt;0,IF(ISBLANK(O268),5*MAX(N268-1,0),IF(ISNUMBER(O268),O268*MAX(N268-1,0),SUM(IFERROR(VALUE(TEXTSPLIT(O268,",")),0)))),0)</f>
        <v/>
      </c>
      <c r="S268">
        <f>IFERROR(L268*MAX(N268,1)/R268*IF(ISBLANK(K267),1,K267),0)</f>
        <v/>
      </c>
      <c r="AB268" s="7" t="inlineStr"/>
    </row>
    <row r="269">
      <c r="B269" s="7" t="inlineStr">
        <is>
          <t xml:space="preserve">  ↳ bfg10kCannon</t>
        </is>
      </c>
      <c r="C269" s="7" t="inlineStr">
        <is>
          <t>Armament@Weapon</t>
        </is>
      </c>
      <c r="L269" s="6" t="n">
        <v>1000000</v>
      </c>
      <c r="M269" s="6" t="n">
        <v>750</v>
      </c>
      <c r="N269" s="6" t="n">
        <v>1</v>
      </c>
      <c r="O269" s="6" t="n"/>
      <c r="P269" s="6" t="n">
        <v>25000</v>
      </c>
      <c r="Q269" s="6" t="n">
        <v>1</v>
      </c>
      <c r="R269">
        <f>M269+IF(MAX(N269-1,0)&gt;0,IF(ISBLANK(O269),5*MAX(N269-1,0),IF(ISNUMBER(O269),O269*MAX(N269-1,0),SUM(IFERROR(VALUE(TEXTSPLIT(O269,",")),0)))),0)</f>
        <v/>
      </c>
      <c r="S269">
        <f>IFERROR(L269*MAX(N269,1)/R269*IF(ISBLANK(K267),1,K267),0)</f>
        <v/>
      </c>
      <c r="AB269" s="7" t="inlineStr">
        <is>
          <t>^TeslaChargedWeapon, ^MagicWeapon, ^LaserWeapon, ^RailgunWeapon</t>
        </is>
      </c>
    </row>
    <row r="270">
      <c r="B270" s="7" t="inlineStr">
        <is>
          <t xml:space="preserve">  ↳ superbfg10kCannonDummy</t>
        </is>
      </c>
      <c r="C270" s="7" t="inlineStr">
        <is>
          <t>Armament@SuperDummy</t>
        </is>
      </c>
      <c r="M270" s="6" t="n">
        <v>750</v>
      </c>
      <c r="N270" s="6" t="n">
        <v>1</v>
      </c>
      <c r="O270" s="6" t="n"/>
      <c r="P270" s="6" t="n">
        <v>10238976</v>
      </c>
      <c r="Q270" s="6" t="n">
        <v>1</v>
      </c>
      <c r="R270">
        <f>M270+IF(MAX(N270-1,0)&gt;0,IF(ISBLANK(O270),5*MAX(N270-1,0),IF(ISNUMBER(O270),O270*MAX(N270-1,0),SUM(IFERROR(VALUE(TEXTSPLIT(O270,",")),0)))),0)</f>
        <v/>
      </c>
      <c r="S270">
        <f>IFERROR(L270*MAX(N270,1)/R270*IF(ISBLANK(K267),1,K267),0)</f>
        <v/>
      </c>
      <c r="AB270" s="7" t="inlineStr">
        <is>
          <t>bfg10kCannonDummy</t>
        </is>
      </c>
    </row>
    <row r="271">
      <c r="B271" s="7" t="inlineStr">
        <is>
          <t xml:space="preserve">  ↳ superbfg10kCannon</t>
        </is>
      </c>
      <c r="C271" s="7" t="inlineStr">
        <is>
          <t>Armament@SuperWeapon</t>
        </is>
      </c>
      <c r="L271" s="6" t="n">
        <v>1000000</v>
      </c>
      <c r="M271" s="6" t="n">
        <v>750</v>
      </c>
      <c r="N271" s="6" t="n">
        <v>1</v>
      </c>
      <c r="O271" s="6" t="n"/>
      <c r="P271" s="6" t="n">
        <v>10238976</v>
      </c>
      <c r="Q271" s="6" t="n">
        <v>1</v>
      </c>
      <c r="R271">
        <f>M271+IF(MAX(N271-1,0)&gt;0,IF(ISBLANK(O271),5*MAX(N271-1,0),IF(ISNUMBER(O271),O271*MAX(N271-1,0),SUM(IFERROR(VALUE(TEXTSPLIT(O271,",")),0)))),0)</f>
        <v/>
      </c>
      <c r="S271">
        <f>IFERROR(L271*MAX(N271,1)/R271*IF(ISBLANK(K267),1,K267),0)</f>
        <v/>
      </c>
      <c r="AB271" s="7" t="inlineStr">
        <is>
          <t>bfg10kCannon</t>
        </is>
      </c>
    </row>
    <row r="272">
      <c r="A272" t="inlineStr">
        <is>
          <t>redalert2mod</t>
        </is>
      </c>
      <c r="B272" t="inlineStr">
        <is>
          <t>steelconsortium_quantumcannon</t>
        </is>
      </c>
      <c r="C272" t="inlineStr">
        <is>
          <t>Quantum Cannon</t>
        </is>
      </c>
      <c r="D272" s="6" t="inlineStr">
        <is>
          <t>AdvancedDefense</t>
        </is>
      </c>
      <c r="E272" s="6" t="n">
        <v>230000</v>
      </c>
      <c r="G272" t="inlineStr">
        <is>
          <t>Steel</t>
        </is>
      </c>
      <c r="H272" s="6" t="n">
        <v>0.541</v>
      </c>
      <c r="I272" s="6" t="n">
        <v>1</v>
      </c>
      <c r="J272" s="6" t="n">
        <v>1</v>
      </c>
      <c r="X272" s="6" t="n">
        <v>2000</v>
      </c>
    </row>
    <row r="273">
      <c r="B273" s="7" t="inlineStr">
        <is>
          <t xml:space="preserve">  ↳ GLStingerTargeting</t>
        </is>
      </c>
      <c r="C273" s="7" t="inlineStr">
        <is>
          <t>Armament@DroneTargeting</t>
        </is>
      </c>
      <c r="M273" s="6" t="n">
        <v>25</v>
      </c>
      <c r="N273" s="6" t="n">
        <v>1</v>
      </c>
      <c r="O273" s="6" t="n"/>
      <c r="P273" s="6" t="n">
        <v>15000</v>
      </c>
      <c r="Q273" s="6" t="n">
        <v>1</v>
      </c>
      <c r="R273">
        <f>M273+IF(MAX(N273-1,0)&gt;0,IF(ISBLANK(O273),5*MAX(N273-1,0),IF(ISNUMBER(O273),O273*MAX(N273-1,0),SUM(IFERROR(VALUE(TEXTSPLIT(O273,",")),0)))),0)</f>
        <v/>
      </c>
      <c r="S273">
        <f>IFERROR(L273*MAX(N273,1)/R273*IF(ISBLANK(K272),1,K272),0)</f>
        <v/>
      </c>
      <c r="AB273" s="7" t="inlineStr"/>
    </row>
    <row r="274">
      <c r="B274" s="7" t="inlineStr">
        <is>
          <t xml:space="preserve">  ↳ SteelQuantumTurretRail</t>
        </is>
      </c>
      <c r="C274" s="7" t="inlineStr">
        <is>
          <t>Armament@1</t>
        </is>
      </c>
      <c r="L274" s="6" t="n">
        <v>12000</v>
      </c>
      <c r="M274" s="6" t="n">
        <v>38</v>
      </c>
      <c r="N274" s="6" t="n">
        <v>1</v>
      </c>
      <c r="O274" s="6" t="n"/>
      <c r="P274" s="6" t="n">
        <v>8888</v>
      </c>
      <c r="Q274" s="6" t="n">
        <v>1.25</v>
      </c>
      <c r="R274">
        <f>M274+IF(MAX(N274-1,0)&gt;0,IF(ISBLANK(O274),5*MAX(N274-1,0),IF(ISNUMBER(O274),O274*MAX(N274-1,0),SUM(IFERROR(VALUE(TEXTSPLIT(O274,",")),0)))),0)</f>
        <v/>
      </c>
      <c r="S274">
        <f>IFERROR(L274*MAX(N274,1)/R274*IF(ISBLANK(K272),1,K272),0)</f>
        <v/>
      </c>
      <c r="AB274" s="7" t="inlineStr">
        <is>
          <t>^Warhead_CannonHE_Heavy</t>
        </is>
      </c>
    </row>
    <row r="275">
      <c r="B275" s="7" t="inlineStr">
        <is>
          <t xml:space="preserve">  ↳ SteelQuantumTurretRail</t>
        </is>
      </c>
      <c r="C275" s="7" t="inlineStr">
        <is>
          <t>Armament@2</t>
        </is>
      </c>
      <c r="L275" s="6" t="n">
        <v>12000</v>
      </c>
      <c r="M275" s="6" t="n">
        <v>38</v>
      </c>
      <c r="N275" s="6" t="n">
        <v>1</v>
      </c>
      <c r="O275" s="6" t="n"/>
      <c r="P275" s="6" t="n">
        <v>8888</v>
      </c>
      <c r="Q275" s="6" t="n">
        <v>1.25</v>
      </c>
      <c r="R275">
        <f>M275+IF(MAX(N275-1,0)&gt;0,IF(ISBLANK(O275),5*MAX(N275-1,0),IF(ISNUMBER(O275),O275*MAX(N275-1,0),SUM(IFERROR(VALUE(TEXTSPLIT(O275,",")),0)))),0)</f>
        <v/>
      </c>
      <c r="S275">
        <f>IFERROR(L275*MAX(N275,1)/R275*IF(ISBLANK(K272),1,K272),0)</f>
        <v/>
      </c>
      <c r="AB275" s="7" t="inlineStr">
        <is>
          <t>^Warhead_CannonHE_Heavy</t>
        </is>
      </c>
    </row>
    <row r="276">
      <c r="B276" s="7" t="inlineStr">
        <is>
          <t xml:space="preserve">  ↳ SteelQuantumTurretRail_EMP</t>
        </is>
      </c>
      <c r="C276" s="7" t="inlineStr">
        <is>
          <t>Armament@Upgrade1</t>
        </is>
      </c>
      <c r="L276" s="6" t="n">
        <v>12000</v>
      </c>
      <c r="M276" s="6" t="n">
        <v>38</v>
      </c>
      <c r="N276" s="6" t="n">
        <v>1</v>
      </c>
      <c r="O276" s="6" t="n"/>
      <c r="P276" s="6" t="n">
        <v>8888</v>
      </c>
      <c r="Q276" s="6" t="n">
        <v>1.25</v>
      </c>
      <c r="R276">
        <f>M276+IF(MAX(N276-1,0)&gt;0,IF(ISBLANK(O276),5*MAX(N276-1,0),IF(ISNUMBER(O276),O276*MAX(N276-1,0),SUM(IFERROR(VALUE(TEXTSPLIT(O276,",")),0)))),0)</f>
        <v/>
      </c>
      <c r="S276">
        <f>IFERROR(L276*MAX(N276,1)/R276*IF(ISBLANK(K272),1,K272),0)</f>
        <v/>
      </c>
      <c r="AB276" s="7" t="inlineStr">
        <is>
          <t>^Warhead_CannonHE_Heavy</t>
        </is>
      </c>
    </row>
    <row r="277">
      <c r="B277" s="7" t="inlineStr">
        <is>
          <t xml:space="preserve">  ↳ SteelQuantumTurretRail_EMP</t>
        </is>
      </c>
      <c r="C277" s="7" t="inlineStr">
        <is>
          <t>Armament@Upgrade2</t>
        </is>
      </c>
      <c r="L277" s="6" t="n">
        <v>12000</v>
      </c>
      <c r="M277" s="6" t="n">
        <v>38</v>
      </c>
      <c r="N277" s="6" t="n">
        <v>1</v>
      </c>
      <c r="O277" s="6" t="n"/>
      <c r="P277" s="6" t="n">
        <v>8888</v>
      </c>
      <c r="Q277" s="6" t="n">
        <v>1.25</v>
      </c>
      <c r="R277">
        <f>M277+IF(MAX(N277-1,0)&gt;0,IF(ISBLANK(O277),5*MAX(N277-1,0),IF(ISNUMBER(O277),O277*MAX(N277-1,0),SUM(IFERROR(VALUE(TEXTSPLIT(O277,",")),0)))),0)</f>
        <v/>
      </c>
      <c r="S277">
        <f>IFERROR(L277*MAX(N277,1)/R277*IF(ISBLANK(K272),1,K272),0)</f>
        <v/>
      </c>
      <c r="AB277" s="7" t="inlineStr">
        <is>
          <t>^Warhead_CannonHE_Heavy</t>
        </is>
      </c>
    </row>
    <row r="278">
      <c r="A278" t="inlineStr">
        <is>
          <t>redalert2mod</t>
        </is>
      </c>
      <c r="B278" t="inlineStr">
        <is>
          <t>latinsyndicate_smlturret</t>
        </is>
      </c>
      <c r="C278" t="inlineStr">
        <is>
          <t>SML Turret</t>
        </is>
      </c>
      <c r="D278" s="6" t="inlineStr">
        <is>
          <t>AdvancedDefense</t>
        </is>
      </c>
      <c r="E278" s="6" t="n">
        <v>300000</v>
      </c>
      <c r="G278" t="inlineStr">
        <is>
          <t>Steel</t>
        </is>
      </c>
      <c r="H278" s="6" t="n">
        <v>0.4074</v>
      </c>
      <c r="I278" s="6" t="n">
        <v>1</v>
      </c>
      <c r="J278" s="6" t="n">
        <v>1</v>
      </c>
      <c r="X278" s="6" t="n">
        <v>5000</v>
      </c>
    </row>
    <row r="279">
      <c r="B279" s="7" t="inlineStr">
        <is>
          <t xml:space="preserve">  ↳ SMLLauncher</t>
        </is>
      </c>
      <c r="C279" s="7" t="inlineStr">
        <is>
          <t>Armament</t>
        </is>
      </c>
      <c r="M279" s="6" t="n">
        <v>125</v>
      </c>
      <c r="N279" s="6" t="n">
        <v>4</v>
      </c>
      <c r="O279" s="6" t="n"/>
      <c r="P279" s="6" t="n">
        <v>15000</v>
      </c>
      <c r="Q279" s="6" t="n">
        <v>1</v>
      </c>
      <c r="R279">
        <f>M279+IF(MAX(N279-1,0)&gt;0,IF(ISBLANK(O279),5*MAX(N279-1,0),IF(ISNUMBER(O279),O279*MAX(N279-1,0),SUM(IFERROR(VALUE(TEXTSPLIT(O279,",")),0)))),0)</f>
        <v/>
      </c>
      <c r="S279">
        <f>IFERROR(L279*MAX(N279,1)/R279*IF(ISBLANK(K278),1,K278),0)</f>
        <v/>
      </c>
      <c r="AB279" s="7" t="inlineStr"/>
    </row>
    <row r="280">
      <c r="A280" t="inlineStr">
        <is>
          <t>redalert2mod</t>
        </is>
      </c>
      <c r="B280" t="inlineStr">
        <is>
          <t>schwarzermond_lasertower</t>
        </is>
      </c>
      <c r="C280" t="inlineStr">
        <is>
          <t>Laser Tower</t>
        </is>
      </c>
      <c r="D280" s="6" t="inlineStr">
        <is>
          <t>AdvancedDefense</t>
        </is>
      </c>
      <c r="E280" s="6" t="n">
        <v>160000</v>
      </c>
      <c r="G280" t="inlineStr">
        <is>
          <t>Steel</t>
        </is>
      </c>
      <c r="H280" s="6" t="n">
        <v>1</v>
      </c>
      <c r="I280" s="6" t="n">
        <v>1</v>
      </c>
      <c r="J280" s="6" t="n">
        <v>1</v>
      </c>
      <c r="X280" s="6" t="n">
        <v>800</v>
      </c>
    </row>
    <row r="281">
      <c r="B281" s="7" t="inlineStr">
        <is>
          <t xml:space="preserve">  ↳ NaxLaserT</t>
        </is>
      </c>
      <c r="C281" s="7" t="inlineStr">
        <is>
          <t>Armament</t>
        </is>
      </c>
      <c r="L281" s="6" t="n">
        <v>8000</v>
      </c>
      <c r="M281" s="6" t="n">
        <v>20</v>
      </c>
      <c r="N281" s="6" t="n">
        <v>1</v>
      </c>
      <c r="O281" s="6" t="n"/>
      <c r="P281" s="6" t="n">
        <v>8181</v>
      </c>
      <c r="Q281" s="6" t="n">
        <v>1</v>
      </c>
      <c r="R281">
        <f>M281+IF(MAX(N281-1,0)&gt;0,IF(ISBLANK(O281),5*MAX(N281-1,0),IF(ISNUMBER(O281),O281*MAX(N281-1,0),SUM(IFERROR(VALUE(TEXTSPLIT(O281,",")),0)))),0)</f>
        <v/>
      </c>
      <c r="S281">
        <f>IFERROR(L281*MAX(N281,1)/R281*IF(ISBLANK(K280),1,K280),0)</f>
        <v/>
      </c>
      <c r="AB281" s="7" t="inlineStr">
        <is>
          <t>^SmallArms, ^Chaingun, ^MediumMissile, ^LaserWeapon</t>
        </is>
      </c>
    </row>
    <row r="282">
      <c r="B282" s="7" t="inlineStr">
        <is>
          <t xml:space="preserve">  ↳ Lunar_YellowLaserT</t>
        </is>
      </c>
      <c r="C282" s="7" t="inlineStr">
        <is>
          <t>Armament@UP</t>
        </is>
      </c>
      <c r="L282" s="6" t="n">
        <v>8000</v>
      </c>
      <c r="M282" s="6" t="n">
        <v>20</v>
      </c>
      <c r="N282" s="6" t="n">
        <v>2</v>
      </c>
      <c r="O282" s="6" t="n"/>
      <c r="P282" s="6" t="n">
        <v>8181</v>
      </c>
      <c r="Q282" s="6" t="n">
        <v>1</v>
      </c>
      <c r="R282">
        <f>M282+IF(MAX(N282-1,0)&gt;0,IF(ISBLANK(O282),5*MAX(N282-1,0),IF(ISNUMBER(O282),O282*MAX(N282-1,0),SUM(IFERROR(VALUE(TEXTSPLIT(O282,",")),0)))),0)</f>
        <v/>
      </c>
      <c r="S282">
        <f>IFERROR(L282*MAX(N282,1)/R282*IF(ISBLANK(K280),1,K280),0)</f>
        <v/>
      </c>
      <c r="AB282" s="7" t="inlineStr">
        <is>
          <t>NaxLaserT</t>
        </is>
      </c>
    </row>
    <row r="283">
      <c r="B283" s="7" t="inlineStr">
        <is>
          <t xml:space="preserve">  ↳ Lunar_AmplifiedLaserT</t>
        </is>
      </c>
      <c r="C283" s="7" t="inlineStr">
        <is>
          <t>Armament@AMP</t>
        </is>
      </c>
      <c r="L283" s="6" t="n">
        <v>8000</v>
      </c>
      <c r="M283" s="6" t="n">
        <v>20</v>
      </c>
      <c r="N283" s="6" t="n">
        <v>3</v>
      </c>
      <c r="O283" s="6" t="n"/>
      <c r="P283" s="6" t="n">
        <v>8181</v>
      </c>
      <c r="Q283" s="6" t="n">
        <v>1</v>
      </c>
      <c r="R283">
        <f>M283+IF(MAX(N283-1,0)&gt;0,IF(ISBLANK(O283),5*MAX(N283-1,0),IF(ISNUMBER(O283),O283*MAX(N283-1,0),SUM(IFERROR(VALUE(TEXTSPLIT(O283,",")),0)))),0)</f>
        <v/>
      </c>
      <c r="S283">
        <f>IFERROR(L283*MAX(N283,1)/R283*IF(ISBLANK(K280),1,K280),0)</f>
        <v/>
      </c>
      <c r="AB283" s="7" t="inlineStr">
        <is>
          <t>NaxLaserT</t>
        </is>
      </c>
    </row>
    <row r="284">
      <c r="A284" t="inlineStr">
        <is>
          <t>redalert2mod</t>
        </is>
      </c>
      <c r="B284" t="inlineStr">
        <is>
          <t>futuretech_frostbiteturret</t>
        </is>
      </c>
      <c r="C284" t="inlineStr">
        <is>
          <t>Frostbite Turret</t>
        </is>
      </c>
      <c r="D284" s="6" t="inlineStr">
        <is>
          <t>AdvancedDefense</t>
        </is>
      </c>
      <c r="E284" s="6" t="n">
        <v>120000</v>
      </c>
      <c r="G284" t="inlineStr">
        <is>
          <t>Steel</t>
        </is>
      </c>
      <c r="H284" s="6" t="n">
        <v>0.422</v>
      </c>
      <c r="I284" s="6" t="n">
        <v>1</v>
      </c>
      <c r="J284" s="6" t="n">
        <v>1</v>
      </c>
      <c r="K284" t="n">
        <v>0.0048</v>
      </c>
      <c r="X284" s="6" t="n">
        <v>1500</v>
      </c>
    </row>
    <row r="285">
      <c r="B285" s="7" t="inlineStr">
        <is>
          <t xml:space="preserve">  ↳ Future_Turret_Cryo</t>
        </is>
      </c>
      <c r="C285" s="7" t="inlineStr">
        <is>
          <t>Armament</t>
        </is>
      </c>
      <c r="L285" s="6" t="n">
        <v>11000</v>
      </c>
      <c r="M285" s="6" t="n">
        <v>8</v>
      </c>
      <c r="N285" s="6" t="n">
        <v>1</v>
      </c>
      <c r="O285" s="6" t="n"/>
      <c r="P285" s="6" t="n">
        <v>7124</v>
      </c>
      <c r="Q285" s="6" t="n">
        <v>1</v>
      </c>
      <c r="R285">
        <f>M285+IF(MAX(N285-1,0)&gt;0,IF(ISBLANK(O285),5*MAX(N285-1,0),IF(ISNUMBER(O285),O285*MAX(N285-1,0),SUM(IFERROR(VALUE(TEXTSPLIT(O285,",")),0)))),0)</f>
        <v/>
      </c>
      <c r="S285">
        <f>IFERROR(L285*MAX(N285,1)/R285*IF(ISBLANK(K284),1,K284),0)</f>
        <v/>
      </c>
      <c r="AB285" s="7" t="inlineStr">
        <is>
          <t>Future_Cryocopter_Cryo</t>
        </is>
      </c>
    </row>
    <row r="286">
      <c r="A286" t="inlineStr">
        <is>
          <t>d2k</t>
        </is>
      </c>
      <c r="B286" t="inlineStr">
        <is>
          <t>ordos_artilleryplatform</t>
        </is>
      </c>
      <c r="C286" t="inlineStr">
        <is>
          <t>Artillery Platform</t>
        </is>
      </c>
      <c r="D286" s="6" t="inlineStr">
        <is>
          <t>AdvancedDefense</t>
        </is>
      </c>
      <c r="E286" s="6" t="n">
        <v>125000</v>
      </c>
      <c r="G286" t="inlineStr">
        <is>
          <t>Concrete</t>
        </is>
      </c>
      <c r="H286" s="6" t="n">
        <v>1</v>
      </c>
      <c r="I286" s="6" t="n">
        <v>0.325</v>
      </c>
      <c r="J286" s="6" t="n">
        <v>1</v>
      </c>
      <c r="X286" s="6" t="n">
        <v>1200</v>
      </c>
    </row>
    <row r="287">
      <c r="B287" s="7" t="inlineStr">
        <is>
          <t xml:space="preserve">  ↳ D2K_155mm_turret</t>
        </is>
      </c>
      <c r="C287" s="7" t="inlineStr">
        <is>
          <t>Armament</t>
        </is>
      </c>
      <c r="L287" s="6" t="n">
        <v>48000</v>
      </c>
      <c r="M287" s="6" t="n">
        <v>74</v>
      </c>
      <c r="N287" s="6" t="n">
        <v>1</v>
      </c>
      <c r="O287" s="6" t="n"/>
      <c r="P287" s="6" t="n">
        <v>10000</v>
      </c>
      <c r="Q287" s="6" t="n">
        <v>1</v>
      </c>
      <c r="R287">
        <f>M287+IF(MAX(N287-1,0)&gt;0,IF(ISBLANK(O287),5*MAX(N287-1,0),IF(ISNUMBER(O287),O287*MAX(N287-1,0),SUM(IFERROR(VALUE(TEXTSPLIT(O287,",")),0)))),0)</f>
        <v/>
      </c>
      <c r="S287">
        <f>IFERROR(L287*MAX(N287,1)/R287*IF(ISBLANK(K286),1,K286),0)</f>
        <v/>
      </c>
      <c r="AB287" s="7" t="inlineStr">
        <is>
          <t>^Warhead_Demolition_Light, ^Warhead_Demolition_Heavy, ^Warhead_Concussion_Medium, ^Warhead_CannonHE_Medium</t>
        </is>
      </c>
    </row>
    <row r="288">
      <c r="A288" t="inlineStr">
        <is>
          <t>d2k</t>
        </is>
      </c>
      <c r="B288" t="inlineStr">
        <is>
          <t>ordos_autogunturret</t>
        </is>
      </c>
      <c r="C288" t="inlineStr">
        <is>
          <t>Autogun Turret</t>
        </is>
      </c>
      <c r="D288" s="6" t="inlineStr">
        <is>
          <t>AdvancedDefense</t>
        </is>
      </c>
      <c r="E288" s="6" t="n">
        <v>75000</v>
      </c>
      <c r="G288" t="inlineStr">
        <is>
          <t>Concrete</t>
        </is>
      </c>
      <c r="H288" s="6" t="n">
        <v>1</v>
      </c>
      <c r="I288" s="6" t="n">
        <v>0.325</v>
      </c>
      <c r="J288" s="6" t="n">
        <v>1.25</v>
      </c>
      <c r="X288" s="6" t="n">
        <v>1100</v>
      </c>
    </row>
    <row r="289">
      <c r="B289" s="7" t="inlineStr">
        <is>
          <t xml:space="preserve">  ↳ ordos_autogunturret</t>
        </is>
      </c>
      <c r="C289" s="7" t="inlineStr">
        <is>
          <t>Armament</t>
        </is>
      </c>
      <c r="L289" s="6" t="n">
        <v>6000</v>
      </c>
      <c r="M289" s="6" t="n">
        <v>22</v>
      </c>
      <c r="N289" s="6" t="n">
        <v>4</v>
      </c>
      <c r="O289" s="6" t="n">
        <v>2</v>
      </c>
      <c r="P289" s="6" t="n">
        <v>7700</v>
      </c>
      <c r="Q289" s="6" t="n">
        <v>1</v>
      </c>
      <c r="R289">
        <f>M289+IF(MAX(N289-1,0)&gt;0,IF(ISBLANK(O289),5*MAX(N289-1,0),IF(ISNUMBER(O289),O289*MAX(N289-1,0),SUM(IFERROR(VALUE(TEXTSPLIT(O289,",")),0)))),0)</f>
        <v/>
      </c>
      <c r="S289">
        <f>IFERROR(L289*MAX(N289,1)/R289*IF(ISBLANK(K288),1,K288),0)</f>
        <v/>
      </c>
      <c r="AB289" s="7" t="inlineStr">
        <is>
          <t>^Warhead_Bullet_Light, ^Warhead_Bullet_Medium, ^Warhead_CannonHE_Heavy</t>
        </is>
      </c>
    </row>
    <row r="290">
      <c r="A290" t="inlineStr">
        <is>
          <t>d2k</t>
        </is>
      </c>
      <c r="B290" t="inlineStr">
        <is>
          <t>ixian_rocketturret</t>
        </is>
      </c>
      <c r="C290" t="inlineStr">
        <is>
          <t>Rocket Turret</t>
        </is>
      </c>
      <c r="D290" s="6" t="inlineStr">
        <is>
          <t>AdvancedDefense</t>
        </is>
      </c>
      <c r="E290" s="6" t="n">
        <v>150000</v>
      </c>
      <c r="G290" t="inlineStr">
        <is>
          <t>Concrete</t>
        </is>
      </c>
      <c r="H290" s="6" t="n">
        <v>0.8462</v>
      </c>
      <c r="I290" s="6" t="n">
        <v>1</v>
      </c>
      <c r="J290" s="6" t="n">
        <v>1</v>
      </c>
      <c r="X290" s="6" t="n">
        <v>1500</v>
      </c>
    </row>
    <row r="291">
      <c r="B291" s="7" t="inlineStr">
        <is>
          <t xml:space="preserve">  ↳ D2K_TowerMissile</t>
        </is>
      </c>
      <c r="C291" s="7" t="inlineStr">
        <is>
          <t>Armament@PRIMARY</t>
        </is>
      </c>
      <c r="L291" s="6" t="n">
        <v>16000</v>
      </c>
      <c r="M291" s="6" t="n">
        <v>42</v>
      </c>
      <c r="N291" s="6" t="n">
        <v>2</v>
      </c>
      <c r="O291" s="6" t="n">
        <v>5</v>
      </c>
      <c r="P291" s="6" t="n">
        <v>10684</v>
      </c>
      <c r="Q291" s="6" t="n">
        <v>1.25</v>
      </c>
      <c r="R291">
        <f>M291+IF(MAX(N291-1,0)&gt;0,IF(ISBLANK(O291),5*MAX(N291-1,0),IF(ISNUMBER(O291),O291*MAX(N291-1,0),SUM(IFERROR(VALUE(TEXTSPLIT(O291,",")),0)))),0)</f>
        <v/>
      </c>
      <c r="S291">
        <f>IFERROR(L291*MAX(N291,1)/R291*IF(ISBLANK(K290),1,K290),0)</f>
        <v/>
      </c>
      <c r="AB291" s="7" t="inlineStr">
        <is>
          <t>^Warhead_MissileAP_Heavy</t>
        </is>
      </c>
    </row>
    <row r="292">
      <c r="A292" t="inlineStr">
        <is>
          <t>d2k</t>
        </is>
      </c>
      <c r="B292" t="inlineStr">
        <is>
          <t>ixian_stormlasher</t>
        </is>
      </c>
      <c r="C292" t="inlineStr">
        <is>
          <t>Storm Lasher</t>
        </is>
      </c>
      <c r="D292" s="6" t="inlineStr">
        <is>
          <t>AdvancedDefense</t>
        </is>
      </c>
      <c r="E292" s="6" t="n">
        <v>200000</v>
      </c>
      <c r="G292" t="inlineStr">
        <is>
          <t>Concrete</t>
        </is>
      </c>
      <c r="H292" s="6" t="n">
        <v>1</v>
      </c>
      <c r="I292" s="6" t="n">
        <v>0.325</v>
      </c>
      <c r="J292" s="6" t="n">
        <v>1.25</v>
      </c>
      <c r="X292" s="6" t="n">
        <v>5000</v>
      </c>
    </row>
    <row r="293">
      <c r="B293" s="7" t="inlineStr">
        <is>
          <t xml:space="preserve">  ↳ d2kStormLasher</t>
        </is>
      </c>
      <c r="C293" s="7" t="inlineStr">
        <is>
          <t>Armament</t>
        </is>
      </c>
      <c r="L293" s="6" t="n">
        <v>300000</v>
      </c>
      <c r="M293" s="6" t="n">
        <v>250</v>
      </c>
      <c r="N293" s="6" t="n">
        <v>1</v>
      </c>
      <c r="O293" s="6" t="n"/>
      <c r="P293" s="6" t="n">
        <v>11384</v>
      </c>
      <c r="Q293" s="6" t="n">
        <v>1.25</v>
      </c>
      <c r="R293">
        <f>M293+IF(MAX(N293-1,0)&gt;0,IF(ISBLANK(O293),5*MAX(N293-1,0),IF(ISNUMBER(O293),O293*MAX(N293-1,0),SUM(IFERROR(VALUE(TEXTSPLIT(O293,",")),0)))),0)</f>
        <v/>
      </c>
      <c r="S293">
        <f>IFERROR(L293*MAX(N293,1)/R293*IF(ISBLANK(K292),1,K292),0)</f>
        <v/>
      </c>
      <c r="AB293" s="7" t="inlineStr">
        <is>
          <t>^Warhead_Storm_Heavy</t>
        </is>
      </c>
    </row>
    <row r="294">
      <c r="A294" t="inlineStr">
        <is>
          <t>d2k</t>
        </is>
      </c>
      <c r="B294" t="inlineStr">
        <is>
          <t>harkonnen_autogunturret</t>
        </is>
      </c>
      <c r="C294" t="inlineStr">
        <is>
          <t>Harkonnen Autogun Turret</t>
        </is>
      </c>
      <c r="D294" s="6" t="inlineStr">
        <is>
          <t>AdvancedDefense</t>
        </is>
      </c>
      <c r="E294" s="6" t="n">
        <v>75000</v>
      </c>
      <c r="G294" t="inlineStr">
        <is>
          <t>Concrete</t>
        </is>
      </c>
      <c r="H294" s="6" t="n">
        <v>1</v>
      </c>
      <c r="I294" s="6" t="n">
        <v>1</v>
      </c>
      <c r="J294" s="6" t="n">
        <v>1</v>
      </c>
      <c r="X294" s="6" t="n">
        <v>1100</v>
      </c>
    </row>
    <row r="295">
      <c r="B295" s="7" t="inlineStr">
        <is>
          <t xml:space="preserve">  ↳ harkonnen_autogunturret</t>
        </is>
      </c>
      <c r="C295" s="7" t="inlineStr">
        <is>
          <t>Armament</t>
        </is>
      </c>
      <c r="L295" s="6" t="n">
        <v>6000</v>
      </c>
      <c r="M295" s="6" t="n">
        <v>132</v>
      </c>
      <c r="N295" s="6" t="n">
        <v>26</v>
      </c>
      <c r="O295" s="6" t="n">
        <v>2</v>
      </c>
      <c r="P295" s="6" t="n">
        <v>7700</v>
      </c>
      <c r="Q295" s="6" t="n">
        <v>1</v>
      </c>
      <c r="R295">
        <f>M295+IF(MAX(N295-1,0)&gt;0,IF(ISBLANK(O295),5*MAX(N295-1,0),IF(ISNUMBER(O295),O295*MAX(N295-1,0),SUM(IFERROR(VALUE(TEXTSPLIT(O295,",")),0)))),0)</f>
        <v/>
      </c>
      <c r="S295">
        <f>IFERROR(L295*MAX(N295,1)/R295*IF(ISBLANK(K294),1,K294),0)</f>
        <v/>
      </c>
      <c r="AB295" s="7" t="inlineStr">
        <is>
          <t>^Warhead_Bullet_Light, ^Warhead_Bullet_Medium, ^Warhead_CannonHE_Heavy</t>
        </is>
      </c>
    </row>
    <row r="296">
      <c r="A296" t="inlineStr">
        <is>
          <t>d2k</t>
        </is>
      </c>
      <c r="B296" t="inlineStr">
        <is>
          <t>harkonnen_rocketturret</t>
        </is>
      </c>
      <c r="C296" t="inlineStr">
        <is>
          <t>Harkonnen Rocket Turret</t>
        </is>
      </c>
      <c r="D296" s="6" t="inlineStr">
        <is>
          <t>AdvancedDefense</t>
        </is>
      </c>
      <c r="E296" s="6" t="n">
        <v>150000</v>
      </c>
      <c r="G296" t="inlineStr">
        <is>
          <t>Concrete</t>
        </is>
      </c>
      <c r="H296" s="6" t="n">
        <v>1</v>
      </c>
      <c r="I296" s="6" t="n">
        <v>1</v>
      </c>
      <c r="J296" s="6" t="n">
        <v>1</v>
      </c>
      <c r="X296" s="6" t="n">
        <v>1500</v>
      </c>
    </row>
    <row r="297">
      <c r="B297" s="7" t="inlineStr">
        <is>
          <t xml:space="preserve">  ↳ D2K_TowerMissile</t>
        </is>
      </c>
      <c r="C297" s="7" t="inlineStr">
        <is>
          <t>Armament@PRIMARY</t>
        </is>
      </c>
      <c r="L297" s="6" t="n">
        <v>16000</v>
      </c>
      <c r="M297" s="6" t="n">
        <v>42</v>
      </c>
      <c r="N297" s="6" t="n">
        <v>2</v>
      </c>
      <c r="O297" s="6" t="n">
        <v>5</v>
      </c>
      <c r="P297" s="6" t="n">
        <v>10684</v>
      </c>
      <c r="Q297" s="6" t="n">
        <v>1.25</v>
      </c>
      <c r="R297">
        <f>M297+IF(MAX(N297-1,0)&gt;0,IF(ISBLANK(O297),5*MAX(N297-1,0),IF(ISNUMBER(O297),O297*MAX(N297-1,0),SUM(IFERROR(VALUE(TEXTSPLIT(O297,",")),0)))),0)</f>
        <v/>
      </c>
      <c r="S297">
        <f>IFERROR(L297*MAX(N297,1)/R297*IF(ISBLANK(K296),1,K296),0)</f>
        <v/>
      </c>
      <c r="AB297" s="7" t="inlineStr">
        <is>
          <t>^Warhead_MissileAP_Heavy</t>
        </is>
      </c>
    </row>
    <row r="298">
      <c r="A298" t="inlineStr">
        <is>
          <t>starcraft</t>
        </is>
      </c>
      <c r="B298" t="inlineStr">
        <is>
          <t>terran_sentinel</t>
        </is>
      </c>
      <c r="C298" t="inlineStr">
        <is>
          <t>Sentinel</t>
        </is>
      </c>
      <c r="D298" s="6" t="inlineStr">
        <is>
          <t>AdvancedDefense</t>
        </is>
      </c>
      <c r="E298" s="6" t="n">
        <v>160000</v>
      </c>
      <c r="F298" t="n">
        <v>100</v>
      </c>
      <c r="G298" t="inlineStr">
        <is>
          <t>Steel</t>
        </is>
      </c>
      <c r="H298" s="6" t="n">
        <v>1</v>
      </c>
      <c r="I298" s="6" t="n">
        <v>1</v>
      </c>
      <c r="J298" s="6" t="n">
        <v>1</v>
      </c>
      <c r="P298">
        <f>MAX(P299)</f>
        <v/>
      </c>
      <c r="S298">
        <f>S299</f>
        <v/>
      </c>
      <c r="T298">
        <f>(E298/100000+F298/100+(P298/1000)*J298/5+S298/200)*200*I298*H298</f>
        <v/>
      </c>
      <c r="U298">
        <f>((E298*F298/25000)+((P298/1000)*J298*S298/2.5))*I298*H298</f>
        <v/>
      </c>
      <c r="V298">
        <f>(E298*F298*(P298/1000)*J298*S298*I298*H298)/12500000</f>
        <v/>
      </c>
      <c r="W298">
        <f>(T298+U298+V298)/3</f>
        <v/>
      </c>
      <c r="X298" s="6" t="n">
        <v>800</v>
      </c>
      <c r="Y298">
        <f>IFERROR(W298-X298,"")</f>
        <v/>
      </c>
      <c r="Z298">
        <f>IFERROR(ABS(Y298)/MAX(X298,1),"")</f>
        <v/>
      </c>
      <c r="AA298">
        <f>IFERROR((X298-(((E298/100000+F298/100+S298/200)*200*I298*H298)+((E298*F298/25000)*I298*H298))/3)/(((J298/5)*200*I298*H298)+((J298*S298/2.5)*I298*H298)+((E298*F298*J298*S298*I298*H298)/12500000))/3*1000,"")</f>
        <v/>
      </c>
    </row>
    <row r="299">
      <c r="B299" s="7" t="inlineStr">
        <is>
          <t xml:space="preserve">  ↳ NaxLaserT</t>
        </is>
      </c>
      <c r="C299" s="7" t="inlineStr">
        <is>
          <t>Armament</t>
        </is>
      </c>
      <c r="L299" s="6" t="n">
        <v>8000</v>
      </c>
      <c r="M299" s="6" t="n">
        <v>20</v>
      </c>
      <c r="N299" s="6" t="n">
        <v>1</v>
      </c>
      <c r="O299" s="6" t="n"/>
      <c r="P299" s="6" t="n">
        <v>8181</v>
      </c>
      <c r="Q299" s="6" t="n">
        <v>1</v>
      </c>
      <c r="R299">
        <f>M299+IF(MAX(N299-1,0)&gt;0,IF(ISBLANK(O299),5*MAX(N299-1,0),IF(ISNUMBER(O299),O299*MAX(N299-1,0),SUM(IFERROR(VALUE(TEXTSPLIT(O299,",")),0)))),0)</f>
        <v/>
      </c>
      <c r="S299">
        <f>IFERROR(L299*MAX(N299,1)/R299*IF(ISBLANK(K298),1,K298),0)</f>
        <v/>
      </c>
      <c r="AB299" s="7" t="inlineStr">
        <is>
          <t>^SmallArms, ^Chaingun, ^MediumMissile, ^LaserWeapon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300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7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22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38" customWidth="1" min="28" max="28"/>
  </cols>
  <sheetData>
    <row r="1" ht="30" customHeight="1">
      <c r="A1" s="3" t="inlineStr">
        <is>
          <t>Mod</t>
        </is>
      </c>
      <c r="B1" s="3" t="inlineStr">
        <is>
          <t>Actor</t>
        </is>
      </c>
      <c r="C1" s="3" t="inlineStr">
        <is>
          <t>Name</t>
        </is>
      </c>
      <c r="D1" s="3" t="inlineStr">
        <is>
          <t>Class</t>
        </is>
      </c>
      <c r="E1" s="3" t="inlineStr">
        <is>
          <t>HP</t>
        </is>
      </c>
      <c r="F1" s="3" t="inlineStr">
        <is>
          <t>Speed</t>
        </is>
      </c>
      <c r="G1" s="3" t="inlineStr">
        <is>
          <t>Armor</t>
        </is>
      </c>
      <c r="H1" s="3" t="inlineStr">
        <is>
          <t>TechTier</t>
        </is>
      </c>
      <c r="I1" s="3" t="inlineStr">
        <is>
          <t>UnitClass</t>
        </is>
      </c>
      <c r="J1" s="3" t="inlineStr">
        <is>
          <t>Special</t>
        </is>
      </c>
      <c r="K1" s="3" t="inlineStr">
        <is>
          <t>FirepowerMultiplier</t>
        </is>
      </c>
      <c r="L1" s="3" t="inlineStr">
        <is>
          <t>Damage</t>
        </is>
      </c>
      <c r="M1" s="3" t="inlineStr">
        <is>
          <t>Reload</t>
        </is>
      </c>
      <c r="N1" s="3" t="inlineStr">
        <is>
          <t>Burst</t>
        </is>
      </c>
      <c r="O1" s="3" t="inlineStr">
        <is>
          <t>BurstDel</t>
        </is>
      </c>
      <c r="P1" s="3" t="inlineStr">
        <is>
          <t>Range(wd)</t>
        </is>
      </c>
      <c r="Q1" s="3" t="inlineStr">
        <is>
          <t>WeapClass</t>
        </is>
      </c>
      <c r="R1" s="3" t="inlineStr">
        <is>
          <t>EffReload</t>
        </is>
      </c>
      <c r="S1" s="3" t="inlineStr">
        <is>
          <t>DPS</t>
        </is>
      </c>
      <c r="T1" s="3" t="inlineStr">
        <is>
          <t>O</t>
        </is>
      </c>
      <c r="U1" s="3" t="inlineStr">
        <is>
          <t>P</t>
        </is>
      </c>
      <c r="V1" s="3" t="inlineStr">
        <is>
          <t>Q</t>
        </is>
      </c>
      <c r="W1" s="3" t="inlineStr">
        <is>
          <t>Price</t>
        </is>
      </c>
      <c r="X1" s="3" t="inlineStr">
        <is>
          <t>Cost</t>
        </is>
      </c>
      <c r="Y1" s="3" t="inlineStr">
        <is>
          <t>Delta</t>
        </is>
      </c>
      <c r="Z1" s="3" t="inlineStr">
        <is>
          <t>Delta%</t>
        </is>
      </c>
      <c r="AA1" s="3" t="inlineStr">
        <is>
          <t>RangeSolve</t>
        </is>
      </c>
      <c r="AB1" s="3" t="inlineStr">
        <is>
          <t>WeaponTypes</t>
        </is>
      </c>
    </row>
    <row r="2">
      <c r="A2" s="4" t="inlineStr">
        <is>
          <t>Ship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t="inlineStr">
        <is>
          <t>tiberiandawn</t>
        </is>
      </c>
      <c r="B3" t="inlineStr">
        <is>
          <t>LST</t>
        </is>
      </c>
      <c r="C3" t="inlineStr">
        <is>
          <t>Landing Craft</t>
        </is>
      </c>
      <c r="D3" s="6" t="inlineStr">
        <is>
          <t>Ship</t>
        </is>
      </c>
      <c r="E3" s="6" t="n">
        <v>75000</v>
      </c>
      <c r="F3" s="6" t="n">
        <v>125</v>
      </c>
      <c r="G3" t="inlineStr">
        <is>
          <t>Medium</t>
        </is>
      </c>
      <c r="H3" s="6" t="n">
        <v>0.8048999999999999</v>
      </c>
      <c r="I3" s="6" t="n">
        <v>1</v>
      </c>
      <c r="J3" s="6" t="n">
        <v>1</v>
      </c>
      <c r="X3" s="6" t="n">
        <v>500</v>
      </c>
    </row>
    <row r="4">
      <c r="A4" t="inlineStr">
        <is>
          <t>tiberiandawn</t>
        </is>
      </c>
      <c r="B4" t="inlineStr">
        <is>
          <t>CNCRSS</t>
        </is>
      </c>
      <c r="C4" t="inlineStr">
        <is>
          <t>Transport Submarine</t>
        </is>
      </c>
      <c r="D4" s="6" t="inlineStr">
        <is>
          <t>Ship</t>
        </is>
      </c>
      <c r="E4" s="6" t="n">
        <v>50000</v>
      </c>
      <c r="F4" s="6" t="n">
        <v>150</v>
      </c>
      <c r="G4" t="inlineStr">
        <is>
          <t>Light</t>
        </is>
      </c>
      <c r="H4" s="6" t="n">
        <v>1</v>
      </c>
      <c r="I4" s="6" t="n">
        <v>1</v>
      </c>
      <c r="J4" s="6" t="n">
        <v>1</v>
      </c>
      <c r="X4" s="6" t="n">
        <v>500</v>
      </c>
    </row>
    <row r="5">
      <c r="A5" t="inlineStr">
        <is>
          <t>shared</t>
        </is>
      </c>
      <c r="B5" t="inlineStr">
        <is>
          <t>ra1_navaltransport</t>
        </is>
      </c>
      <c r="C5" t="inlineStr">
        <is>
          <t>Naval Transport</t>
        </is>
      </c>
      <c r="D5" s="6" t="inlineStr">
        <is>
          <t>Ship</t>
        </is>
      </c>
      <c r="E5" s="6" t="n">
        <v>100000</v>
      </c>
      <c r="F5" s="6" t="n">
        <v>100</v>
      </c>
      <c r="G5" t="inlineStr">
        <is>
          <t>Heavy</t>
        </is>
      </c>
      <c r="H5" s="6" t="n">
        <v>1</v>
      </c>
      <c r="I5" s="6" t="n">
        <v>1</v>
      </c>
      <c r="J5" s="6" t="n">
        <v>1</v>
      </c>
      <c r="X5" s="6" t="n">
        <v>500</v>
      </c>
    </row>
    <row r="6">
      <c r="A6" t="inlineStr">
        <is>
          <t>tiberiansun</t>
        </is>
      </c>
      <c r="B6" t="inlineStr">
        <is>
          <t>cabal_lcraft</t>
        </is>
      </c>
      <c r="C6" t="inlineStr">
        <is>
          <t>Landing Craft</t>
        </is>
      </c>
      <c r="D6" s="6" t="inlineStr">
        <is>
          <t>Ship</t>
        </is>
      </c>
      <c r="E6" s="6" t="n">
        <v>100000</v>
      </c>
      <c r="F6" s="6" t="n">
        <v>60</v>
      </c>
      <c r="G6" t="inlineStr">
        <is>
          <t>Heavy</t>
        </is>
      </c>
      <c r="H6" s="6" t="n">
        <v>1</v>
      </c>
      <c r="I6" s="6" t="n">
        <v>1</v>
      </c>
      <c r="J6" s="6" t="n">
        <v>1</v>
      </c>
      <c r="X6" s="6" t="n">
        <v>1200</v>
      </c>
    </row>
    <row r="7">
      <c r="A7" t="inlineStr">
        <is>
          <t>tiberiansun</t>
        </is>
      </c>
      <c r="B7" t="inlineStr">
        <is>
          <t>ts_nod_hover</t>
        </is>
      </c>
      <c r="C7" t="inlineStr">
        <is>
          <t>Transport Hovercraft</t>
        </is>
      </c>
      <c r="D7" s="6" t="inlineStr">
        <is>
          <t>Ship</t>
        </is>
      </c>
      <c r="E7" s="6" t="n">
        <v>100000</v>
      </c>
      <c r="F7" s="6" t="n">
        <v>60</v>
      </c>
      <c r="G7" t="inlineStr">
        <is>
          <t>Heavy</t>
        </is>
      </c>
      <c r="H7" s="6" t="n">
        <v>1</v>
      </c>
      <c r="I7" s="6" t="n">
        <v>1</v>
      </c>
      <c r="J7" s="6" t="n">
        <v>1</v>
      </c>
      <c r="X7" s="6" t="n">
        <v>1200</v>
      </c>
    </row>
    <row r="8">
      <c r="A8" t="inlineStr">
        <is>
          <t>tiberiansun</t>
        </is>
      </c>
      <c r="B8" t="inlineStr">
        <is>
          <t>ts_gdi_hover</t>
        </is>
      </c>
      <c r="C8" t="inlineStr">
        <is>
          <t>Transport Hovercraft</t>
        </is>
      </c>
      <c r="D8" s="6" t="inlineStr">
        <is>
          <t>Ship</t>
        </is>
      </c>
      <c r="E8" s="6" t="n">
        <v>100000</v>
      </c>
      <c r="F8" s="6" t="n">
        <v>60</v>
      </c>
      <c r="G8" t="inlineStr">
        <is>
          <t>Heavy</t>
        </is>
      </c>
      <c r="H8" s="6" t="n">
        <v>1</v>
      </c>
      <c r="I8" s="6" t="n">
        <v>1</v>
      </c>
      <c r="J8" s="6" t="n">
        <v>1</v>
      </c>
      <c r="X8" s="6" t="n">
        <v>1200</v>
      </c>
    </row>
    <row r="9">
      <c r="A9" s="4" t="inlineStr">
        <is>
          <t>ScoutShip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</row>
    <row r="10">
      <c r="A10" t="inlineStr">
        <is>
          <t>tiberiandawn</t>
        </is>
      </c>
      <c r="B10" t="inlineStr">
        <is>
          <t>CNCPT</t>
        </is>
      </c>
      <c r="C10" t="inlineStr">
        <is>
          <t>Missile Boat</t>
        </is>
      </c>
      <c r="D10" s="6" t="inlineStr">
        <is>
          <t>ScoutShip</t>
        </is>
      </c>
      <c r="E10" s="6" t="n">
        <v>75000</v>
      </c>
      <c r="F10" s="6" t="n">
        <v>100</v>
      </c>
      <c r="G10" t="inlineStr">
        <is>
          <t>Heavy</t>
        </is>
      </c>
      <c r="H10" s="6" t="n">
        <v>0.8048999999999999</v>
      </c>
      <c r="I10" s="6" t="n">
        <v>1</v>
      </c>
      <c r="J10" s="6" t="n">
        <v>1</v>
      </c>
      <c r="P10">
        <f>MAX(P11,P12,P13,P14)</f>
        <v/>
      </c>
      <c r="S10">
        <f>S11+S12+S13+S14</f>
        <v/>
      </c>
      <c r="T10">
        <f>(E10/100000+F10/100+(P10/1000)*J10/5+S10/200)*200*I10*H10</f>
        <v/>
      </c>
      <c r="U10">
        <f>((E10*F10/25000)+((P10/1000)*J10*S10/2.5))*I10*H10</f>
        <v/>
      </c>
      <c r="V10">
        <f>(E10*F10*(P10/1000)*J10*S10*I10*H10)/12500000</f>
        <v/>
      </c>
      <c r="W10">
        <f>(T10+U10+V10)/3</f>
        <v/>
      </c>
      <c r="X10" s="6" t="n">
        <v>1600</v>
      </c>
      <c r="Y10">
        <f>IFERROR(W10-X10,"")</f>
        <v/>
      </c>
      <c r="Z10">
        <f>IFERROR(ABS(Y10)/MAX(X10,1),"")</f>
        <v/>
      </c>
      <c r="AA10">
        <f>IFERROR((X10-(((E10/100000+F10/100+S10/200)*200*I10*H10)+((E10*F10/25000)*I10*H10))/3)/(((J10/5)*200*I10*H10)+((J10*S10/2.5)*I10*H10)+((E10*F10*J10*S10*I10*H10)/12500000))/3*1000,"")</f>
        <v/>
      </c>
    </row>
    <row r="11">
      <c r="B11" s="7" t="inlineStr">
        <is>
          <t xml:space="preserve">  ↳ GunboatMissile</t>
        </is>
      </c>
      <c r="C11" s="7" t="inlineStr">
        <is>
          <t>Armament@Ground</t>
        </is>
      </c>
      <c r="L11" s="6" t="n">
        <v>18000</v>
      </c>
      <c r="M11" s="6" t="n">
        <v>33</v>
      </c>
      <c r="N11" s="6" t="n">
        <v>2</v>
      </c>
      <c r="O11" s="6" t="n">
        <v>11</v>
      </c>
      <c r="P11" s="6" t="n">
        <v>6666</v>
      </c>
      <c r="Q11" s="6" t="n">
        <v>1</v>
      </c>
      <c r="R11">
        <f>M11+IF(MAX(N11-1,0)&gt;0,IF(ISBLANK(O11),5*MAX(N11-1,0),IF(ISNUMBER(O11),O11*MAX(N11-1,0),SUM(IFERROR(VALUE(TEXTSPLIT(O11,",")),0)))),0)</f>
        <v/>
      </c>
      <c r="S11">
        <f>IFERROR(L11*MAX(N11,1)/R11*IF(ISBLANK(K10),1,K10),0)</f>
        <v/>
      </c>
      <c r="AB11" s="7" t="inlineStr">
        <is>
          <t>^Warhead_MissileAP_Medium</t>
        </is>
      </c>
    </row>
    <row r="12">
      <c r="B12" s="7" t="inlineStr">
        <is>
          <t xml:space="preserve">  ↳ GunboatMissileAMT</t>
        </is>
      </c>
      <c r="C12" s="7" t="inlineStr">
        <is>
          <t>Armament@AdvancedMissileTargeting</t>
        </is>
      </c>
      <c r="L12" s="6" t="n">
        <v>18000</v>
      </c>
      <c r="M12" s="6" t="n">
        <v>33</v>
      </c>
      <c r="N12" s="6" t="n">
        <v>2</v>
      </c>
      <c r="O12" s="6" t="n">
        <v>11</v>
      </c>
      <c r="P12" s="6" t="n">
        <v>6666</v>
      </c>
      <c r="Q12" s="6" t="n">
        <v>1</v>
      </c>
      <c r="R12">
        <f>M12+IF(MAX(N12-1,0)&gt;0,IF(ISBLANK(O12),5*MAX(N12-1,0),IF(ISNUMBER(O12),O12*MAX(N12-1,0),SUM(IFERROR(VALUE(TEXTSPLIT(O12,",")),0)))),0)</f>
        <v/>
      </c>
      <c r="S12">
        <f>IFERROR(L12*MAX(N12,1)/R12*IF(ISBLANK(K10),1,K10),0)</f>
        <v/>
      </c>
      <c r="AB12" s="7" t="inlineStr">
        <is>
          <t>^Warhead_MissileAP_Medium</t>
        </is>
      </c>
    </row>
    <row r="13">
      <c r="B13" s="7" t="inlineStr">
        <is>
          <t xml:space="preserve">  ↳ DepthCharge</t>
        </is>
      </c>
      <c r="C13" s="7" t="inlineStr">
        <is>
          <t>Armament@DC1</t>
        </is>
      </c>
      <c r="L13" s="6" t="n">
        <v>60000</v>
      </c>
      <c r="M13" s="6" t="n">
        <v>60</v>
      </c>
      <c r="N13" s="6" t="n">
        <v>1</v>
      </c>
      <c r="O13" s="6" t="n"/>
      <c r="P13" s="6" t="n">
        <v>6000</v>
      </c>
      <c r="Q13" s="6" t="n">
        <v>0.75</v>
      </c>
      <c r="R13">
        <f>M13+IF(MAX(N13-1,0)&gt;0,IF(ISBLANK(O13),5*MAX(N13-1,0),IF(ISNUMBER(O13),O13*MAX(N13-1,0),SUM(IFERROR(VALUE(TEXTSPLIT(O13,",")),0)))),0)</f>
        <v/>
      </c>
      <c r="S13">
        <f>IFERROR(L13*MAX(N13,1)/R13*IF(ISBLANK(K10),1,K10),0)</f>
        <v/>
      </c>
      <c r="AB13" s="7" t="inlineStr">
        <is>
          <t>^Warhead_Demolition_Light</t>
        </is>
      </c>
    </row>
    <row r="14">
      <c r="B14" s="7" t="inlineStr">
        <is>
          <t xml:space="preserve">  ↳ DepthCharge</t>
        </is>
      </c>
      <c r="C14" s="7" t="inlineStr">
        <is>
          <t>Armament@DC2</t>
        </is>
      </c>
      <c r="L14" s="6" t="n">
        <v>60000</v>
      </c>
      <c r="M14" s="6" t="n">
        <v>60</v>
      </c>
      <c r="N14" s="6" t="n">
        <v>1</v>
      </c>
      <c r="O14" s="6" t="n"/>
      <c r="P14" s="6" t="n">
        <v>6000</v>
      </c>
      <c r="Q14" s="6" t="n">
        <v>0.75</v>
      </c>
      <c r="R14">
        <f>M14+IF(MAX(N14-1,0)&gt;0,IF(ISBLANK(O14),5*MAX(N14-1,0),IF(ISNUMBER(O14),O14*MAX(N14-1,0),SUM(IFERROR(VALUE(TEXTSPLIT(O14,",")),0)))),0)</f>
        <v/>
      </c>
      <c r="S14">
        <f>IFERROR(L14*MAX(N14,1)/R14*IF(ISBLANK(K10),1,K10),0)</f>
        <v/>
      </c>
      <c r="AB14" s="7" t="inlineStr">
        <is>
          <t>^Warhead_Demolition_Light</t>
        </is>
      </c>
    </row>
    <row r="15">
      <c r="A15" t="inlineStr">
        <is>
          <t>tiberiandawn</t>
        </is>
      </c>
      <c r="B15" t="inlineStr">
        <is>
          <t>CNCSS</t>
        </is>
      </c>
      <c r="C15" t="inlineStr">
        <is>
          <t>Nod Attack Submarine</t>
        </is>
      </c>
      <c r="D15" s="6" t="inlineStr">
        <is>
          <t>ScoutShip</t>
        </is>
      </c>
      <c r="E15" s="6" t="n">
        <v>160000</v>
      </c>
      <c r="F15" s="6" t="n">
        <v>80</v>
      </c>
      <c r="G15" t="inlineStr">
        <is>
          <t>Heavy</t>
        </is>
      </c>
      <c r="H15" s="6" t="n">
        <v>1</v>
      </c>
      <c r="I15" s="6" t="n">
        <v>1</v>
      </c>
      <c r="J15" s="6" t="n">
        <v>1</v>
      </c>
      <c r="P15">
        <f>MAX(P16,P17)</f>
        <v/>
      </c>
      <c r="S15">
        <f>S16+S17</f>
        <v/>
      </c>
      <c r="T15">
        <f>(E15/100000+F15/100+(P15/1000)*J15/5+S15/200)*200*I15*H15</f>
        <v/>
      </c>
      <c r="U15">
        <f>((E15*F15/25000)+((P15/1000)*J15*S15/2.5))*I15*H15</f>
        <v/>
      </c>
      <c r="V15">
        <f>(E15*F15*(P15/1000)*J15*S15*I15*H15)/12500000</f>
        <v/>
      </c>
      <c r="W15">
        <f>(T15+U15+V15)/3</f>
        <v/>
      </c>
      <c r="X15" s="6" t="n">
        <v>1600</v>
      </c>
      <c r="Y15">
        <f>IFERROR(W15-X15,"")</f>
        <v/>
      </c>
      <c r="Z15">
        <f>IFERROR(ABS(Y15)/MAX(X15,1),"")</f>
        <v/>
      </c>
      <c r="AA15">
        <f>IFERROR((X15-(((E15/100000+F15/100+S15/200)*200*I15*H15)+((E15*F15/25000)*I15*H15))/3)/(((J15/5)*200*I15*H15)+((J15*S15/2.5)*I15*H15)+((E15*F15*J15*S15*I15*H15)/12500000))/3*1000,"")</f>
        <v/>
      </c>
    </row>
    <row r="16">
      <c r="B16" s="7" t="inlineStr">
        <is>
          <t xml:space="preserve">  ↳ NodTorpTube</t>
        </is>
      </c>
      <c r="C16" s="7" t="inlineStr">
        <is>
          <t>Armament@PRIMARY</t>
        </is>
      </c>
      <c r="L16" s="6" t="n">
        <v>16000</v>
      </c>
      <c r="M16" s="6" t="n">
        <v>64</v>
      </c>
      <c r="N16" s="6" t="n">
        <v>2</v>
      </c>
      <c r="O16" s="6" t="n">
        <v>8</v>
      </c>
      <c r="P16" s="6" t="n">
        <v>8000</v>
      </c>
      <c r="Q16" s="6" t="n">
        <v>1</v>
      </c>
      <c r="R16">
        <f>M16+IF(MAX(N16-1,0)&gt;0,IF(ISBLANK(O16),5*MAX(N16-1,0),IF(ISNUMBER(O16),O16*MAX(N16-1,0),SUM(IFERROR(VALUE(TEXTSPLIT(O16,",")),0)))),0)</f>
        <v/>
      </c>
      <c r="S16">
        <f>IFERROR(L16*MAX(N16,1)/R16*IF(ISBLANK(K15),1,K15),0)</f>
        <v/>
      </c>
      <c r="AB16" s="7" t="inlineStr">
        <is>
          <t>^Warhead_Concussion_Light, ^Warhead_MissileHE_Heavy</t>
        </is>
      </c>
    </row>
    <row r="17">
      <c r="B17" s="7" t="inlineStr">
        <is>
          <t xml:space="preserve">  ↳ NodTorpTubeBlackMarket</t>
        </is>
      </c>
      <c r="C17" s="7" t="inlineStr">
        <is>
          <t>Armament@Upgrade</t>
        </is>
      </c>
      <c r="L17" s="6" t="n">
        <v>16000</v>
      </c>
      <c r="M17" s="6" t="n">
        <v>64</v>
      </c>
      <c r="N17" s="6" t="n">
        <v>2</v>
      </c>
      <c r="O17" s="6" t="n">
        <v>8</v>
      </c>
      <c r="P17" s="6" t="n">
        <v>8000</v>
      </c>
      <c r="Q17" s="6" t="n">
        <v>1.25</v>
      </c>
      <c r="R17">
        <f>M17+IF(MAX(N17-1,0)&gt;0,IF(ISBLANK(O17),5*MAX(N17-1,0),IF(ISNUMBER(O17),O17*MAX(N17-1,0),SUM(IFERROR(VALUE(TEXTSPLIT(O17,",")),0)))),0)</f>
        <v/>
      </c>
      <c r="S17">
        <f>IFERROR(L17*MAX(N17,1)/R17*IF(ISBLANK(K15),1,K15),0)</f>
        <v/>
      </c>
      <c r="AB17" s="7" t="inlineStr">
        <is>
          <t>^Warhead_Demolition_Heavy, ^Warhead_MissileHE_Heavy</t>
        </is>
      </c>
    </row>
    <row r="18">
      <c r="A18" t="inlineStr">
        <is>
          <t>shared</t>
        </is>
      </c>
      <c r="B18" t="inlineStr">
        <is>
          <t>japan_japanesespeedboat</t>
        </is>
      </c>
      <c r="C18" t="inlineStr">
        <is>
          <t>Japanese Speedboat</t>
        </is>
      </c>
      <c r="D18" s="6" t="inlineStr">
        <is>
          <t>ScoutShip</t>
        </is>
      </c>
      <c r="E18" s="6" t="n">
        <v>40000</v>
      </c>
      <c r="F18" s="6" t="n">
        <v>140</v>
      </c>
      <c r="G18" t="inlineStr">
        <is>
          <t>Light</t>
        </is>
      </c>
      <c r="H18" s="6" t="n">
        <v>1</v>
      </c>
      <c r="I18" s="6" t="n">
        <v>1</v>
      </c>
      <c r="J18" s="6" t="n">
        <v>1</v>
      </c>
      <c r="P18">
        <f>MAX(P19,P20,P21,P22)</f>
        <v/>
      </c>
      <c r="S18">
        <f>S19+S20+S21+S22</f>
        <v/>
      </c>
      <c r="T18">
        <f>(E18/100000+F18/100+(P18/1000)*J18/5+S18/200)*200*I18*H18</f>
        <v/>
      </c>
      <c r="U18">
        <f>((E18*F18/25000)+((P18/1000)*J18*S18/2.5))*I18*H18</f>
        <v/>
      </c>
      <c r="V18">
        <f>(E18*F18*(P18/1000)*J18*S18*I18*H18)/12500000</f>
        <v/>
      </c>
      <c r="W18">
        <f>(T18+U18+V18)/3</f>
        <v/>
      </c>
      <c r="X18" s="6" t="n">
        <v>1200</v>
      </c>
      <c r="Y18">
        <f>IFERROR(W18-X18,"")</f>
        <v/>
      </c>
      <c r="Z18">
        <f>IFERROR(ABS(Y18)/MAX(X18,1),"")</f>
        <v/>
      </c>
      <c r="AA18">
        <f>IFERROR((X18-(((E18/100000+F18/100+S18/200)*200*I18*H18)+((E18*F18/25000)*I18*H18))/3)/(((J18/5)*200*I18*H18)+((J18*S18/2.5)*I18*H18)+((E18*F18*J18*S18*I18*H18)/12500000))/3*1000,"")</f>
        <v/>
      </c>
    </row>
    <row r="19">
      <c r="B19" s="7" t="inlineStr">
        <is>
          <t xml:space="preserve">  ↳ JapanSpeedBoatGun</t>
        </is>
      </c>
      <c r="C19" s="7" t="inlineStr">
        <is>
          <t>Armament@AG</t>
        </is>
      </c>
      <c r="L19" s="6" t="n">
        <v>4000</v>
      </c>
      <c r="M19" s="6" t="n">
        <v>4</v>
      </c>
      <c r="N19" s="6" t="n">
        <v>1</v>
      </c>
      <c r="O19" s="6" t="n"/>
      <c r="P19" s="6" t="n">
        <v>5750</v>
      </c>
      <c r="Q19" s="6" t="n">
        <v>0.875</v>
      </c>
      <c r="R19">
        <f>M19+IF(MAX(N19-1,0)&gt;0,IF(ISBLANK(O19),5*MAX(N19-1,0),IF(ISNUMBER(O19),O19*MAX(N19-1,0),SUM(IFERROR(VALUE(TEXTSPLIT(O19,",")),0)))),0)</f>
        <v/>
      </c>
      <c r="S19">
        <f>IFERROR(L19*MAX(N19,1)/R19*IF(ISBLANK(K18),1,K18),0)</f>
        <v/>
      </c>
      <c r="AB19" s="7" t="inlineStr">
        <is>
          <t>^Warhead_Bullet_Light, ^Warhead_Bullet_Medium</t>
        </is>
      </c>
    </row>
    <row r="20">
      <c r="B20" s="7" t="inlineStr">
        <is>
          <t xml:space="preserve">  ↳ JapanSpeedBoatGunWaveforce</t>
        </is>
      </c>
      <c r="C20" s="7" t="inlineStr">
        <is>
          <t>Armament@Upgrade</t>
        </is>
      </c>
      <c r="L20" s="6" t="n">
        <v>6000</v>
      </c>
      <c r="M20" s="6" t="n">
        <v>4</v>
      </c>
      <c r="N20" s="6" t="n">
        <v>1</v>
      </c>
      <c r="O20" s="6" t="n"/>
      <c r="P20" s="6" t="n">
        <v>5750</v>
      </c>
      <c r="Q20" s="6" t="n">
        <v>1</v>
      </c>
      <c r="R20">
        <f>M20+IF(MAX(N20-1,0)&gt;0,IF(ISBLANK(O20),5*MAX(N20-1,0),IF(ISNUMBER(O20),O20*MAX(N20-1,0),SUM(IFERROR(VALUE(TEXTSPLIT(O20,",")),0)))),0)</f>
        <v/>
      </c>
      <c r="S20">
        <f>IFERROR(L20*MAX(N20,1)/R20*IF(ISBLANK(K18),1,K18),0)</f>
        <v/>
      </c>
      <c r="AB20" s="7" t="inlineStr">
        <is>
          <t>^Warhead_Railgun_Heavy, ^Warhead_Bullet_Light, ^Warhead_Bullet_Medium</t>
        </is>
      </c>
    </row>
    <row r="21">
      <c r="B21" s="7" t="inlineStr">
        <is>
          <t xml:space="preserve">  ↳ DepthCharge</t>
        </is>
      </c>
      <c r="C21" s="7" t="inlineStr">
        <is>
          <t>Armament@DC1</t>
        </is>
      </c>
      <c r="L21" s="6" t="n">
        <v>60000</v>
      </c>
      <c r="M21" s="6" t="n">
        <v>60</v>
      </c>
      <c r="N21" s="6" t="n">
        <v>1</v>
      </c>
      <c r="O21" s="6" t="n"/>
      <c r="P21" s="6" t="n">
        <v>6000</v>
      </c>
      <c r="Q21" s="6" t="n">
        <v>0.75</v>
      </c>
      <c r="R21">
        <f>M21+IF(MAX(N21-1,0)&gt;0,IF(ISBLANK(O21),5*MAX(N21-1,0),IF(ISNUMBER(O21),O21*MAX(N21-1,0),SUM(IFERROR(VALUE(TEXTSPLIT(O21,",")),0)))),0)</f>
        <v/>
      </c>
      <c r="S21">
        <f>IFERROR(L21*MAX(N21,1)/R21*IF(ISBLANK(K18),1,K18),0)</f>
        <v/>
      </c>
      <c r="AB21" s="7" t="inlineStr">
        <is>
          <t>^Warhead_Demolition_Light</t>
        </is>
      </c>
    </row>
    <row r="22">
      <c r="B22" s="7" t="inlineStr">
        <is>
          <t xml:space="preserve">  ↳ DepthCharge</t>
        </is>
      </c>
      <c r="C22" s="7" t="inlineStr">
        <is>
          <t>Armament@DC2</t>
        </is>
      </c>
      <c r="L22" s="6" t="n">
        <v>60000</v>
      </c>
      <c r="M22" s="6" t="n">
        <v>60</v>
      </c>
      <c r="N22" s="6" t="n">
        <v>1</v>
      </c>
      <c r="O22" s="6" t="n"/>
      <c r="P22" s="6" t="n">
        <v>6000</v>
      </c>
      <c r="Q22" s="6" t="n">
        <v>0.75</v>
      </c>
      <c r="R22">
        <f>M22+IF(MAX(N22-1,0)&gt;0,IF(ISBLANK(O22),5*MAX(N22-1,0),IF(ISNUMBER(O22),O22*MAX(N22-1,0),SUM(IFERROR(VALUE(TEXTSPLIT(O22,",")),0)))),0)</f>
        <v/>
      </c>
      <c r="S22">
        <f>IFERROR(L22*MAX(N22,1)/R22*IF(ISBLANK(K18),1,K18),0)</f>
        <v/>
      </c>
      <c r="AB22" s="7" t="inlineStr">
        <is>
          <t>^Warhead_Demolition_Light</t>
        </is>
      </c>
    </row>
    <row r="23">
      <c r="A23" t="inlineStr">
        <is>
          <t>shared</t>
        </is>
      </c>
      <c r="B23" t="inlineStr">
        <is>
          <t>ra1_allies_gunboat</t>
        </is>
      </c>
      <c r="C23" t="inlineStr">
        <is>
          <t>Gunboat</t>
        </is>
      </c>
      <c r="D23" s="6" t="inlineStr">
        <is>
          <t>ScoutShip</t>
        </is>
      </c>
      <c r="E23" s="6" t="n">
        <v>60000</v>
      </c>
      <c r="F23" s="6" t="n">
        <v>120</v>
      </c>
      <c r="G23" t="inlineStr">
        <is>
          <t>Medium</t>
        </is>
      </c>
      <c r="H23" s="6" t="n">
        <v>1</v>
      </c>
      <c r="I23" s="6" t="n">
        <v>1</v>
      </c>
      <c r="J23" s="6" t="n">
        <v>1</v>
      </c>
      <c r="P23">
        <f>MAX(P24,P25,P26,P27)</f>
        <v/>
      </c>
      <c r="S23">
        <f>S24+S25+S26+S27</f>
        <v/>
      </c>
      <c r="T23">
        <f>(E23/100000+F23/100+(P23/1000)*J23/5+S23/200)*200*I23*H23</f>
        <v/>
      </c>
      <c r="U23">
        <f>((E23*F23/25000)+((P23/1000)*J23*S23/2.5))*I23*H23</f>
        <v/>
      </c>
      <c r="V23">
        <f>(E23*F23*(P23/1000)*J23*S23*I23*H23)/12500000</f>
        <v/>
      </c>
      <c r="W23">
        <f>(T23+U23+V23)/3</f>
        <v/>
      </c>
      <c r="X23" s="6" t="n">
        <v>1300</v>
      </c>
      <c r="Y23">
        <f>IFERROR(W23-X23,"")</f>
        <v/>
      </c>
      <c r="Z23">
        <f>IFERROR(ABS(Y23)/MAX(X23,1),"")</f>
        <v/>
      </c>
      <c r="AA23">
        <f>IFERROR((X23-(((E23/100000+F23/100+S23/200)*200*I23*H23)+((E23*F23/25000)*I23*H23))/3)/(((J23/5)*200*I23*H23)+((J23*S23/2.5)*I23*H23)+((E23*F23*J23*S23*I23*H23)/12500000))/3*1000,"")</f>
        <v/>
      </c>
    </row>
    <row r="24">
      <c r="B24" s="7" t="inlineStr">
        <is>
          <t xml:space="preserve">  ↳ 2Inch</t>
        </is>
      </c>
      <c r="C24" s="7" t="inlineStr">
        <is>
          <t>Armament@PRIMARY</t>
        </is>
      </c>
      <c r="L24" s="6" t="n">
        <v>30000</v>
      </c>
      <c r="M24" s="6" t="n">
        <v>30</v>
      </c>
      <c r="N24" s="6" t="n">
        <v>1</v>
      </c>
      <c r="O24" s="6" t="n"/>
      <c r="P24" s="6" t="n">
        <v>6000</v>
      </c>
      <c r="Q24" s="6" t="n">
        <v>0.75</v>
      </c>
      <c r="R24">
        <f>M24+IF(MAX(N24-1,0)&gt;0,IF(ISBLANK(O24),5*MAX(N24-1,0),IF(ISNUMBER(O24),O24*MAX(N24-1,0),SUM(IFERROR(VALUE(TEXTSPLIT(O24,",")),0)))),0)</f>
        <v/>
      </c>
      <c r="S24">
        <f>IFERROR(L24*MAX(N24,1)/R24*IF(ISBLANK(K23),1,K23),0)</f>
        <v/>
      </c>
      <c r="AB24" s="7" t="inlineStr">
        <is>
          <t>^Warhead_CannonAP_Light</t>
        </is>
      </c>
    </row>
    <row r="25">
      <c r="B25" s="7" t="inlineStr">
        <is>
          <t xml:space="preserve">  ↳ DepthCharge</t>
        </is>
      </c>
      <c r="C25" s="7" t="inlineStr">
        <is>
          <t>Armament@SECONDARY</t>
        </is>
      </c>
      <c r="L25" s="6" t="n">
        <v>60000</v>
      </c>
      <c r="M25" s="6" t="n">
        <v>60</v>
      </c>
      <c r="N25" s="6" t="n">
        <v>1</v>
      </c>
      <c r="O25" s="6" t="n"/>
      <c r="P25" s="6" t="n">
        <v>6000</v>
      </c>
      <c r="Q25" s="6" t="n">
        <v>0.75</v>
      </c>
      <c r="R25">
        <f>M25+IF(MAX(N25-1,0)&gt;0,IF(ISBLANK(O25),5*MAX(N25-1,0),IF(ISNUMBER(O25),O25*MAX(N25-1,0),SUM(IFERROR(VALUE(TEXTSPLIT(O25,",")),0)))),0)</f>
        <v/>
      </c>
      <c r="S25">
        <f>IFERROR(L25*MAX(N25,1)/R25*IF(ISBLANK(K23),1,K23),0)</f>
        <v/>
      </c>
      <c r="AB25" s="7" t="inlineStr">
        <is>
          <t>^Warhead_Demolition_Light</t>
        </is>
      </c>
    </row>
    <row r="26">
      <c r="B26" s="7" t="inlineStr">
        <is>
          <t xml:space="preserve">  ↳ 2InchCryo</t>
        </is>
      </c>
      <c r="C26" s="7" t="inlineStr">
        <is>
          <t>Armament@PRIMARYCryo</t>
        </is>
      </c>
      <c r="L26" s="6" t="n">
        <v>30000</v>
      </c>
      <c r="M26" s="6" t="n">
        <v>30</v>
      </c>
      <c r="N26" s="6" t="n">
        <v>1</v>
      </c>
      <c r="O26" s="6" t="n"/>
      <c r="P26" s="6" t="n">
        <v>6000</v>
      </c>
      <c r="Q26" s="6" t="n">
        <v>0.75</v>
      </c>
      <c r="R26">
        <f>M26+IF(MAX(N26-1,0)&gt;0,IF(ISBLANK(O26),5*MAX(N26-1,0),IF(ISNUMBER(O26),O26*MAX(N26-1,0),SUM(IFERROR(VALUE(TEXTSPLIT(O26,",")),0)))),0)</f>
        <v/>
      </c>
      <c r="S26">
        <f>IFERROR(L26*MAX(N26,1)/R26*IF(ISBLANK(K23),1,K23),0)</f>
        <v/>
      </c>
      <c r="AB26" s="7" t="inlineStr">
        <is>
          <t>^Warhead_CannonCryo_Light</t>
        </is>
      </c>
    </row>
    <row r="27">
      <c r="B27" s="7" t="inlineStr">
        <is>
          <t xml:space="preserve">  ↳ DepthChargeCryo</t>
        </is>
      </c>
      <c r="C27" s="7" t="inlineStr">
        <is>
          <t>Armament@SECONDARYCryo</t>
        </is>
      </c>
      <c r="L27" s="6" t="n">
        <v>60000</v>
      </c>
      <c r="M27" s="6" t="n">
        <v>60</v>
      </c>
      <c r="N27" s="6" t="n">
        <v>1</v>
      </c>
      <c r="O27" s="6" t="n"/>
      <c r="P27" s="6" t="n">
        <v>6000</v>
      </c>
      <c r="Q27" s="6" t="n">
        <v>0.75</v>
      </c>
      <c r="R27">
        <f>M27+IF(MAX(N27-1,0)&gt;0,IF(ISBLANK(O27),5*MAX(N27-1,0),IF(ISNUMBER(O27),O27*MAX(N27-1,0),SUM(IFERROR(VALUE(TEXTSPLIT(O27,",")),0)))),0)</f>
        <v/>
      </c>
      <c r="S27">
        <f>IFERROR(L27*MAX(N27,1)/R27*IF(ISBLANK(K23),1,K23),0)</f>
        <v/>
      </c>
      <c r="AB27" s="7" t="inlineStr">
        <is>
          <t>^Warhead_CryoBlast_Light</t>
        </is>
      </c>
    </row>
    <row r="28">
      <c r="A28" t="inlineStr">
        <is>
          <t>shared</t>
        </is>
      </c>
      <c r="B28" t="inlineStr">
        <is>
          <t>ra1_soviets_submarine</t>
        </is>
      </c>
      <c r="C28" t="inlineStr">
        <is>
          <t>Soviet Submarine</t>
        </is>
      </c>
      <c r="D28" s="6" t="inlineStr">
        <is>
          <t>ScoutShip</t>
        </is>
      </c>
      <c r="E28" s="6" t="n">
        <v>100000</v>
      </c>
      <c r="F28" s="6" t="n">
        <v>75</v>
      </c>
      <c r="G28" t="inlineStr">
        <is>
          <t>Heavy</t>
        </is>
      </c>
      <c r="H28" s="6" t="n">
        <v>1</v>
      </c>
      <c r="I28" s="6" t="n">
        <v>1</v>
      </c>
      <c r="J28" s="6" t="n">
        <v>1</v>
      </c>
      <c r="P28">
        <f>MAX(P29,P30)</f>
        <v/>
      </c>
      <c r="S28">
        <f>S29+S30</f>
        <v/>
      </c>
      <c r="T28">
        <f>(E28/100000+F28/100+(P28/1000)*J28/5+S28/200)*200*I28*H28</f>
        <v/>
      </c>
      <c r="U28">
        <f>((E28*F28/25000)+((P28/1000)*J28*S28/2.5))*I28*H28</f>
        <v/>
      </c>
      <c r="V28">
        <f>(E28*F28*(P28/1000)*J28*S28*I28*H28)/12500000</f>
        <v/>
      </c>
      <c r="W28">
        <f>(T28+U28+V28)/3</f>
        <v/>
      </c>
      <c r="X28" s="6" t="n">
        <v>1000</v>
      </c>
      <c r="Y28">
        <f>IFERROR(W28-X28,"")</f>
        <v/>
      </c>
      <c r="Z28">
        <f>IFERROR(ABS(Y28)/MAX(X28,1),"")</f>
        <v/>
      </c>
      <c r="AA28">
        <f>IFERROR((X28-(((E28/100000+F28/100+S28/200)*200*I28*H28)+((E28*F28/25000)*I28*H28))/3)/(((J28/5)*200*I28*H28)+((J28*S28/2.5)*I28*H28)+((E28*F28*J28*S28*I28*H28)/12500000))/3*1000,"")</f>
        <v/>
      </c>
    </row>
    <row r="29">
      <c r="B29" s="7" t="inlineStr">
        <is>
          <t xml:space="preserve">  ↳ TorpTube</t>
        </is>
      </c>
      <c r="C29" s="7" t="inlineStr">
        <is>
          <t>Armament@PRIMARY</t>
        </is>
      </c>
      <c r="L29" s="6" t="n">
        <v>32000</v>
      </c>
      <c r="M29" s="6" t="n">
        <v>100</v>
      </c>
      <c r="N29" s="6" t="n">
        <v>1</v>
      </c>
      <c r="O29" s="6" t="n"/>
      <c r="P29" s="6" t="n">
        <v>10000</v>
      </c>
      <c r="Q29" s="6" t="n">
        <v>1</v>
      </c>
      <c r="R29">
        <f>M29+IF(MAX(N29-1,0)&gt;0,IF(ISBLANK(O29),5*MAX(N29-1,0),IF(ISNUMBER(O29),O29*MAX(N29-1,0),SUM(IFERROR(VALUE(TEXTSPLIT(O29,",")),0)))),0)</f>
        <v/>
      </c>
      <c r="S29">
        <f>IFERROR(L29*MAX(N29,1)/R29*IF(ISBLANK(K28),1,K28),0)</f>
        <v/>
      </c>
      <c r="AB29" s="7" t="inlineStr">
        <is>
          <t>^Warhead_Concussion_Light, ^Warhead_MissileHE_Heavy</t>
        </is>
      </c>
    </row>
    <row r="30">
      <c r="B30" s="7" t="inlineStr">
        <is>
          <t xml:space="preserve">  ↳ TorpTubeThermobaric</t>
        </is>
      </c>
      <c r="C30" s="7" t="inlineStr">
        <is>
          <t>Armament@Upgrade</t>
        </is>
      </c>
      <c r="L30" s="6" t="n">
        <v>32000</v>
      </c>
      <c r="M30" s="6" t="n">
        <v>100</v>
      </c>
      <c r="N30" s="6" t="n">
        <v>1</v>
      </c>
      <c r="O30" s="6" t="n"/>
      <c r="P30" s="6" t="n">
        <v>10000</v>
      </c>
      <c r="Q30" s="6" t="n">
        <v>1.25</v>
      </c>
      <c r="R30">
        <f>M30+IF(MAX(N30-1,0)&gt;0,IF(ISBLANK(O30),5*MAX(N30-1,0),IF(ISNUMBER(O30),O30*MAX(N30-1,0),SUM(IFERROR(VALUE(TEXTSPLIT(O30,",")),0)))),0)</f>
        <v/>
      </c>
      <c r="S30">
        <f>IFERROR(L30*MAX(N30,1)/R30*IF(ISBLANK(K28),1,K28),0)</f>
        <v/>
      </c>
      <c r="AB30" s="7" t="inlineStr">
        <is>
          <t>^Warhead_MissileNuke_Heavy</t>
        </is>
      </c>
    </row>
    <row r="31">
      <c r="A31" t="inlineStr">
        <is>
          <t>tiberiansun</t>
        </is>
      </c>
      <c r="B31" t="inlineStr">
        <is>
          <t>cabal_lazerboat</t>
        </is>
      </c>
      <c r="C31" t="inlineStr">
        <is>
          <t>Laser Hydroboat</t>
        </is>
      </c>
      <c r="D31" s="6" t="inlineStr">
        <is>
          <t>ScoutShip</t>
        </is>
      </c>
      <c r="E31" s="6" t="n">
        <v>60000</v>
      </c>
      <c r="F31" s="6" t="n">
        <v>110</v>
      </c>
      <c r="G31" t="inlineStr">
        <is>
          <t>Medium</t>
        </is>
      </c>
      <c r="H31" s="6" t="n">
        <v>1</v>
      </c>
      <c r="I31" s="6" t="n">
        <v>1</v>
      </c>
      <c r="J31" s="6" t="n">
        <v>1</v>
      </c>
      <c r="P31">
        <f>MAX(P32,P33,P34)</f>
        <v/>
      </c>
      <c r="S31">
        <f>S32+S33+S34</f>
        <v/>
      </c>
      <c r="T31">
        <f>(E31/100000+F31/100+(P31/1000)*J31/5+S31/200)*200*I31*H31</f>
        <v/>
      </c>
      <c r="U31">
        <f>((E31*F31/25000)+((P31/1000)*J31*S31/2.5))*I31*H31</f>
        <v/>
      </c>
      <c r="V31">
        <f>(E31*F31*(P31/1000)*J31*S31*I31*H31)/12500000</f>
        <v/>
      </c>
      <c r="W31">
        <f>(T31+U31+V31)/3</f>
        <v/>
      </c>
      <c r="X31" s="6" t="n">
        <v>1500</v>
      </c>
      <c r="Y31">
        <f>IFERROR(W31-X31,"")</f>
        <v/>
      </c>
      <c r="Z31">
        <f>IFERROR(ABS(Y31)/MAX(X31,1),"")</f>
        <v/>
      </c>
      <c r="AA31">
        <f>IFERROR((X31-(((E31/100000+F31/100+S31/200)*200*I31*H31)+((E31*F31/25000)*I31*H31))/3)/(((J31/5)*200*I31*H31)+((J31*S31/2.5)*I31*H31)+((E31*F31*J31*S31*I31*H31)/12500000))/3*1000,"")</f>
        <v/>
      </c>
    </row>
    <row r="32">
      <c r="B32" s="7" t="inlineStr">
        <is>
          <t xml:space="preserve">  ↳ CabalLaserBoatLaser</t>
        </is>
      </c>
      <c r="C32" s="7" t="inlineStr">
        <is>
          <t>Armament@PRIMARY</t>
        </is>
      </c>
      <c r="L32" s="6" t="n">
        <v>40000</v>
      </c>
      <c r="M32" s="6" t="n">
        <v>90</v>
      </c>
      <c r="N32" s="6" t="n">
        <v>1</v>
      </c>
      <c r="O32" s="6" t="n"/>
      <c r="P32" s="6" t="n">
        <v>6147</v>
      </c>
      <c r="Q32" s="6" t="n">
        <v>1.25</v>
      </c>
      <c r="R32">
        <f>M32+IF(MAX(N32-1,0)&gt;0,IF(ISBLANK(O32),5*MAX(N32-1,0),IF(ISNUMBER(O32),O32*MAX(N32-1,0),SUM(IFERROR(VALUE(TEXTSPLIT(O32,",")),0)))),0)</f>
        <v/>
      </c>
      <c r="S32">
        <f>IFERROR(L32*MAX(N32,1)/R32*IF(ISBLANK(K31),1,K31),0)</f>
        <v/>
      </c>
      <c r="AB32" s="7" t="inlineStr">
        <is>
          <t>^Warhead_Laser_Heavy</t>
        </is>
      </c>
    </row>
    <row r="33">
      <c r="B33" s="7" t="inlineStr">
        <is>
          <t xml:space="preserve">  ↳ CabalLaserBoatLaserAA</t>
        </is>
      </c>
      <c r="C33" s="7" t="inlineStr">
        <is>
          <t>Armament@AA</t>
        </is>
      </c>
      <c r="L33" s="6" t="n">
        <v>36000</v>
      </c>
      <c r="M33" s="6" t="n">
        <v>90</v>
      </c>
      <c r="N33" s="6" t="n">
        <v>1</v>
      </c>
      <c r="O33" s="6" t="n"/>
      <c r="P33" s="6" t="n">
        <v>7000</v>
      </c>
      <c r="Q33" s="6" t="n">
        <v>1.25</v>
      </c>
      <c r="R33">
        <f>M33+IF(MAX(N33-1,0)&gt;0,IF(ISBLANK(O33),5*MAX(N33-1,0),IF(ISNUMBER(O33),O33*MAX(N33-1,0),SUM(IFERROR(VALUE(TEXTSPLIT(O33,",")),0)))),0)</f>
        <v/>
      </c>
      <c r="S33">
        <f>IFERROR(L33*MAX(N33,1)/R33*IF(ISBLANK(K31),1,K31),0)</f>
        <v/>
      </c>
      <c r="AB33" s="7" t="inlineStr">
        <is>
          <t>^Warhead_Laser_Heavy</t>
        </is>
      </c>
    </row>
    <row r="34">
      <c r="B34" s="7" t="inlineStr">
        <is>
          <t xml:space="preserve">  ↳ DepthCharge</t>
        </is>
      </c>
      <c r="C34" s="7" t="inlineStr">
        <is>
          <t>Armament@SECONDARY</t>
        </is>
      </c>
      <c r="L34" s="6" t="n">
        <v>60000</v>
      </c>
      <c r="M34" s="6" t="n">
        <v>60</v>
      </c>
      <c r="N34" s="6" t="n">
        <v>1</v>
      </c>
      <c r="O34" s="6" t="n"/>
      <c r="P34" s="6" t="n">
        <v>6000</v>
      </c>
      <c r="Q34" s="6" t="n">
        <v>0.75</v>
      </c>
      <c r="R34">
        <f>M34+IF(MAX(N34-1,0)&gt;0,IF(ISBLANK(O34),5*MAX(N34-1,0),IF(ISNUMBER(O34),O34*MAX(N34-1,0),SUM(IFERROR(VALUE(TEXTSPLIT(O34,",")),0)))),0)</f>
        <v/>
      </c>
      <c r="S34">
        <f>IFERROR(L34*MAX(N34,1)/R34*IF(ISBLANK(K31),1,K31),0)</f>
        <v/>
      </c>
      <c r="AB34" s="7" t="inlineStr">
        <is>
          <t>^Warhead_Demolition_Light</t>
        </is>
      </c>
    </row>
    <row r="35">
      <c r="A35" t="inlineStr">
        <is>
          <t>tiberiansun</t>
        </is>
      </c>
      <c r="B35" t="inlineStr">
        <is>
          <t>cabal_radar_cruiser</t>
        </is>
      </c>
      <c r="C35" t="inlineStr">
        <is>
          <t>CABAL Hacker Cruiser</t>
        </is>
      </c>
      <c r="D35" s="6" t="inlineStr">
        <is>
          <t>ScoutShip</t>
        </is>
      </c>
      <c r="E35" s="6" t="n">
        <v>200000</v>
      </c>
      <c r="F35" s="6" t="n">
        <v>60</v>
      </c>
      <c r="G35" t="inlineStr">
        <is>
          <t>Medium</t>
        </is>
      </c>
      <c r="H35" s="6" t="n">
        <v>0.6322</v>
      </c>
      <c r="I35" s="6" t="n">
        <v>1</v>
      </c>
      <c r="J35" s="6" t="n">
        <v>1</v>
      </c>
      <c r="P35">
        <f>MAX(P36,P37)</f>
        <v/>
      </c>
      <c r="S35">
        <f>S36+S37</f>
        <v/>
      </c>
      <c r="T35">
        <f>(E35/100000+F35/100+(P35/1000)*J35/5+S35/200)*200*I35*H35</f>
        <v/>
      </c>
      <c r="U35">
        <f>((E35*F35/25000)+((P35/1000)*J35*S35/2.5))*I35*H35</f>
        <v/>
      </c>
      <c r="V35">
        <f>(E35*F35*(P35/1000)*J35*S35*I35*H35)/12500000</f>
        <v/>
      </c>
      <c r="W35">
        <f>(T35+U35+V35)/3</f>
        <v/>
      </c>
      <c r="X35" s="6" t="n">
        <v>0</v>
      </c>
      <c r="Y35">
        <f>IFERROR(W35-X35,"")</f>
        <v/>
      </c>
      <c r="Z35">
        <f>IFERROR(ABS(Y35)/MAX(X35,1),"")</f>
        <v/>
      </c>
      <c r="AA35">
        <f>IFERROR((X35-(((E35/100000+F35/100+S35/200)*200*I35*H35)+((E35*F35/25000)*I35*H35))/3)/(((J35/5)*200*I35*H35)+((J35*S35/2.5)*I35*H35)+((E35*F35*J35*S35*I35*H35)/12500000))/3*1000,"")</f>
        <v/>
      </c>
    </row>
    <row r="36">
      <c r="B36" s="7" t="inlineStr">
        <is>
          <t xml:space="preserve">  ↳ TSCABALCharge_EMP</t>
        </is>
      </c>
      <c r="C36" s="7" t="inlineStr">
        <is>
          <t>Armament@Anim</t>
        </is>
      </c>
      <c r="L36" t="n">
        <v>1</v>
      </c>
      <c r="M36" s="6" t="n">
        <v>6</v>
      </c>
      <c r="N36" s="6" t="n">
        <v>1</v>
      </c>
      <c r="O36" s="6" t="n"/>
      <c r="P36" s="6" t="n">
        <v>8000</v>
      </c>
      <c r="Q36" s="6" t="n">
        <v>1</v>
      </c>
      <c r="R36">
        <f>M36+IF(MAX(N36-1,0)&gt;0,IF(ISBLANK(O36),5*MAX(N36-1,0),IF(ISNUMBER(O36),O36*MAX(N36-1,0),SUM(IFERROR(VALUE(TEXTSPLIT(O36,",")),0)))),0)</f>
        <v/>
      </c>
      <c r="S36">
        <f>IFERROR(L36*MAX(N36,1)/R36*IF(ISBLANK(K35),1,K35),0)</f>
        <v/>
      </c>
      <c r="AB36" s="7" t="inlineStr"/>
    </row>
    <row r="37">
      <c r="B37" s="7" t="inlineStr">
        <is>
          <t xml:space="preserve">  ↳ TSCABALDisable_EMP</t>
        </is>
      </c>
      <c r="C37" s="7" t="inlineStr">
        <is>
          <t>Armament@End</t>
        </is>
      </c>
      <c r="L37" s="6" t="n">
        <v>2000</v>
      </c>
      <c r="M37" s="6" t="n">
        <v>8</v>
      </c>
      <c r="N37" s="6" t="n">
        <v>1</v>
      </c>
      <c r="O37" s="6" t="n"/>
      <c r="P37" s="6" t="n">
        <v>8000</v>
      </c>
      <c r="Q37" s="6" t="n">
        <v>1</v>
      </c>
      <c r="R37">
        <f>M37+IF(MAX(N37-1,0)&gt;0,IF(ISBLANK(O37),5*MAX(N37-1,0),IF(ISNUMBER(O37),O37*MAX(N37-1,0),SUM(IFERROR(VALUE(TEXTSPLIT(O37,",")),0)))),0)</f>
        <v/>
      </c>
      <c r="S37">
        <f>IFERROR(L37*MAX(N37,1)/R37*IF(ISBLANK(K35),1,K35),0)</f>
        <v/>
      </c>
      <c r="AB37" s="7" t="inlineStr">
        <is>
          <t>^Warhead_Tesla_Super</t>
        </is>
      </c>
    </row>
    <row r="38">
      <c r="A38" t="inlineStr">
        <is>
          <t>tiberiansun</t>
        </is>
      </c>
      <c r="B38" t="inlineStr">
        <is>
          <t>ts_nod_rayboat</t>
        </is>
      </c>
      <c r="C38" t="inlineStr">
        <is>
          <t>Stingray</t>
        </is>
      </c>
      <c r="D38" s="6" t="inlineStr">
        <is>
          <t>ScoutShip</t>
        </is>
      </c>
      <c r="E38" s="6" t="n">
        <v>80000</v>
      </c>
      <c r="F38" s="6" t="n">
        <v>110</v>
      </c>
      <c r="G38" t="inlineStr">
        <is>
          <t>Light</t>
        </is>
      </c>
      <c r="H38" s="6" t="n">
        <v>1</v>
      </c>
      <c r="I38" s="6" t="n">
        <v>1</v>
      </c>
      <c r="J38" s="6" t="n">
        <v>1</v>
      </c>
      <c r="P38">
        <f>MAX(P39,P40)</f>
        <v/>
      </c>
      <c r="S38">
        <f>S39+S40</f>
        <v/>
      </c>
      <c r="T38">
        <f>(E38/100000+F38/100+(P38/1000)*J38/5+S38/200)*200*I38*H38</f>
        <v/>
      </c>
      <c r="U38">
        <f>((E38*F38/25000)+((P38/1000)*J38*S38/2.5))*I38*H38</f>
        <v/>
      </c>
      <c r="V38">
        <f>(E38*F38*(P38/1000)*J38*S38*I38*H38)/12500000</f>
        <v/>
      </c>
      <c r="W38">
        <f>(T38+U38+V38)/3</f>
        <v/>
      </c>
      <c r="X38" s="6" t="n">
        <v>1300</v>
      </c>
      <c r="Y38">
        <f>IFERROR(W38-X38,"")</f>
        <v/>
      </c>
      <c r="Z38">
        <f>IFERROR(ABS(Y38)/MAX(X38,1),"")</f>
        <v/>
      </c>
      <c r="AA38">
        <f>IFERROR((X38-(((E38/100000+F38/100+S38/200)*200*I38*H38)+((E38*F38/25000)*I38*H38))/3)/(((J38/5)*200*I38*H38)+((J38*S38/2.5)*I38*H38)+((E38*F38*J38*S38*I38*H38)/12500000))/3*1000,"")</f>
        <v/>
      </c>
    </row>
    <row r="39">
      <c r="B39" s="7" t="inlineStr">
        <is>
          <t xml:space="preserve">  ↳ TSSBoatTusk</t>
        </is>
      </c>
      <c r="C39" s="7" t="inlineStr">
        <is>
          <t>Armament@PRIMARY</t>
        </is>
      </c>
      <c r="L39" s="6" t="n">
        <v>18000</v>
      </c>
      <c r="M39" s="6" t="n">
        <v>60</v>
      </c>
      <c r="N39" s="6" t="n">
        <v>2</v>
      </c>
      <c r="O39" s="6" t="n">
        <v>4</v>
      </c>
      <c r="P39" s="6" t="n">
        <v>6385</v>
      </c>
      <c r="Q39" s="6" t="n">
        <v>1</v>
      </c>
      <c r="R39">
        <f>M39+IF(MAX(N39-1,0)&gt;0,IF(ISBLANK(O39),5*MAX(N39-1,0),IF(ISNUMBER(O39),O39*MAX(N39-1,0),SUM(IFERROR(VALUE(TEXTSPLIT(O39,",")),0)))),0)</f>
        <v/>
      </c>
      <c r="S39">
        <f>IFERROR(L39*MAX(N39,1)/R39*IF(ISBLANK(K38),1,K38),0)</f>
        <v/>
      </c>
      <c r="AB39" s="7" t="inlineStr">
        <is>
          <t>^Warhead_CannonHE_Medium, ^Warhead_MissileHE_Medium</t>
        </is>
      </c>
    </row>
    <row r="40">
      <c r="B40" s="7" t="inlineStr">
        <is>
          <t xml:space="preserve">  ↳ TSStankTibTusk</t>
        </is>
      </c>
      <c r="C40" s="7" t="inlineStr">
        <is>
          <t>Armament@ELITE</t>
        </is>
      </c>
      <c r="L40" s="6" t="n">
        <v>30000</v>
      </c>
      <c r="M40" s="6" t="n">
        <v>60</v>
      </c>
      <c r="N40" s="6" t="n">
        <v>2</v>
      </c>
      <c r="O40" s="6" t="n">
        <v>2</v>
      </c>
      <c r="P40" s="6" t="n">
        <v>6385</v>
      </c>
      <c r="Q40" s="6" t="n">
        <v>1</v>
      </c>
      <c r="R40">
        <f>M40+IF(MAX(N40-1,0)&gt;0,IF(ISBLANK(O40),5*MAX(N40-1,0),IF(ISNUMBER(O40),O40*MAX(N40-1,0),SUM(IFERROR(VALUE(TEXTSPLIT(O40,",")),0)))),0)</f>
        <v/>
      </c>
      <c r="S40">
        <f>IFERROR(L40*MAX(N40,1)/R40*IF(ISBLANK(K38),1,K38),0)</f>
        <v/>
      </c>
      <c r="AB40" s="7" t="inlineStr">
        <is>
          <t>^Warhead_CannonHE_Medium</t>
        </is>
      </c>
    </row>
    <row r="41">
      <c r="A41" t="inlineStr">
        <is>
          <t>tiberiansun</t>
        </is>
      </c>
      <c r="B41" t="inlineStr">
        <is>
          <t>ts_nod_submarine</t>
        </is>
      </c>
      <c r="C41" t="inlineStr">
        <is>
          <t>Strike Submarine</t>
        </is>
      </c>
      <c r="D41" s="6" t="inlineStr">
        <is>
          <t>ScoutShip</t>
        </is>
      </c>
      <c r="E41" s="6" t="n">
        <v>140000</v>
      </c>
      <c r="F41" s="6" t="n">
        <v>90</v>
      </c>
      <c r="G41" t="inlineStr">
        <is>
          <t>Heavy</t>
        </is>
      </c>
      <c r="H41" s="6" t="n">
        <v>1</v>
      </c>
      <c r="I41" s="6" t="n">
        <v>1</v>
      </c>
      <c r="J41" s="6" t="n">
        <v>1</v>
      </c>
      <c r="P41">
        <f>MAX(P42,P43)</f>
        <v/>
      </c>
      <c r="S41">
        <f>S42+S43</f>
        <v/>
      </c>
      <c r="T41">
        <f>(E41/100000+F41/100+(P41/1000)*J41/5+S41/200)*200*I41*H41</f>
        <v/>
      </c>
      <c r="U41">
        <f>((E41*F41/25000)+((P41/1000)*J41*S41/2.5))*I41*H41</f>
        <v/>
      </c>
      <c r="V41">
        <f>(E41*F41*(P41/1000)*J41*S41*I41*H41)/12500000</f>
        <v/>
      </c>
      <c r="W41">
        <f>(T41+U41+V41)/3</f>
        <v/>
      </c>
      <c r="X41" s="6" t="n">
        <v>1600</v>
      </c>
      <c r="Y41">
        <f>IFERROR(W41-X41,"")</f>
        <v/>
      </c>
      <c r="Z41">
        <f>IFERROR(ABS(Y41)/MAX(X41,1),"")</f>
        <v/>
      </c>
      <c r="AA41">
        <f>IFERROR((X41-(((E41/100000+F41/100+S41/200)*200*I41*H41)+((E41*F41/25000)*I41*H41))/3)/(((J41/5)*200*I41*H41)+((J41*S41/2.5)*I41*H41)+((E41*F41*J41*S41*I41*H41)/12500000))/3*1000,"")</f>
        <v/>
      </c>
    </row>
    <row r="42">
      <c r="B42" s="7" t="inlineStr">
        <is>
          <t xml:space="preserve">  ↳ RA2TorpTube</t>
        </is>
      </c>
      <c r="C42" s="7" t="inlineStr">
        <is>
          <t>Armament@PRIMARY</t>
        </is>
      </c>
      <c r="L42" s="6" t="n">
        <v>36000</v>
      </c>
      <c r="M42" s="6" t="n">
        <v>90</v>
      </c>
      <c r="N42" s="6" t="n">
        <v>1</v>
      </c>
      <c r="O42" s="6" t="n"/>
      <c r="P42" s="6" t="n">
        <v>9000</v>
      </c>
      <c r="Q42" s="6" t="n">
        <v>1</v>
      </c>
      <c r="R42">
        <f>M42+IF(MAX(N42-1,0)&gt;0,IF(ISBLANK(O42),5*MAX(N42-1,0),IF(ISNUMBER(O42),O42*MAX(N42-1,0),SUM(IFERROR(VALUE(TEXTSPLIT(O42,",")),0)))),0)</f>
        <v/>
      </c>
      <c r="S42">
        <f>IFERROR(L42*MAX(N42,1)/R42*IF(ISBLANK(K41),1,K41),0)</f>
        <v/>
      </c>
      <c r="AB42" s="7" t="inlineStr">
        <is>
          <t>^Warhead_Demolition_Light, ^Warhead_MissileAP_Heavy</t>
        </is>
      </c>
    </row>
    <row r="43">
      <c r="B43" s="7" t="inlineStr">
        <is>
          <t xml:space="preserve">  ↳ RA2TorpTube_elite</t>
        </is>
      </c>
      <c r="C43" s="7" t="inlineStr">
        <is>
          <t>Armament@ELITE</t>
        </is>
      </c>
      <c r="L43" s="6" t="n">
        <v>36000</v>
      </c>
      <c r="M43" s="6" t="n">
        <v>90</v>
      </c>
      <c r="N43" s="6" t="n">
        <v>2</v>
      </c>
      <c r="O43" s="6" t="n">
        <v>3</v>
      </c>
      <c r="P43" s="6" t="n">
        <v>10000</v>
      </c>
      <c r="Q43" s="6" t="n">
        <v>1</v>
      </c>
      <c r="R43">
        <f>M43+IF(MAX(N43-1,0)&gt;0,IF(ISBLANK(O43),5*MAX(N43-1,0),IF(ISNUMBER(O43),O43*MAX(N43-1,0),SUM(IFERROR(VALUE(TEXTSPLIT(O43,",")),0)))),0)</f>
        <v/>
      </c>
      <c r="S43">
        <f>IFERROR(L43*MAX(N43,1)/R43*IF(ISBLANK(K41),1,K41),0)</f>
        <v/>
      </c>
      <c r="AB43" s="7" t="inlineStr">
        <is>
          <t>^Warhead_Demolition_Light, ^Warhead_MissileAP_Heavy</t>
        </is>
      </c>
    </row>
    <row r="44">
      <c r="A44" t="inlineStr">
        <is>
          <t>tiberiansun</t>
        </is>
      </c>
      <c r="B44" t="inlineStr">
        <is>
          <t>forgotten_juggerboat</t>
        </is>
      </c>
      <c r="C44" t="inlineStr">
        <is>
          <t>Juggerboat</t>
        </is>
      </c>
      <c r="D44" s="6" t="inlineStr">
        <is>
          <t>ScoutShip</t>
        </is>
      </c>
      <c r="E44" s="6" t="n">
        <v>60000</v>
      </c>
      <c r="F44" s="6" t="n">
        <v>120</v>
      </c>
      <c r="G44" t="inlineStr">
        <is>
          <t>Medium</t>
        </is>
      </c>
      <c r="H44" s="6" t="n">
        <v>1</v>
      </c>
      <c r="I44" s="6" t="n">
        <v>1</v>
      </c>
      <c r="J44" s="6" t="n">
        <v>1</v>
      </c>
      <c r="P44">
        <f>MAX(P45,P46,P47,P48)</f>
        <v/>
      </c>
      <c r="S44">
        <f>S45+S46+S47+S48</f>
        <v/>
      </c>
      <c r="T44">
        <f>(E44/100000+F44/100+(P44/1000)*J44/5+S44/200)*200*I44*H44</f>
        <v/>
      </c>
      <c r="U44">
        <f>((E44*F44/25000)+((P44/1000)*J44*S44/2.5))*I44*H44</f>
        <v/>
      </c>
      <c r="V44">
        <f>(E44*F44*(P44/1000)*J44*S44*I44*H44)/12500000</f>
        <v/>
      </c>
      <c r="W44">
        <f>(T44+U44+V44)/3</f>
        <v/>
      </c>
      <c r="X44" s="6" t="n">
        <v>1500</v>
      </c>
      <c r="Y44">
        <f>IFERROR(W44-X44,"")</f>
        <v/>
      </c>
      <c r="Z44">
        <f>IFERROR(ABS(Y44)/MAX(X44,1),"")</f>
        <v/>
      </c>
      <c r="AA44">
        <f>IFERROR((X44-(((E44/100000+F44/100+S44/200)*200*I44*H44)+((E44*F44/25000)*I44*H44))/3)/(((J44/5)*200*I44*H44)+((J44*S44/2.5)*I44*H44)+((E44*F44*J44*S44*I44*H44)/12500000))/3*1000,"")</f>
        <v/>
      </c>
    </row>
    <row r="45">
      <c r="B45" s="7" t="inlineStr">
        <is>
          <t xml:space="preserve">  ↳ TSJuggerFlakAA_boat</t>
        </is>
      </c>
      <c r="C45" s="7" t="inlineStr">
        <is>
          <t>Armament@AA</t>
        </is>
      </c>
      <c r="L45" s="6" t="n">
        <v>10000</v>
      </c>
      <c r="M45" s="6" t="n">
        <v>69</v>
      </c>
      <c r="N45" s="6" t="n">
        <v>2</v>
      </c>
      <c r="O45" s="6" t="n">
        <v>3</v>
      </c>
      <c r="P45" s="6" t="n">
        <v>11234</v>
      </c>
      <c r="Q45" s="6" t="n">
        <v>1</v>
      </c>
      <c r="R45">
        <f>M45+IF(MAX(N45-1,0)&gt;0,IF(ISBLANK(O45),5*MAX(N45-1,0),IF(ISNUMBER(O45),O45*MAX(N45-1,0),SUM(IFERROR(VALUE(TEXTSPLIT(O45,",")),0)))),0)</f>
        <v/>
      </c>
      <c r="S45">
        <f>IFERROR(L45*MAX(N45,1)/R45*IF(ISBLANK(K44),1,K44),0)</f>
        <v/>
      </c>
      <c r="AB45" s="7" t="inlineStr">
        <is>
          <t>^Warhead_Flak_Medium</t>
        </is>
      </c>
    </row>
    <row r="46">
      <c r="B46" s="7" t="inlineStr">
        <is>
          <t xml:space="preserve">  ↳ TSJuggerboat90mm</t>
        </is>
      </c>
      <c r="C46" s="7" t="inlineStr">
        <is>
          <t>Armament@AG</t>
        </is>
      </c>
      <c r="L46" s="6" t="n">
        <v>20000</v>
      </c>
      <c r="M46" s="6" t="n">
        <v>69</v>
      </c>
      <c r="N46" s="6" t="n">
        <v>2</v>
      </c>
      <c r="O46" s="6" t="n">
        <v>3</v>
      </c>
      <c r="P46" s="6" t="n">
        <v>12834</v>
      </c>
      <c r="Q46" s="6" t="n">
        <v>1</v>
      </c>
      <c r="R46">
        <f>M46+IF(MAX(N46-1,0)&gt;0,IF(ISBLANK(O46),5*MAX(N46-1,0),IF(ISNUMBER(O46),O46*MAX(N46-1,0),SUM(IFERROR(VALUE(TEXTSPLIT(O46,",")),0)))),0)</f>
        <v/>
      </c>
      <c r="S46">
        <f>IFERROR(L46*MAX(N46,1)/R46*IF(ISBLANK(K44),1,K44),0)</f>
        <v/>
      </c>
      <c r="AB46" s="7" t="inlineStr">
        <is>
          <t>^Warhead_Concussion_Medium</t>
        </is>
      </c>
    </row>
    <row r="47">
      <c r="B47" s="7" t="inlineStr">
        <is>
          <t xml:space="preserve">  ↳ TSChemJuggerboat90mm</t>
        </is>
      </c>
      <c r="C47" s="7" t="inlineStr">
        <is>
          <t>Armament@UPGRADE</t>
        </is>
      </c>
      <c r="L47" s="6" t="n">
        <v>30000</v>
      </c>
      <c r="M47" s="6" t="n">
        <v>69</v>
      </c>
      <c r="N47" s="6" t="n">
        <v>2</v>
      </c>
      <c r="O47" s="6" t="n">
        <v>3</v>
      </c>
      <c r="P47" s="6" t="n">
        <v>12834</v>
      </c>
      <c r="Q47" s="6" t="n">
        <v>1</v>
      </c>
      <c r="R47">
        <f>M47+IF(MAX(N47-1,0)&gt;0,IF(ISBLANK(O47),5*MAX(N47-1,0),IF(ISNUMBER(O47),O47*MAX(N47-1,0),SUM(IFERROR(VALUE(TEXTSPLIT(O47,",")),0)))),0)</f>
        <v/>
      </c>
      <c r="S47">
        <f>IFERROR(L47*MAX(N47,1)/R47*IF(ISBLANK(K44),1,K44),0)</f>
        <v/>
      </c>
      <c r="AB47" s="7" t="inlineStr">
        <is>
          <t>^Warhead_CannonChem_Medium</t>
        </is>
      </c>
    </row>
    <row r="48">
      <c r="B48" s="7" t="inlineStr">
        <is>
          <t xml:space="preserve">  ↳ DepthCharge</t>
        </is>
      </c>
      <c r="C48" s="7" t="inlineStr">
        <is>
          <t>Armament@SECONDARY</t>
        </is>
      </c>
      <c r="L48" s="6" t="n">
        <v>60000</v>
      </c>
      <c r="M48" s="6" t="n">
        <v>60</v>
      </c>
      <c r="N48" s="6" t="n">
        <v>1</v>
      </c>
      <c r="O48" s="6" t="n"/>
      <c r="P48" s="6" t="n">
        <v>6000</v>
      </c>
      <c r="Q48" s="6" t="n">
        <v>0.75</v>
      </c>
      <c r="R48">
        <f>M48+IF(MAX(N48-1,0)&gt;0,IF(ISBLANK(O48),5*MAX(N48-1,0),IF(ISNUMBER(O48),O48*MAX(N48-1,0),SUM(IFERROR(VALUE(TEXTSPLIT(O48,",")),0)))),0)</f>
        <v/>
      </c>
      <c r="S48">
        <f>IFERROR(L48*MAX(N48,1)/R48*IF(ISBLANK(K44),1,K44),0)</f>
        <v/>
      </c>
      <c r="AB48" s="7" t="inlineStr">
        <is>
          <t>^Warhead_Demolition_Light</t>
        </is>
      </c>
    </row>
    <row r="49">
      <c r="A49" t="inlineStr">
        <is>
          <t>tiberiansun</t>
        </is>
      </c>
      <c r="B49" t="inlineStr">
        <is>
          <t>forgotten_lcraft</t>
        </is>
      </c>
      <c r="C49" t="inlineStr">
        <is>
          <t>Warrior Ferry</t>
        </is>
      </c>
      <c r="D49" s="6" t="inlineStr">
        <is>
          <t>ScoutShip</t>
        </is>
      </c>
      <c r="E49" s="6" t="n">
        <v>100000</v>
      </c>
      <c r="F49" s="6" t="n">
        <v>60</v>
      </c>
      <c r="G49" t="inlineStr">
        <is>
          <t>Heavy</t>
        </is>
      </c>
      <c r="H49" s="6" t="n">
        <v>1</v>
      </c>
      <c r="I49" s="6" t="n">
        <v>1</v>
      </c>
      <c r="J49" s="6" t="n">
        <v>1</v>
      </c>
      <c r="P49">
        <f>MAX(P50,P51)</f>
        <v/>
      </c>
      <c r="S49">
        <f>S50+S51</f>
        <v/>
      </c>
      <c r="T49">
        <f>(E49/100000+F49/100+(P49/1000)*J49/5+S49/200)*200*I49*H49</f>
        <v/>
      </c>
      <c r="U49">
        <f>((E49*F49/25000)+((P49/1000)*J49*S49/2.5))*I49*H49</f>
        <v/>
      </c>
      <c r="V49">
        <f>(E49*F49*(P49/1000)*J49*S49*I49*H49)/12500000</f>
        <v/>
      </c>
      <c r="W49">
        <f>(T49+U49+V49)/3</f>
        <v/>
      </c>
      <c r="X49" s="6" t="n">
        <v>1200</v>
      </c>
      <c r="Y49">
        <f>IFERROR(W49-X49,"")</f>
        <v/>
      </c>
      <c r="Z49">
        <f>IFERROR(ABS(Y49)/MAX(X49,1),"")</f>
        <v/>
      </c>
      <c r="AA49">
        <f>IFERROR((X49-(((E49/100000+F49/100+S49/200)*200*I49*H49)+((E49*F49/25000)*I49*H49))/3)/(((J49/5)*200*I49*H49)+((J49*S49/2.5)*I49*H49)+((E49*F49*J49*S49*I49*H49)/12500000))/3*1000,"")</f>
        <v/>
      </c>
    </row>
    <row r="50">
      <c r="B50" s="7" t="inlineStr">
        <is>
          <t xml:space="preserve">  ↳ TSVanMissile</t>
        </is>
      </c>
      <c r="C50" s="7" t="inlineStr">
        <is>
          <t>Armament@PRIMARY</t>
        </is>
      </c>
      <c r="L50" s="6" t="n">
        <v>24000</v>
      </c>
      <c r="M50" s="6" t="n">
        <v>32</v>
      </c>
      <c r="N50" s="6" t="n">
        <v>2</v>
      </c>
      <c r="O50" s="6" t="n">
        <v>8</v>
      </c>
      <c r="P50" s="6" t="n">
        <v>10460</v>
      </c>
      <c r="Q50" s="6" t="n">
        <v>1</v>
      </c>
      <c r="R50">
        <f>M50+IF(MAX(N50-1,0)&gt;0,IF(ISBLANK(O50),5*MAX(N50-1,0),IF(ISNUMBER(O50),O50*MAX(N50-1,0),SUM(IFERROR(VALUE(TEXTSPLIT(O50,",")),0)))),0)</f>
        <v/>
      </c>
      <c r="S50">
        <f>IFERROR(L50*MAX(N50,1)/R50*IF(ISBLANK(K49),1,K49),0)</f>
        <v/>
      </c>
      <c r="AB50" s="7" t="inlineStr">
        <is>
          <t>^Warhead_Concussion_Medium</t>
        </is>
      </c>
    </row>
    <row r="51">
      <c r="B51" s="7" t="inlineStr">
        <is>
          <t xml:space="preserve">  ↳ TSChemVanMissile</t>
        </is>
      </c>
      <c r="C51" s="7" t="inlineStr">
        <is>
          <t>Armament@UPGRADE</t>
        </is>
      </c>
      <c r="L51" s="6" t="n">
        <v>36000</v>
      </c>
      <c r="M51" s="6" t="n">
        <v>32</v>
      </c>
      <c r="N51" s="6" t="n">
        <v>2</v>
      </c>
      <c r="O51" s="6" t="n">
        <v>8</v>
      </c>
      <c r="P51" s="6" t="n">
        <v>10460</v>
      </c>
      <c r="Q51" s="6" t="n">
        <v>1</v>
      </c>
      <c r="R51">
        <f>M51+IF(MAX(N51-1,0)&gt;0,IF(ISBLANK(O51),5*MAX(N51-1,0),IF(ISNUMBER(O51),O51*MAX(N51-1,0),SUM(IFERROR(VALUE(TEXTSPLIT(O51,",")),0)))),0)</f>
        <v/>
      </c>
      <c r="S51">
        <f>IFERROR(L51*MAX(N51,1)/R51*IF(ISBLANK(K49),1,K49),0)</f>
        <v/>
      </c>
      <c r="AB51" s="7" t="inlineStr">
        <is>
          <t>^Warhead_MissileChem_Medium</t>
        </is>
      </c>
    </row>
    <row r="52">
      <c r="A52" t="inlineStr">
        <is>
          <t>shared</t>
        </is>
      </c>
      <c r="B52" t="inlineStr">
        <is>
          <t>ra2dest</t>
        </is>
      </c>
      <c r="C52" t="inlineStr">
        <is>
          <t>actor_dest.name</t>
        </is>
      </c>
      <c r="D52" s="6" t="inlineStr">
        <is>
          <t>ScoutShip</t>
        </is>
      </c>
      <c r="E52" s="6" t="n">
        <v>160000</v>
      </c>
      <c r="F52" s="6" t="n">
        <v>70</v>
      </c>
      <c r="G52" t="inlineStr">
        <is>
          <t>Heavy</t>
        </is>
      </c>
      <c r="H52" s="6" t="n">
        <v>1</v>
      </c>
      <c r="I52" s="6" t="n">
        <v>1</v>
      </c>
      <c r="J52" s="6" t="n">
        <v>1</v>
      </c>
      <c r="P52">
        <f>MAX(P53,P54)</f>
        <v/>
      </c>
      <c r="S52">
        <f>S53+S54</f>
        <v/>
      </c>
      <c r="T52">
        <f>(E52/100000+F52/100+(P52/1000)*J52/5+S52/200)*200*I52*H52</f>
        <v/>
      </c>
      <c r="U52">
        <f>((E52*F52/25000)+((P52/1000)*J52*S52/2.5))*I52*H52</f>
        <v/>
      </c>
      <c r="V52">
        <f>(E52*F52*(P52/1000)*J52*S52*I52*H52)/12500000</f>
        <v/>
      </c>
      <c r="W52">
        <f>(T52+U52+V52)/3</f>
        <v/>
      </c>
      <c r="X52" s="6" t="n">
        <v>1700</v>
      </c>
      <c r="Y52">
        <f>IFERROR(W52-X52,"")</f>
        <v/>
      </c>
      <c r="Z52">
        <f>IFERROR(ABS(Y52)/MAX(X52,1),"")</f>
        <v/>
      </c>
      <c r="AA52">
        <f>IFERROR((X52-(((E52/100000+F52/100+S52/200)*200*I52*H52)+((E52*F52/25000)*I52*H52))/3)/(((J52/5)*200*I52*H52)+((J52*S52/2.5)*I52*H52)+((E52*F52*J52*S52*I52*H52)/12500000))/3*1000,"")</f>
        <v/>
      </c>
    </row>
    <row r="53">
      <c r="B53" s="7" t="inlineStr">
        <is>
          <t xml:space="preserve">  ↳ RA2155mm</t>
        </is>
      </c>
      <c r="C53" s="7" t="inlineStr">
        <is>
          <t>Armament@PRIMARY</t>
        </is>
      </c>
      <c r="L53" s="6" t="n">
        <v>16000</v>
      </c>
      <c r="M53" s="6" t="n">
        <v>40</v>
      </c>
      <c r="N53" s="6" t="n">
        <v>1</v>
      </c>
      <c r="O53" s="6" t="n"/>
      <c r="P53" s="6" t="n">
        <v>8000</v>
      </c>
      <c r="Q53" s="6" t="n">
        <v>1.25</v>
      </c>
      <c r="R53">
        <f>M53+IF(MAX(N53-1,0)&gt;0,IF(ISBLANK(O53),5*MAX(N53-1,0),IF(ISNUMBER(O53),O53*MAX(N53-1,0),SUM(IFERROR(VALUE(TEXTSPLIT(O53,",")),0)))),0)</f>
        <v/>
      </c>
      <c r="S53">
        <f>IFERROR(L53*MAX(N53,1)/R53*IF(ISBLANK(K52),1,K52),0)</f>
        <v/>
      </c>
      <c r="AB53" s="7" t="inlineStr">
        <is>
          <t>^Warhead_CannonHE_Heavy</t>
        </is>
      </c>
    </row>
    <row r="54">
      <c r="B54" s="7" t="inlineStr">
        <is>
          <t xml:space="preserve">  ↳ RA2155mm_elite</t>
        </is>
      </c>
      <c r="C54" s="7" t="inlineStr">
        <is>
          <t>Armament@ELITE</t>
        </is>
      </c>
      <c r="L54" s="6" t="n">
        <v>16000</v>
      </c>
      <c r="M54" s="6" t="n">
        <v>40</v>
      </c>
      <c r="N54" s="6" t="n">
        <v>2</v>
      </c>
      <c r="O54" s="6" t="n">
        <v>3</v>
      </c>
      <c r="P54" s="6" t="n">
        <v>9000</v>
      </c>
      <c r="Q54" s="6" t="n">
        <v>1.25</v>
      </c>
      <c r="R54">
        <f>M54+IF(MAX(N54-1,0)&gt;0,IF(ISBLANK(O54),5*MAX(N54-1,0),IF(ISNUMBER(O54),O54*MAX(N54-1,0),SUM(IFERROR(VALUE(TEXTSPLIT(O54,",")),0)))),0)</f>
        <v/>
      </c>
      <c r="S54">
        <f>IFERROR(L54*MAX(N54,1)/R54*IF(ISBLANK(K52),1,K52),0)</f>
        <v/>
      </c>
      <c r="AB54" s="7" t="inlineStr">
        <is>
          <t>^Warhead_CannonHE_Heavy</t>
        </is>
      </c>
    </row>
    <row r="55">
      <c r="B55" s="7" t="inlineStr">
        <is>
          <t xml:space="preserve">  ↳ RA2OspreyTarget</t>
        </is>
      </c>
      <c r="C55" s="7" t="inlineStr">
        <is>
          <t>Armament@GenerateOsprey</t>
        </is>
      </c>
      <c r="M55" s="6" t="n">
        <v>25</v>
      </c>
      <c r="N55" s="6" t="n">
        <v>1</v>
      </c>
      <c r="O55" s="6" t="n"/>
      <c r="P55" s="6" t="n">
        <v>12000</v>
      </c>
      <c r="Q55" s="6" t="n">
        <v>1</v>
      </c>
      <c r="R55">
        <f>M55+IF(MAX(N55-1,0)&gt;0,IF(ISBLANK(O55),5*MAX(N55-1,0),IF(ISNUMBER(O55),O55*MAX(N55-1,0),SUM(IFERROR(VALUE(TEXTSPLIT(O55,",")),0)))),0)</f>
        <v/>
      </c>
      <c r="S55">
        <f>IFERROR(L55*MAX(N55,1)/R55*IF(ISBLANK(K52),1,K52),0)</f>
        <v/>
      </c>
      <c r="AB55" s="7" t="inlineStr"/>
    </row>
    <row r="56">
      <c r="A56" t="inlineStr">
        <is>
          <t>shared</t>
        </is>
      </c>
      <c r="B56" t="inlineStr">
        <is>
          <t>ra2dlph</t>
        </is>
      </c>
      <c r="C56" t="inlineStr">
        <is>
          <t>actor_dlph.name</t>
        </is>
      </c>
      <c r="D56" s="6" t="inlineStr">
        <is>
          <t>ScoutShip</t>
        </is>
      </c>
      <c r="E56" s="6" t="n">
        <v>20000</v>
      </c>
      <c r="F56" s="6" t="n">
        <v>120</v>
      </c>
      <c r="G56" t="inlineStr">
        <is>
          <t>Light</t>
        </is>
      </c>
      <c r="H56" s="6" t="n">
        <v>1</v>
      </c>
      <c r="I56" s="6" t="n">
        <v>1</v>
      </c>
      <c r="J56" s="6" t="n">
        <v>1</v>
      </c>
      <c r="P56">
        <f>MAX(P57)</f>
        <v/>
      </c>
      <c r="S56">
        <f>S57</f>
        <v/>
      </c>
      <c r="T56">
        <f>(E56/100000+F56/100+(P56/1000)*J56/5+S56/200)*200*I56*H56</f>
        <v/>
      </c>
      <c r="U56">
        <f>((E56*F56/25000)+((P56/1000)*J56*S56/2.5))*I56*H56</f>
        <v/>
      </c>
      <c r="V56">
        <f>(E56*F56*(P56/1000)*J56*S56*I56*H56)/12500000</f>
        <v/>
      </c>
      <c r="W56">
        <f>(T56+U56+V56)/3</f>
        <v/>
      </c>
      <c r="X56" s="6" t="n">
        <v>500</v>
      </c>
      <c r="Y56">
        <f>IFERROR(W56-X56,"")</f>
        <v/>
      </c>
      <c r="Z56">
        <f>IFERROR(ABS(Y56)/MAX(X56,1),"")</f>
        <v/>
      </c>
      <c r="AA56">
        <f>IFERROR((X56-(((E56/100000+F56/100+S56/200)*200*I56*H56)+((E56*F56/25000)*I56*H56))/3)/(((J56/5)*200*I56*H56)+((J56*S56/2.5)*I56*H56)+((E56*F56*J56*S56*I56*H56)/12500000))/3*1000,"")</f>
        <v/>
      </c>
    </row>
    <row r="57">
      <c r="B57" s="7" t="inlineStr">
        <is>
          <t xml:space="preserve">  ↳ SonicZap</t>
        </is>
      </c>
      <c r="C57" s="7" t="inlineStr">
        <is>
          <t>Armament@PRIMARY</t>
        </is>
      </c>
      <c r="L57" s="6" t="n">
        <v>3000</v>
      </c>
      <c r="M57" s="6" t="n">
        <v>60</v>
      </c>
      <c r="N57" s="6" t="n">
        <v>1</v>
      </c>
      <c r="O57" s="6" t="n"/>
      <c r="P57" s="6" t="n">
        <v>6000</v>
      </c>
      <c r="Q57" s="6" t="n">
        <v>1.25</v>
      </c>
      <c r="R57">
        <f>M57+IF(MAX(N57-1,0)&gt;0,IF(ISBLANK(O57),5*MAX(N57-1,0),IF(ISNUMBER(O57),O57*MAX(N57-1,0),SUM(IFERROR(VALUE(TEXTSPLIT(O57,",")),0)))),0)</f>
        <v/>
      </c>
      <c r="S57">
        <f>IFERROR(L57*MAX(N57,1)/R57*IF(ISBLANK(K56),1,K56),0)</f>
        <v/>
      </c>
      <c r="AB57" s="7" t="inlineStr">
        <is>
          <t>^Warhead_Magic_Heavy</t>
        </is>
      </c>
    </row>
    <row r="58">
      <c r="B58" s="7" t="inlineStr">
        <is>
          <t xml:space="preserve">  ↳ SonicZapFriendly</t>
        </is>
      </c>
      <c r="C58" s="7" t="inlineStr">
        <is>
          <t>Armament@SECONDARY</t>
        </is>
      </c>
      <c r="M58" s="6" t="n">
        <v>60</v>
      </c>
      <c r="N58" s="6" t="n">
        <v>1</v>
      </c>
      <c r="O58" s="6" t="n"/>
      <c r="P58" s="6" t="n">
        <v>6000</v>
      </c>
      <c r="Q58" s="6" t="n">
        <v>1</v>
      </c>
      <c r="R58">
        <f>M58+IF(MAX(N58-1,0)&gt;0,IF(ISBLANK(O58),5*MAX(N58-1,0),IF(ISNUMBER(O58),O58*MAX(N58-1,0),SUM(IFERROR(VALUE(TEXTSPLIT(O58,",")),0)))),0)</f>
        <v/>
      </c>
      <c r="S58">
        <f>IFERROR(L58*MAX(N58,1)/R58*IF(ISBLANK(K56),1,K56),0)</f>
        <v/>
      </c>
      <c r="AB58" s="7" t="inlineStr"/>
    </row>
    <row r="59">
      <c r="A59" t="inlineStr">
        <is>
          <t>shared</t>
        </is>
      </c>
      <c r="B59" t="inlineStr">
        <is>
          <t>ra2sqd</t>
        </is>
      </c>
      <c r="C59" t="inlineStr">
        <is>
          <t>actor_sqd.name</t>
        </is>
      </c>
      <c r="D59" s="6" t="inlineStr">
        <is>
          <t>ScoutShip</t>
        </is>
      </c>
      <c r="E59" s="6" t="n">
        <v>30000</v>
      </c>
      <c r="F59" s="6" t="n">
        <v>120</v>
      </c>
      <c r="G59" t="inlineStr">
        <is>
          <t>Medium</t>
        </is>
      </c>
      <c r="H59" s="6" t="n">
        <v>1</v>
      </c>
      <c r="I59" s="6" t="n">
        <v>1</v>
      </c>
      <c r="J59" s="6" t="n">
        <v>1</v>
      </c>
      <c r="P59">
        <f>MAX(P60)</f>
        <v/>
      </c>
      <c r="S59">
        <f>S60</f>
        <v/>
      </c>
      <c r="T59">
        <f>(E59/100000+F59/100+(P59/1000)*J59/5+S59/200)*200*I59*H59</f>
        <v/>
      </c>
      <c r="U59">
        <f>((E59*F59/25000)+((P59/1000)*J59*S59/2.5))*I59*H59</f>
        <v/>
      </c>
      <c r="V59">
        <f>(E59*F59*(P59/1000)*J59*S59*I59*H59)/12500000</f>
        <v/>
      </c>
      <c r="W59">
        <f>(T59+U59+V59)/3</f>
        <v/>
      </c>
      <c r="X59" s="6" t="n">
        <v>1000</v>
      </c>
      <c r="Y59">
        <f>IFERROR(W59-X59,"")</f>
        <v/>
      </c>
      <c r="Z59">
        <f>IFERROR(ABS(Y59)/MAX(X59,1),"")</f>
        <v/>
      </c>
      <c r="AA59">
        <f>IFERROR((X59-(((E59/100000+F59/100+S59/200)*200*I59*H59)+((E59*F59/25000)*I59*H59))/3)/(((J59/5)*200*I59*H59)+((J59*S59/2.5)*I59*H59)+((E59*F59*J59*S59*I59*H59)/12500000))/3*1000,"")</f>
        <v/>
      </c>
    </row>
    <row r="60">
      <c r="B60" s="7" t="inlineStr">
        <is>
          <t xml:space="preserve">  ↳ SquidPunch</t>
        </is>
      </c>
      <c r="C60" s="7" t="inlineStr">
        <is>
          <t>Armament@PRIMARY</t>
        </is>
      </c>
      <c r="L60" s="6" t="n">
        <v>10000</v>
      </c>
      <c r="M60" s="6" t="n">
        <v>32</v>
      </c>
      <c r="N60" s="6" t="n">
        <v>1</v>
      </c>
      <c r="O60" s="6" t="n"/>
      <c r="P60" s="6" t="n">
        <v>1880</v>
      </c>
      <c r="Q60" s="6" t="n">
        <v>1</v>
      </c>
      <c r="R60">
        <f>M60+IF(MAX(N60-1,0)&gt;0,IF(ISBLANK(O60),5*MAX(N60-1,0),IF(ISNUMBER(O60),O60*MAX(N60-1,0),SUM(IFERROR(VALUE(TEXTSPLIT(O60,",")),0)))),0)</f>
        <v/>
      </c>
      <c r="S60">
        <f>IFERROR(L60*MAX(N60,1)/R60*IF(ISBLANK(K59),1,K59),0)</f>
        <v/>
      </c>
      <c r="AB60" s="7" t="inlineStr"/>
    </row>
    <row r="61">
      <c r="B61" s="7" t="inlineStr">
        <is>
          <t xml:space="preserve">  ↳ SquidGrab</t>
        </is>
      </c>
      <c r="C61" s="7" t="inlineStr">
        <is>
          <t>Armament@SECONDARY</t>
        </is>
      </c>
      <c r="M61" s="6" t="n">
        <v>32</v>
      </c>
      <c r="N61" s="6" t="n">
        <v>1</v>
      </c>
      <c r="O61" s="6" t="n"/>
      <c r="P61" s="6" t="n">
        <v>1880</v>
      </c>
      <c r="Q61" s="6" t="n">
        <v>1</v>
      </c>
      <c r="R61">
        <f>M61+IF(MAX(N61-1,0)&gt;0,IF(ISBLANK(O61),5*MAX(N61-1,0),IF(ISNUMBER(O61),O61*MAX(N61-1,0),SUM(IFERROR(VALUE(TEXTSPLIT(O61,",")),0)))),0)</f>
        <v/>
      </c>
      <c r="S61">
        <f>IFERROR(L61*MAX(N61,1)/R61*IF(ISBLANK(K59),1,K59),0)</f>
        <v/>
      </c>
      <c r="AB61" s="7" t="inlineStr"/>
    </row>
    <row r="62">
      <c r="A62" t="inlineStr">
        <is>
          <t>shared</t>
        </is>
      </c>
      <c r="B62" t="inlineStr">
        <is>
          <t>ra2sub</t>
        </is>
      </c>
      <c r="C62" t="inlineStr">
        <is>
          <t>actor_ra2sub.name</t>
        </is>
      </c>
      <c r="D62" s="6" t="inlineStr">
        <is>
          <t>ScoutShip</t>
        </is>
      </c>
      <c r="E62" s="6" t="n">
        <v>120000</v>
      </c>
      <c r="F62" s="6" t="n">
        <v>90</v>
      </c>
      <c r="G62" t="inlineStr">
        <is>
          <t>Heavy</t>
        </is>
      </c>
      <c r="H62" s="6" t="n">
        <v>1</v>
      </c>
      <c r="I62" s="6" t="n">
        <v>1</v>
      </c>
      <c r="J62" s="6" t="n">
        <v>1</v>
      </c>
      <c r="P62">
        <f>MAX(P63,P64)</f>
        <v/>
      </c>
      <c r="S62">
        <f>S63+S64</f>
        <v/>
      </c>
      <c r="T62">
        <f>(E62/100000+F62/100+(P62/1000)*J62/5+S62/200)*200*I62*H62</f>
        <v/>
      </c>
      <c r="U62">
        <f>((E62*F62/25000)+((P62/1000)*J62*S62/2.5))*I62*H62</f>
        <v/>
      </c>
      <c r="V62">
        <f>(E62*F62*(P62/1000)*J62*S62*I62*H62)/12500000</f>
        <v/>
      </c>
      <c r="W62">
        <f>(T62+U62+V62)/3</f>
        <v/>
      </c>
      <c r="X62" s="6" t="n">
        <v>1500</v>
      </c>
      <c r="Y62">
        <f>IFERROR(W62-X62,"")</f>
        <v/>
      </c>
      <c r="Z62">
        <f>IFERROR(ABS(Y62)/MAX(X62,1),"")</f>
        <v/>
      </c>
      <c r="AA62">
        <f>IFERROR((X62-(((E62/100000+F62/100+S62/200)*200*I62*H62)+((E62*F62/25000)*I62*H62))/3)/(((J62/5)*200*I62*H62)+((J62*S62/2.5)*I62*H62)+((E62*F62*J62*S62*I62*H62)/12500000))/3*1000,"")</f>
        <v/>
      </c>
    </row>
    <row r="63">
      <c r="B63" s="7" t="inlineStr">
        <is>
          <t xml:space="preserve">  ↳ RA2TorpTube</t>
        </is>
      </c>
      <c r="C63" s="7" t="inlineStr">
        <is>
          <t>Armament@PRIMARY</t>
        </is>
      </c>
      <c r="L63" s="6" t="n">
        <v>36000</v>
      </c>
      <c r="M63" s="6" t="n">
        <v>90</v>
      </c>
      <c r="N63" s="6" t="n">
        <v>1</v>
      </c>
      <c r="O63" s="6" t="n"/>
      <c r="P63" s="6" t="n">
        <v>9000</v>
      </c>
      <c r="Q63" s="6" t="n">
        <v>1</v>
      </c>
      <c r="R63">
        <f>M63+IF(MAX(N63-1,0)&gt;0,IF(ISBLANK(O63),5*MAX(N63-1,0),IF(ISNUMBER(O63),O63*MAX(N63-1,0),SUM(IFERROR(VALUE(TEXTSPLIT(O63,",")),0)))),0)</f>
        <v/>
      </c>
      <c r="S63">
        <f>IFERROR(L63*MAX(N63,1)/R63*IF(ISBLANK(K62),1,K62),0)</f>
        <v/>
      </c>
      <c r="AB63" s="7" t="inlineStr">
        <is>
          <t>^Warhead_Demolition_Light, ^Warhead_MissileAP_Heavy</t>
        </is>
      </c>
    </row>
    <row r="64">
      <c r="B64" s="7" t="inlineStr">
        <is>
          <t xml:space="preserve">  ↳ RA2TorpTube_elite</t>
        </is>
      </c>
      <c r="C64" s="7" t="inlineStr">
        <is>
          <t>Armament@ELITE</t>
        </is>
      </c>
      <c r="L64" s="6" t="n">
        <v>36000</v>
      </c>
      <c r="M64" s="6" t="n">
        <v>90</v>
      </c>
      <c r="N64" s="6" t="n">
        <v>2</v>
      </c>
      <c r="O64" s="6" t="n">
        <v>3</v>
      </c>
      <c r="P64" s="6" t="n">
        <v>10000</v>
      </c>
      <c r="Q64" s="6" t="n">
        <v>1</v>
      </c>
      <c r="R64">
        <f>M64+IF(MAX(N64-1,0)&gt;0,IF(ISBLANK(O64),5*MAX(N64-1,0),IF(ISNUMBER(O64),O64*MAX(N64-1,0),SUM(IFERROR(VALUE(TEXTSPLIT(O64,",")),0)))),0)</f>
        <v/>
      </c>
      <c r="S64">
        <f>IFERROR(L64*MAX(N64,1)/R64*IF(ISBLANK(K62),1,K62),0)</f>
        <v/>
      </c>
      <c r="AB64" s="7" t="inlineStr">
        <is>
          <t>^Warhead_Demolition_Light, ^Warhead_MissileAP_Heavy</t>
        </is>
      </c>
    </row>
    <row r="65">
      <c r="A65" t="inlineStr">
        <is>
          <t>redalert2mod</t>
        </is>
      </c>
      <c r="B65" t="inlineStr">
        <is>
          <t>gunb.asian</t>
        </is>
      </c>
      <c r="C65" t="inlineStr">
        <is>
          <t>Asian Gun Boat</t>
        </is>
      </c>
      <c r="D65" s="6" t="inlineStr">
        <is>
          <t>ScoutShip</t>
        </is>
      </c>
      <c r="E65" s="6" t="n">
        <v>90000</v>
      </c>
      <c r="F65" s="6" t="n">
        <v>90</v>
      </c>
      <c r="G65" t="inlineStr">
        <is>
          <t>Medium</t>
        </is>
      </c>
      <c r="H65" s="6" t="n">
        <v>0.7857</v>
      </c>
      <c r="I65" s="6" t="n">
        <v>1</v>
      </c>
      <c r="J65" s="6" t="n">
        <v>1</v>
      </c>
      <c r="P65">
        <f>MAX(P66,P67,P68,P69,P70,P71)</f>
        <v/>
      </c>
      <c r="S65">
        <f>S66+S67+S68+S69+S70+S71</f>
        <v/>
      </c>
      <c r="T65">
        <f>(E65/100000+F65/100+(P65/1000)*J65/5+S65/200)*200*I65*H65</f>
        <v/>
      </c>
      <c r="U65">
        <f>((E65*F65/25000)+((P65/1000)*J65*S65/2.5))*I65*H65</f>
        <v/>
      </c>
      <c r="V65">
        <f>(E65*F65*(P65/1000)*J65*S65*I65*H65)/12500000</f>
        <v/>
      </c>
      <c r="W65">
        <f>(T65+U65+V65)/3</f>
        <v/>
      </c>
      <c r="X65" s="6" t="n">
        <v>1400</v>
      </c>
      <c r="Y65">
        <f>IFERROR(W65-X65,"")</f>
        <v/>
      </c>
      <c r="Z65">
        <f>IFERROR(ABS(Y65)/MAX(X65,1),"")</f>
        <v/>
      </c>
      <c r="AA65">
        <f>IFERROR((X65-(((E65/100000+F65/100+S65/200)*200*I65*H65)+((E65*F65/25000)*I65*H65))/3)/(((J65/5)*200*I65*H65)+((J65*S65/2.5)*I65*H65)+((E65*F65*J65*S65*I65*H65)/12500000))/3*1000,"")</f>
        <v/>
      </c>
    </row>
    <row r="66">
      <c r="B66" s="7" t="inlineStr">
        <is>
          <t xml:space="preserve">  ↳ AAGunBoatCannon</t>
        </is>
      </c>
      <c r="C66" s="7" t="inlineStr">
        <is>
          <t>Armament@PRIMARY</t>
        </is>
      </c>
      <c r="L66" s="6" t="n">
        <v>16000</v>
      </c>
      <c r="M66" s="6" t="n">
        <v>40</v>
      </c>
      <c r="N66" s="6" t="n">
        <v>1</v>
      </c>
      <c r="O66" s="6" t="n"/>
      <c r="P66" s="6" t="n">
        <v>9000</v>
      </c>
      <c r="Q66" s="6" t="n">
        <v>1.25</v>
      </c>
      <c r="R66">
        <f>M66+IF(MAX(N66-1,0)&gt;0,IF(ISBLANK(O66),5*MAX(N66-1,0),IF(ISNUMBER(O66),O66*MAX(N66-1,0),SUM(IFERROR(VALUE(TEXTSPLIT(O66,",")),0)))),0)</f>
        <v/>
      </c>
      <c r="S66">
        <f>IFERROR(L66*MAX(N66,1)/R66*IF(ISBLANK(K65),1,K65),0)</f>
        <v/>
      </c>
      <c r="AB66" s="7" t="inlineStr">
        <is>
          <t>^Warhead_CannonHE_Heavy</t>
        </is>
      </c>
    </row>
    <row r="67">
      <c r="B67" s="7" t="inlineStr">
        <is>
          <t xml:space="preserve">  ↳ AAGunBoatCannon_elite</t>
        </is>
      </c>
      <c r="C67" s="7" t="inlineStr">
        <is>
          <t>Armament@ELITE</t>
        </is>
      </c>
      <c r="L67" s="6" t="n">
        <v>16000</v>
      </c>
      <c r="M67" s="6" t="n">
        <v>40</v>
      </c>
      <c r="N67" s="6" t="n">
        <v>2</v>
      </c>
      <c r="O67" s="6" t="n">
        <v>3</v>
      </c>
      <c r="P67" s="6" t="n">
        <v>10000</v>
      </c>
      <c r="Q67" s="6" t="n">
        <v>1.25</v>
      </c>
      <c r="R67">
        <f>M67+IF(MAX(N67-1,0)&gt;0,IF(ISBLANK(O67),5*MAX(N67-1,0),IF(ISNUMBER(O67),O67*MAX(N67-1,0),SUM(IFERROR(VALUE(TEXTSPLIT(O67,",")),0)))),0)</f>
        <v/>
      </c>
      <c r="S67">
        <f>IFERROR(L67*MAX(N67,1)/R67*IF(ISBLANK(K65),1,K65),0)</f>
        <v/>
      </c>
      <c r="AB67" s="7" t="inlineStr">
        <is>
          <t>^Warhead_CannonHE_Heavy</t>
        </is>
      </c>
    </row>
    <row r="68">
      <c r="B68" s="7" t="inlineStr">
        <is>
          <t xml:space="preserve">  ↳ AAGunBoatFlak</t>
        </is>
      </c>
      <c r="C68" s="7" t="inlineStr">
        <is>
          <t>Armament@AA</t>
        </is>
      </c>
      <c r="L68" s="6" t="n">
        <v>8000</v>
      </c>
      <c r="M68" s="6" t="n">
        <v>18</v>
      </c>
      <c r="N68" s="6" t="n">
        <v>2</v>
      </c>
      <c r="O68" s="6" t="n">
        <v>3</v>
      </c>
      <c r="P68" s="6" t="n">
        <v>9000</v>
      </c>
      <c r="Q68" s="6" t="n">
        <v>1</v>
      </c>
      <c r="R68">
        <f>M68+IF(MAX(N68-1,0)&gt;0,IF(ISBLANK(O68),5*MAX(N68-1,0),IF(ISNUMBER(O68),O68*MAX(N68-1,0),SUM(IFERROR(VALUE(TEXTSPLIT(O68,",")),0)))),0)</f>
        <v/>
      </c>
      <c r="S68">
        <f>IFERROR(L68*MAX(N68,1)/R68*IF(ISBLANK(K65),1,K65),0)</f>
        <v/>
      </c>
      <c r="AB68" s="7" t="inlineStr">
        <is>
          <t>^Warhead_Flak_Medium</t>
        </is>
      </c>
    </row>
    <row r="69">
      <c r="B69" s="7" t="inlineStr">
        <is>
          <t xml:space="preserve">  ↳ AAGunBoatFlak_elite</t>
        </is>
      </c>
      <c r="C69" s="7" t="inlineStr">
        <is>
          <t>Armament@EliteAA</t>
        </is>
      </c>
      <c r="L69" s="6" t="n">
        <v>8000</v>
      </c>
      <c r="M69" s="6" t="n">
        <v>18</v>
      </c>
      <c r="N69" s="6" t="n">
        <v>4</v>
      </c>
      <c r="O69" s="6" t="n">
        <v>3</v>
      </c>
      <c r="P69" s="6" t="n">
        <v>10000</v>
      </c>
      <c r="Q69" s="6" t="n">
        <v>1</v>
      </c>
      <c r="R69">
        <f>M69+IF(MAX(N69-1,0)&gt;0,IF(ISBLANK(O69),5*MAX(N69-1,0),IF(ISNUMBER(O69),O69*MAX(N69-1,0),SUM(IFERROR(VALUE(TEXTSPLIT(O69,",")),0)))),0)</f>
        <v/>
      </c>
      <c r="S69">
        <f>IFERROR(L69*MAX(N69,1)/R69*IF(ISBLANK(K65),1,K65),0)</f>
        <v/>
      </c>
      <c r="AB69" s="7" t="inlineStr">
        <is>
          <t>^Warhead_Flak_Medium</t>
        </is>
      </c>
    </row>
    <row r="70">
      <c r="B70" s="7" t="inlineStr">
        <is>
          <t xml:space="preserve">  ↳ DepthCharge</t>
        </is>
      </c>
      <c r="C70" s="7" t="inlineStr">
        <is>
          <t>Armament@AntiSub</t>
        </is>
      </c>
      <c r="L70" s="6" t="n">
        <v>60000</v>
      </c>
      <c r="M70" s="6" t="n">
        <v>60</v>
      </c>
      <c r="N70" s="6" t="n">
        <v>1</v>
      </c>
      <c r="O70" s="6" t="n"/>
      <c r="P70" s="6" t="n">
        <v>6000</v>
      </c>
      <c r="Q70" s="6" t="n">
        <v>0.75</v>
      </c>
      <c r="R70">
        <f>M70+IF(MAX(N70-1,0)&gt;0,IF(ISBLANK(O70),5*MAX(N70-1,0),IF(ISNUMBER(O70),O70*MAX(N70-1,0),SUM(IFERROR(VALUE(TEXTSPLIT(O70,",")),0)))),0)</f>
        <v/>
      </c>
      <c r="S70">
        <f>IFERROR(L70*MAX(N70,1)/R70*IF(ISBLANK(K65),1,K65),0)</f>
        <v/>
      </c>
      <c r="AB70" s="7" t="inlineStr">
        <is>
          <t>^Warhead_Demolition_Light</t>
        </is>
      </c>
    </row>
    <row r="71">
      <c r="B71" s="7" t="inlineStr">
        <is>
          <t xml:space="preserve">  ↳ DepthCharge</t>
        </is>
      </c>
      <c r="C71" s="7" t="inlineStr">
        <is>
          <t>Armament@AntiSubElite</t>
        </is>
      </c>
      <c r="L71" s="6" t="n">
        <v>60000</v>
      </c>
      <c r="M71" s="6" t="n">
        <v>60</v>
      </c>
      <c r="N71" s="6" t="n">
        <v>1</v>
      </c>
      <c r="O71" s="6" t="n"/>
      <c r="P71" s="6" t="n">
        <v>6000</v>
      </c>
      <c r="Q71" s="6" t="n">
        <v>0.75</v>
      </c>
      <c r="R71">
        <f>M71+IF(MAX(N71-1,0)&gt;0,IF(ISBLANK(O71),5*MAX(N71-1,0),IF(ISNUMBER(O71),O71*MAX(N71-1,0),SUM(IFERROR(VALUE(TEXTSPLIT(O71,",")),0)))),0)</f>
        <v/>
      </c>
      <c r="S71">
        <f>IFERROR(L71*MAX(N71,1)/R71*IF(ISBLANK(K65),1,K65),0)</f>
        <v/>
      </c>
      <c r="AB71" s="7" t="inlineStr">
        <is>
          <t>^Warhead_Demolition_Light</t>
        </is>
      </c>
    </row>
    <row r="72">
      <c r="A72" t="inlineStr">
        <is>
          <t>redalert2mod</t>
        </is>
      </c>
      <c r="B72" t="inlineStr">
        <is>
          <t>ksub.asian</t>
        </is>
      </c>
      <c r="C72" t="inlineStr">
        <is>
          <t>Kamikaze Submarine</t>
        </is>
      </c>
      <c r="D72" s="6" t="inlineStr">
        <is>
          <t>ScoutShip</t>
        </is>
      </c>
      <c r="E72" s="6" t="n">
        <v>25000</v>
      </c>
      <c r="F72" s="6" t="n">
        <v>125</v>
      </c>
      <c r="G72" t="inlineStr">
        <is>
          <t>Medium</t>
        </is>
      </c>
      <c r="H72" s="6" t="n">
        <v>0.7857</v>
      </c>
      <c r="I72" s="6" t="n">
        <v>1</v>
      </c>
      <c r="J72" s="6" t="n">
        <v>1</v>
      </c>
      <c r="X72" s="6" t="n">
        <v>500</v>
      </c>
    </row>
    <row r="73">
      <c r="B73" s="7" t="inlineStr">
        <is>
          <t xml:space="preserve">  ↳ AsianDemoSubTargeting</t>
        </is>
      </c>
      <c r="C73" s="7" t="inlineStr">
        <is>
          <t>Armament@PRIMARY</t>
        </is>
      </c>
      <c r="M73" s="6" t="n">
        <v>1</v>
      </c>
      <c r="N73" s="6" t="n">
        <v>1</v>
      </c>
      <c r="O73" s="6" t="n"/>
      <c r="P73" s="6" t="n">
        <v>1250</v>
      </c>
      <c r="Q73" s="6" t="n">
        <v>1</v>
      </c>
      <c r="R73">
        <f>M73+IF(MAX(N73-1,0)&gt;0,IF(ISBLANK(O73),5*MAX(N73-1,0),IF(ISNUMBER(O73),O73*MAX(N73-1,0),SUM(IFERROR(VALUE(TEXTSPLIT(O73,",")),0)))),0)</f>
        <v/>
      </c>
      <c r="S73">
        <f>IFERROR(L73*MAX(N73,1)/R73*IF(ISBLANK(K72),1,K72),0)</f>
        <v/>
      </c>
      <c r="AB73" s="7" t="inlineStr"/>
    </row>
    <row r="74">
      <c r="A74" t="inlineStr">
        <is>
          <t>redalert2mod</t>
        </is>
      </c>
      <c r="B74" t="inlineStr">
        <is>
          <t>lsub.asian</t>
        </is>
      </c>
      <c r="C74" t="inlineStr">
        <is>
          <t>Leviathan</t>
        </is>
      </c>
      <c r="D74" s="6" t="inlineStr">
        <is>
          <t>ScoutShip</t>
        </is>
      </c>
      <c r="E74" s="6" t="n">
        <v>240000</v>
      </c>
      <c r="F74" s="6" t="n">
        <v>60</v>
      </c>
      <c r="G74" t="inlineStr">
        <is>
          <t>Heavy</t>
        </is>
      </c>
      <c r="H74" s="6" t="n">
        <v>0.6346000000000001</v>
      </c>
      <c r="I74" s="6" t="n">
        <v>1</v>
      </c>
      <c r="J74" s="6" t="n">
        <v>1</v>
      </c>
      <c r="P74">
        <f>MAX(P75)</f>
        <v/>
      </c>
      <c r="S74">
        <f>S75</f>
        <v/>
      </c>
      <c r="T74">
        <f>(E74/100000+F74/100+(P74/1000)*J74/5+S74/200)*200*I74*H74</f>
        <v/>
      </c>
      <c r="U74">
        <f>((E74*F74/25000)+((P74/1000)*J74*S74/2.5))*I74*H74</f>
        <v/>
      </c>
      <c r="V74">
        <f>(E74*F74*(P74/1000)*J74*S74*I74*H74)/12500000</f>
        <v/>
      </c>
      <c r="W74">
        <f>(T74+U74+V74)/3</f>
        <v/>
      </c>
      <c r="X74" s="6" t="n">
        <v>2400</v>
      </c>
      <c r="Y74">
        <f>IFERROR(W74-X74,"")</f>
        <v/>
      </c>
      <c r="Z74">
        <f>IFERROR(ABS(Y74)/MAX(X74,1),"")</f>
        <v/>
      </c>
      <c r="AA74">
        <f>IFERROR((X74-(((E74/100000+F74/100+S74/200)*200*I74*H74)+((E74*F74/25000)*I74*H74))/3)/(((J74/5)*200*I74*H74)+((J74*S74/2.5)*I74*H74)+((E74*F74*J74*S74*I74*H74)/12500000))/3*1000,"")</f>
        <v/>
      </c>
    </row>
    <row r="75">
      <c r="B75" s="7" t="inlineStr">
        <is>
          <t xml:space="preserve">  ↳ AsianSmallTorpedo</t>
        </is>
      </c>
      <c r="C75" s="7" t="inlineStr">
        <is>
          <t>Armament@Torp</t>
        </is>
      </c>
      <c r="L75" s="6" t="n">
        <v>24000</v>
      </c>
      <c r="M75" s="6" t="n">
        <v>120</v>
      </c>
      <c r="N75" s="6" t="n">
        <v>2</v>
      </c>
      <c r="O75" s="6" t="n">
        <v>8</v>
      </c>
      <c r="P75" s="6" t="n">
        <v>12000</v>
      </c>
      <c r="Q75" s="6" t="n">
        <v>1</v>
      </c>
      <c r="R75">
        <f>M75+IF(MAX(N75-1,0)&gt;0,IF(ISBLANK(O75),5*MAX(N75-1,0),IF(ISNUMBER(O75),O75*MAX(N75-1,0),SUM(IFERROR(VALUE(TEXTSPLIT(O75,",")),0)))),0)</f>
        <v/>
      </c>
      <c r="S75">
        <f>IFERROR(L75*MAX(N75,1)/R75*IF(ISBLANK(K74),1,K74),0)</f>
        <v/>
      </c>
      <c r="AB75" s="7" t="inlineStr">
        <is>
          <t>^Warhead_Demolition_Light, ^Warhead_MissileAP_Heavy</t>
        </is>
      </c>
    </row>
    <row r="76">
      <c r="A76" t="inlineStr">
        <is>
          <t>redalert2mod</t>
        </is>
      </c>
      <c r="B76" t="inlineStr">
        <is>
          <t>panth.asian</t>
        </is>
      </c>
      <c r="C76" t="inlineStr">
        <is>
          <t>Enforcer Transport</t>
        </is>
      </c>
      <c r="D76" s="6" t="inlineStr">
        <is>
          <t>ScoutShip</t>
        </is>
      </c>
      <c r="E76" s="6" t="n">
        <v>100000</v>
      </c>
      <c r="F76" s="6" t="n">
        <v>60</v>
      </c>
      <c r="G76" t="inlineStr">
        <is>
          <t>Heavy</t>
        </is>
      </c>
      <c r="H76" s="6" t="n">
        <v>0.7857</v>
      </c>
      <c r="I76" s="6" t="n">
        <v>1</v>
      </c>
      <c r="J76" s="6" t="n">
        <v>1</v>
      </c>
      <c r="P76">
        <f>MAX(P77,P78)</f>
        <v/>
      </c>
      <c r="S76">
        <f>S77+S78</f>
        <v/>
      </c>
      <c r="T76">
        <f>(E76/100000+F76/100+(P76/1000)*J76/5+S76/200)*200*I76*H76</f>
        <v/>
      </c>
      <c r="U76">
        <f>((E76*F76/25000)+((P76/1000)*J76*S76/2.5))*I76*H76</f>
        <v/>
      </c>
      <c r="V76">
        <f>(E76*F76*(P76/1000)*J76*S76*I76*H76)/12500000</f>
        <v/>
      </c>
      <c r="W76">
        <f>(T76+U76+V76)/3</f>
        <v/>
      </c>
      <c r="X76" s="6" t="n">
        <v>1000</v>
      </c>
      <c r="Y76">
        <f>IFERROR(W76-X76,"")</f>
        <v/>
      </c>
      <c r="Z76">
        <f>IFERROR(ABS(Y76)/MAX(X76,1),"")</f>
        <v/>
      </c>
      <c r="AA76">
        <f>IFERROR((X76-(((E76/100000+F76/100+S76/200)*200*I76*H76)+((E76*F76/25000)*I76*H76))/3)/(((J76/5)*200*I76*H76)+((J76*S76/2.5)*I76*H76)+((E76*F76*J76*S76*I76*H76)/12500000))/3*1000,"")</f>
        <v/>
      </c>
    </row>
    <row r="77">
      <c r="B77" s="7" t="inlineStr">
        <is>
          <t xml:space="preserve">  ↳ RA2120mm</t>
        </is>
      </c>
      <c r="C77" s="7" t="inlineStr">
        <is>
          <t>Armament</t>
        </is>
      </c>
      <c r="L77" s="6" t="n">
        <v>10000</v>
      </c>
      <c r="M77" s="6" t="n">
        <v>54</v>
      </c>
      <c r="N77" s="6" t="n">
        <v>1</v>
      </c>
      <c r="O77" s="6" t="n"/>
      <c r="P77" s="6" t="n">
        <v>5374</v>
      </c>
      <c r="Q77" s="6" t="n">
        <v>1</v>
      </c>
      <c r="R77">
        <f>M77+IF(MAX(N77-1,0)&gt;0,IF(ISBLANK(O77),5*MAX(N77-1,0),IF(ISNUMBER(O77),O77*MAX(N77-1,0),SUM(IFERROR(VALUE(TEXTSPLIT(O77,",")),0)))),0)</f>
        <v/>
      </c>
      <c r="S77">
        <f>IFERROR(L77*MAX(N77,1)/R77*IF(ISBLANK(K76),1,K76),0)</f>
        <v/>
      </c>
      <c r="AB77" s="7" t="inlineStr">
        <is>
          <t>^Warhead_CannonHE_Medium</t>
        </is>
      </c>
    </row>
    <row r="78">
      <c r="B78" s="7" t="inlineStr">
        <is>
          <t xml:space="preserve">  ↳ RA2120mm_elite</t>
        </is>
      </c>
      <c r="C78" s="7" t="inlineStr">
        <is>
          <t>Armament@elite</t>
        </is>
      </c>
      <c r="L78" s="6" t="n">
        <v>10000</v>
      </c>
      <c r="M78" s="6" t="n">
        <v>54</v>
      </c>
      <c r="N78" s="6" t="n">
        <v>2</v>
      </c>
      <c r="O78" s="6" t="n">
        <v>3</v>
      </c>
      <c r="P78" s="6" t="n">
        <v>6374</v>
      </c>
      <c r="Q78" s="6" t="n">
        <v>1</v>
      </c>
      <c r="R78">
        <f>M78+IF(MAX(N78-1,0)&gt;0,IF(ISBLANK(O78),5*MAX(N78-1,0),IF(ISNUMBER(O78),O78*MAX(N78-1,0),SUM(IFERROR(VALUE(TEXTSPLIT(O78,",")),0)))),0)</f>
        <v/>
      </c>
      <c r="S78">
        <f>IFERROR(L78*MAX(N78,1)/R78*IF(ISBLANK(K76),1,K76),0)</f>
        <v/>
      </c>
      <c r="AB78" s="7" t="inlineStr">
        <is>
          <t>^Warhead_CannonHE_Medium</t>
        </is>
      </c>
    </row>
    <row r="79">
      <c r="A79" t="inlineStr">
        <is>
          <t>redalert2mod</t>
        </is>
      </c>
      <c r="B79" t="inlineStr">
        <is>
          <t>rammax.latin</t>
        </is>
      </c>
      <c r="C79" t="inlineStr">
        <is>
          <t>Rammax Drone</t>
        </is>
      </c>
      <c r="D79" s="6" t="inlineStr">
        <is>
          <t>ScoutShip</t>
        </is>
      </c>
      <c r="E79" s="6" t="n">
        <v>47500</v>
      </c>
      <c r="F79" s="6" t="n">
        <v>125</v>
      </c>
      <c r="G79" t="inlineStr">
        <is>
          <t>Medium</t>
        </is>
      </c>
      <c r="H79" s="6" t="n">
        <v>0.9429</v>
      </c>
      <c r="I79" s="6" t="n">
        <v>1</v>
      </c>
      <c r="J79" s="6" t="n">
        <v>1</v>
      </c>
      <c r="P79">
        <f>MAX(P80,P81)</f>
        <v/>
      </c>
      <c r="S79">
        <f>S80+S81</f>
        <v/>
      </c>
      <c r="T79">
        <f>(E79/100000+F79/100+(P79/1000)*J79/5+S79/200)*200*I79*H79</f>
        <v/>
      </c>
      <c r="U79">
        <f>((E79*F79/25000)+((P79/1000)*J79*S79/2.5))*I79*H79</f>
        <v/>
      </c>
      <c r="V79">
        <f>(E79*F79*(P79/1000)*J79*S79*I79*H79)/12500000</f>
        <v/>
      </c>
      <c r="W79">
        <f>(T79+U79+V79)/3</f>
        <v/>
      </c>
      <c r="X79" s="6" t="n">
        <v>800</v>
      </c>
      <c r="Y79">
        <f>IFERROR(W79-X79,"")</f>
        <v/>
      </c>
      <c r="Z79">
        <f>IFERROR(ABS(Y79)/MAX(X79,1),"")</f>
        <v/>
      </c>
      <c r="AA79">
        <f>IFERROR((X79-(((E79/100000+F79/100+S79/200)*200*I79*H79)+((E79*F79/25000)*I79*H79))/3)/(((J79/5)*200*I79*H79)+((J79*S79/2.5)*I79*H79)+((E79*F79*J79*S79*I79*H79)/12500000))/3*1000,"")</f>
        <v/>
      </c>
    </row>
    <row r="80">
      <c r="B80" s="7" t="inlineStr">
        <is>
          <t xml:space="preserve">  ↳ Rammax_Sabot</t>
        </is>
      </c>
      <c r="C80" s="7" t="inlineStr">
        <is>
          <t>Armament@PRIMARY</t>
        </is>
      </c>
      <c r="L80" s="6" t="n">
        <v>14000</v>
      </c>
      <c r="M80" s="6" t="n">
        <v>15</v>
      </c>
      <c r="N80" s="6" t="n">
        <v>1</v>
      </c>
      <c r="O80" s="6" t="n"/>
      <c r="P80" s="6" t="n">
        <v>3072</v>
      </c>
      <c r="Q80" s="6" t="n">
        <v>1</v>
      </c>
      <c r="R80">
        <f>M80+IF(MAX(N80-1,0)&gt;0,IF(ISBLANK(O80),5*MAX(N80-1,0),IF(ISNUMBER(O80),O80*MAX(N80-1,0),SUM(IFERROR(VALUE(TEXTSPLIT(O80,",")),0)))),0)</f>
        <v/>
      </c>
      <c r="S80">
        <f>IFERROR(L80*MAX(N80,1)/R80*IF(ISBLANK(K79),1,K79),0)</f>
        <v/>
      </c>
      <c r="AB80" s="7" t="inlineStr">
        <is>
          <t>^Chaingun, ^LaserWeapon, ^TeslaWeapon, ^TSLaserEffect</t>
        </is>
      </c>
    </row>
    <row r="81">
      <c r="B81" s="7" t="inlineStr">
        <is>
          <t xml:space="preserve">  ↳ Rammax_Sabot</t>
        </is>
      </c>
      <c r="C81" s="7" t="inlineStr">
        <is>
          <t>Armament@ELITE</t>
        </is>
      </c>
      <c r="L81" s="6" t="n">
        <v>14000</v>
      </c>
      <c r="M81" s="6" t="n">
        <v>15</v>
      </c>
      <c r="N81" s="6" t="n">
        <v>1</v>
      </c>
      <c r="O81" s="6" t="n"/>
      <c r="P81" s="6" t="n">
        <v>3072</v>
      </c>
      <c r="Q81" s="6" t="n">
        <v>1</v>
      </c>
      <c r="R81">
        <f>M81+IF(MAX(N81-1,0)&gt;0,IF(ISBLANK(O81),5*MAX(N81-1,0),IF(ISNUMBER(O81),O81*MAX(N81-1,0),SUM(IFERROR(VALUE(TEXTSPLIT(O81,",")),0)))),0)</f>
        <v/>
      </c>
      <c r="S81">
        <f>IFERROR(L81*MAX(N81,1)/R81*IF(ISBLANK(K79),1,K79),0)</f>
        <v/>
      </c>
      <c r="AB81" s="7" t="inlineStr">
        <is>
          <t>^Chaingun, ^LaserWeapon, ^TeslaWeapon, ^TSLaserEffect</t>
        </is>
      </c>
    </row>
    <row r="82">
      <c r="A82" t="inlineStr">
        <is>
          <t>redalert2mod</t>
        </is>
      </c>
      <c r="B82" t="inlineStr">
        <is>
          <t>sub.latin</t>
        </is>
      </c>
      <c r="C82" t="inlineStr">
        <is>
          <t>Akula</t>
        </is>
      </c>
      <c r="D82" s="6" t="inlineStr">
        <is>
          <t>ScoutShip</t>
        </is>
      </c>
      <c r="E82" s="6" t="n">
        <v>240000</v>
      </c>
      <c r="F82" s="6" t="n">
        <v>55</v>
      </c>
      <c r="G82" t="inlineStr">
        <is>
          <t>Heavy</t>
        </is>
      </c>
      <c r="H82" s="6" t="n">
        <v>0.4286</v>
      </c>
      <c r="I82" s="6" t="n">
        <v>1</v>
      </c>
      <c r="J82" s="6" t="n">
        <v>1</v>
      </c>
      <c r="K82" t="n">
        <v>0.02</v>
      </c>
      <c r="P82">
        <f>MAX(P83)</f>
        <v/>
      </c>
      <c r="S82">
        <f>S83</f>
        <v/>
      </c>
      <c r="T82">
        <f>(E82/100000+F82/100+(P82/1000)*J82/5+S82/200)*200*I82*H82</f>
        <v/>
      </c>
      <c r="U82">
        <f>((E82*F82/25000)+((P82/1000)*J82*S82/2.5))*I82*H82</f>
        <v/>
      </c>
      <c r="V82">
        <f>(E82*F82*(P82/1000)*J82*S82*I82*H82)/12500000</f>
        <v/>
      </c>
      <c r="W82">
        <f>(T82+U82+V82)/3</f>
        <v/>
      </c>
      <c r="X82" s="6" t="n">
        <v>3600</v>
      </c>
      <c r="Y82">
        <f>IFERROR(W82-X82,"")</f>
        <v/>
      </c>
      <c r="Z82">
        <f>IFERROR(ABS(Y82)/MAX(X82,1),"")</f>
        <v/>
      </c>
      <c r="AA82">
        <f>IFERROR((X82-(((E82/100000+F82/100+S82/200)*200*I82*H82)+((E82*F82/25000)*I82*H82))/3)/(((J82/5)*200*I82*H82)+((J82*S82/2.5)*I82*H82)+((E82*F82*J82*S82*I82*H82)/12500000))/3*1000,"")</f>
        <v/>
      </c>
    </row>
    <row r="83">
      <c r="B83" s="7" t="inlineStr">
        <is>
          <t xml:space="preserve">  ↳ RA2AkulaRockets</t>
        </is>
      </c>
      <c r="C83" s="7" t="inlineStr">
        <is>
          <t>Armament@ARTILLERY</t>
        </is>
      </c>
      <c r="L83" s="6" t="n">
        <v>24000</v>
      </c>
      <c r="M83" s="6" t="n">
        <v>500</v>
      </c>
      <c r="N83" s="6" t="n">
        <v>8</v>
      </c>
      <c r="O83" s="6" t="n">
        <v>15</v>
      </c>
      <c r="P83" s="6" t="n">
        <v>24000</v>
      </c>
      <c r="Q83" s="6" t="n">
        <v>1</v>
      </c>
      <c r="R83">
        <f>M83+IF(MAX(N83-1,0)&gt;0,IF(ISBLANK(O83),5*MAX(N83-1,0),IF(ISNUMBER(O83),O83*MAX(N83-1,0),SUM(IFERROR(VALUE(TEXTSPLIT(O83,",")),0)))),0)</f>
        <v/>
      </c>
      <c r="S83">
        <f>IFERROR(L83*MAX(N83,1)/R83*IF(ISBLANK(K82),1,K82),0)</f>
        <v/>
      </c>
      <c r="AB83" s="7" t="inlineStr">
        <is>
          <t>^Warhead_Demolition_Heavy, ^Warhead_Demolition_Light, ^Warhead_MissileAP_Medium</t>
        </is>
      </c>
    </row>
    <row r="84">
      <c r="A84" t="inlineStr">
        <is>
          <t>redalert2mod</t>
        </is>
      </c>
      <c r="B84" t="inlineStr">
        <is>
          <t>tuboat.nax</t>
        </is>
      </c>
      <c r="C84" t="inlineStr">
        <is>
          <t>Torpedo U boat</t>
        </is>
      </c>
      <c r="D84" s="6" t="inlineStr">
        <is>
          <t>ScoutShip</t>
        </is>
      </c>
      <c r="E84" s="6" t="n">
        <v>120000</v>
      </c>
      <c r="F84" s="6" t="n">
        <v>78</v>
      </c>
      <c r="G84" t="inlineStr">
        <is>
          <t>Heavy</t>
        </is>
      </c>
      <c r="H84" s="6" t="n">
        <v>0.9649</v>
      </c>
      <c r="I84" s="6" t="n">
        <v>1</v>
      </c>
      <c r="J84" s="6" t="n">
        <v>1</v>
      </c>
      <c r="P84">
        <f>MAX(P85)</f>
        <v/>
      </c>
      <c r="S84">
        <f>S85</f>
        <v/>
      </c>
      <c r="T84">
        <f>(E84/100000+F84/100+(P84/1000)*J84/5+S84/200)*200*I84*H84</f>
        <v/>
      </c>
      <c r="U84">
        <f>((E84*F84/25000)+((P84/1000)*J84*S84/2.5))*I84*H84</f>
        <v/>
      </c>
      <c r="V84">
        <f>(E84*F84*(P84/1000)*J84*S84*I84*H84)/12500000</f>
        <v/>
      </c>
      <c r="W84">
        <f>(T84+U84+V84)/3</f>
        <v/>
      </c>
      <c r="X84" s="6" t="n">
        <v>1200</v>
      </c>
      <c r="Y84">
        <f>IFERROR(W84-X84,"")</f>
        <v/>
      </c>
      <c r="Z84">
        <f>IFERROR(ABS(Y84)/MAX(X84,1),"")</f>
        <v/>
      </c>
      <c r="AA84">
        <f>IFERROR((X84-(((E84/100000+F84/100+S84/200)*200*I84*H84)+((E84*F84/25000)*I84*H84))/3)/(((J84/5)*200*I84*H84)+((J84*S84/2.5)*I84*H84)+((E84*F84*J84*S84*I84*H84)/12500000))/3*1000,"")</f>
        <v/>
      </c>
    </row>
    <row r="85">
      <c r="B85" s="7" t="inlineStr">
        <is>
          <t xml:space="preserve">  ↳ AsianSmallTorpedo</t>
        </is>
      </c>
      <c r="C85" s="7" t="inlineStr">
        <is>
          <t>Armament@Torp</t>
        </is>
      </c>
      <c r="L85" s="6" t="n">
        <v>24000</v>
      </c>
      <c r="M85" s="6" t="n">
        <v>120</v>
      </c>
      <c r="N85" s="6" t="n">
        <v>2</v>
      </c>
      <c r="O85" s="6" t="n">
        <v>8</v>
      </c>
      <c r="P85" s="6" t="n">
        <v>12000</v>
      </c>
      <c r="Q85" s="6" t="n">
        <v>1</v>
      </c>
      <c r="R85">
        <f>M85+IF(MAX(N85-1,0)&gt;0,IF(ISBLANK(O85),5*MAX(N85-1,0),IF(ISNUMBER(O85),O85*MAX(N85-1,0),SUM(IFERROR(VALUE(TEXTSPLIT(O85,",")),0)))),0)</f>
        <v/>
      </c>
      <c r="S85">
        <f>IFERROR(L85*MAX(N85,1)/R85*IF(ISBLANK(K84),1,K84),0)</f>
        <v/>
      </c>
      <c r="AB85" s="7" t="inlineStr">
        <is>
          <t>^Warhead_Demolition_Light, ^Warhead_MissileAP_Heavy</t>
        </is>
      </c>
    </row>
    <row r="86">
      <c r="A86" s="4" t="inlineStr">
        <is>
          <t>BattleShip</t>
        </is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</row>
    <row r="87">
      <c r="A87" t="inlineStr">
        <is>
          <t>tiberiandawn</t>
        </is>
      </c>
      <c r="B87" t="inlineStr">
        <is>
          <t>CNCCA</t>
        </is>
      </c>
      <c r="C87" t="inlineStr">
        <is>
          <t>Railgun Battleship</t>
        </is>
      </c>
      <c r="D87" s="6" t="inlineStr">
        <is>
          <t>BattleShip</t>
        </is>
      </c>
      <c r="E87" s="6" t="n">
        <v>167500</v>
      </c>
      <c r="F87" s="6" t="n">
        <v>50</v>
      </c>
      <c r="G87" t="inlineStr">
        <is>
          <t>Superheavy</t>
        </is>
      </c>
      <c r="H87" s="6" t="n">
        <v>0.6471</v>
      </c>
      <c r="I87" s="6" t="n">
        <v>1</v>
      </c>
      <c r="J87" s="6" t="n">
        <v>1</v>
      </c>
      <c r="P87">
        <f>MAX(P88,P89)</f>
        <v/>
      </c>
      <c r="S87">
        <f>S88+S89</f>
        <v/>
      </c>
      <c r="T87">
        <f>(E87/100000+F87/100+(P87/1000)*J87/5+S87/200)*200*I87*H87</f>
        <v/>
      </c>
      <c r="U87">
        <f>((E87*F87/25000)+((P87/1000)*J87*S87/2.5))*I87*H87</f>
        <v/>
      </c>
      <c r="V87">
        <f>(E87*F87*(P87/1000)*J87*S87*I87*H87)/12500000</f>
        <v/>
      </c>
      <c r="W87">
        <f>(T87+U87+V87)/3</f>
        <v/>
      </c>
      <c r="X87" s="6" t="n">
        <v>2600</v>
      </c>
      <c r="Y87">
        <f>IFERROR(W87-X87,"")</f>
        <v/>
      </c>
      <c r="Z87">
        <f>IFERROR(ABS(Y87)/MAX(X87,1),"")</f>
        <v/>
      </c>
      <c r="AA87">
        <f>IFERROR((X87-(((E87/100000+F87/100+S87/200)*200*I87*H87)+((E87*F87/25000)*I87*H87))/3)/(((J87/5)*200*I87*H87)+((J87*S87/2.5)*I87*H87)+((E87*F87*J87*S87*I87*H87)/12500000))/3*1000,"")</f>
        <v/>
      </c>
    </row>
    <row r="88">
      <c r="B88" s="7" t="inlineStr">
        <is>
          <t xml:space="preserve">  ↳ GDIBattleshipRailgun</t>
        </is>
      </c>
      <c r="C88" s="7" t="inlineStr">
        <is>
          <t>Armament@PRIMARY</t>
        </is>
      </c>
      <c r="L88" s="6" t="n">
        <v>50000</v>
      </c>
      <c r="M88" s="6" t="n">
        <v>100</v>
      </c>
      <c r="N88" s="6" t="n">
        <v>1</v>
      </c>
      <c r="O88" s="6" t="n"/>
      <c r="P88" s="6" t="n">
        <v>10000</v>
      </c>
      <c r="Q88" s="6" t="n">
        <v>1.25</v>
      </c>
      <c r="R88">
        <f>M88+IF(MAX(N88-1,0)&gt;0,IF(ISBLANK(O88),5*MAX(N88-1,0),IF(ISNUMBER(O88),O88*MAX(N88-1,0),SUM(IFERROR(VALUE(TEXTSPLIT(O88,",")),0)))),0)</f>
        <v/>
      </c>
      <c r="S88">
        <f>IFERROR(L88*MAX(N88,1)/R88*IF(ISBLANK(K87),1,K87),0)</f>
        <v/>
      </c>
      <c r="AB88" s="7" t="inlineStr">
        <is>
          <t>^Warhead_Railgun_Heavy</t>
        </is>
      </c>
    </row>
    <row r="89">
      <c r="B89" s="7" t="inlineStr">
        <is>
          <t xml:space="preserve">  ↳ GDIBattleshipRailgun</t>
        </is>
      </c>
      <c r="C89" s="7" t="inlineStr">
        <is>
          <t>Armament@SECONDARY</t>
        </is>
      </c>
      <c r="L89" s="6" t="n">
        <v>50000</v>
      </c>
      <c r="M89" s="6" t="n">
        <v>100</v>
      </c>
      <c r="N89" s="6" t="n">
        <v>1</v>
      </c>
      <c r="O89" s="6" t="n"/>
      <c r="P89" s="6" t="n">
        <v>10000</v>
      </c>
      <c r="Q89" s="6" t="n">
        <v>1.25</v>
      </c>
      <c r="R89">
        <f>M89+IF(MAX(N89-1,0)&gt;0,IF(ISBLANK(O89),5*MAX(N89-1,0),IF(ISNUMBER(O89),O89*MAX(N89-1,0),SUM(IFERROR(VALUE(TEXTSPLIT(O89,",")),0)))),0)</f>
        <v/>
      </c>
      <c r="S89">
        <f>IFERROR(L89*MAX(N89,1)/R89*IF(ISBLANK(K87),1,K87),0)</f>
        <v/>
      </c>
      <c r="AB89" s="7" t="inlineStr">
        <is>
          <t>^Warhead_Railgun_Heavy</t>
        </is>
      </c>
    </row>
    <row r="90">
      <c r="A90" t="inlineStr">
        <is>
          <t>tiberiandawn</t>
        </is>
      </c>
      <c r="B90" t="inlineStr">
        <is>
          <t>nodlasercorvette</t>
        </is>
      </c>
      <c r="C90" t="inlineStr">
        <is>
          <t>Nod Laser Corvette</t>
        </is>
      </c>
      <c r="D90" s="6" t="inlineStr">
        <is>
          <t>BattleShip</t>
        </is>
      </c>
      <c r="E90" s="6" t="n">
        <v>150000</v>
      </c>
      <c r="F90" s="6" t="n">
        <v>60</v>
      </c>
      <c r="G90" t="inlineStr">
        <is>
          <t>Medium</t>
        </is>
      </c>
      <c r="H90" s="6" t="n">
        <v>0.4015</v>
      </c>
      <c r="I90" s="6" t="n">
        <v>1</v>
      </c>
      <c r="J90" s="6" t="n">
        <v>1</v>
      </c>
      <c r="P90">
        <f>MAX(P91,P92)</f>
        <v/>
      </c>
      <c r="S90">
        <f>S91+S92</f>
        <v/>
      </c>
      <c r="T90">
        <f>(E90/100000+F90/100+(P90/1000)*J90/5+S90/200)*200*I90*H90</f>
        <v/>
      </c>
      <c r="U90">
        <f>((E90*F90/25000)+((P90/1000)*J90*S90/2.5))*I90*H90</f>
        <v/>
      </c>
      <c r="V90">
        <f>(E90*F90*(P90/1000)*J90*S90*I90*H90)/12500000</f>
        <v/>
      </c>
      <c r="W90">
        <f>(T90+U90+V90)/3</f>
        <v/>
      </c>
      <c r="X90" s="6" t="n">
        <v>2300</v>
      </c>
      <c r="Y90">
        <f>IFERROR(W90-X90,"")</f>
        <v/>
      </c>
      <c r="Z90">
        <f>IFERROR(ABS(Y90)/MAX(X90,1),"")</f>
        <v/>
      </c>
      <c r="AA90">
        <f>IFERROR((X90-(((E90/100000+F90/100+S90/200)*200*I90*H90)+((E90*F90/25000)*I90*H90))/3)/(((J90/5)*200*I90*H90)+((J90*S90/2.5)*I90*H90)+((E90*F90*J90*S90*I90*H90)/12500000))/3*1000,"")</f>
        <v/>
      </c>
    </row>
    <row r="91">
      <c r="B91" s="7" t="inlineStr">
        <is>
          <t xml:space="preserve">  ↳ CorvetteLaserObelisk</t>
        </is>
      </c>
      <c r="C91" s="7" t="inlineStr">
        <is>
          <t>Armament@PRIMARY</t>
        </is>
      </c>
      <c r="L91" s="6" t="n">
        <v>120000</v>
      </c>
      <c r="M91" s="6" t="n">
        <v>90</v>
      </c>
      <c r="N91" s="6" t="n">
        <v>1</v>
      </c>
      <c r="O91" s="6" t="n"/>
      <c r="P91" s="6" t="n">
        <v>9550</v>
      </c>
      <c r="Q91" s="6" t="n">
        <v>1.25</v>
      </c>
      <c r="R91">
        <f>M91+IF(MAX(N91-1,0)&gt;0,IF(ISBLANK(O91),5*MAX(N91-1,0),IF(ISNUMBER(O91),O91*MAX(N91-1,0),SUM(IFERROR(VALUE(TEXTSPLIT(O91,",")),0)))),0)</f>
        <v/>
      </c>
      <c r="S91">
        <f>IFERROR(L91*MAX(N91,1)/R91*IF(ISBLANK(K90),1,K90),0)</f>
        <v/>
      </c>
      <c r="AB91" s="7" t="inlineStr">
        <is>
          <t>^Warhead_Laser_Heavy</t>
        </is>
      </c>
    </row>
    <row r="92">
      <c r="B92" s="7" t="inlineStr">
        <is>
          <t xml:space="preserve">  ↳ CorvetteDragon</t>
        </is>
      </c>
      <c r="C92" s="7" t="inlineStr">
        <is>
          <t>Armament@SECONDARY</t>
        </is>
      </c>
      <c r="L92" s="6" t="n">
        <v>10000</v>
      </c>
      <c r="M92" s="6" t="n">
        <v>35</v>
      </c>
      <c r="N92" s="6" t="n">
        <v>2</v>
      </c>
      <c r="O92" s="6" t="n">
        <v>7</v>
      </c>
      <c r="P92" s="6" t="n">
        <v>9550</v>
      </c>
      <c r="Q92" s="6" t="n">
        <v>1.25</v>
      </c>
      <c r="R92">
        <f>M92+IF(MAX(N92-1,0)&gt;0,IF(ISBLANK(O92),5*MAX(N92-1,0),IF(ISNUMBER(O92),O92*MAX(N92-1,0),SUM(IFERROR(VALUE(TEXTSPLIT(O92,",")),0)))),0)</f>
        <v/>
      </c>
      <c r="S92">
        <f>IFERROR(L92*MAX(N92,1)/R92*IF(ISBLANK(K90),1,K90),0)</f>
        <v/>
      </c>
      <c r="AB92" s="7" t="inlineStr">
        <is>
          <t>^Warhead_MissileAP_Heavy</t>
        </is>
      </c>
    </row>
    <row r="93">
      <c r="A93" t="inlineStr">
        <is>
          <t>shared</t>
        </is>
      </c>
      <c r="B93" t="inlineStr">
        <is>
          <t>japan_yamatobattleship</t>
        </is>
      </c>
      <c r="C93" t="inlineStr">
        <is>
          <t>Yamato Battleship</t>
        </is>
      </c>
      <c r="D93" s="6" t="inlineStr">
        <is>
          <t>BattleShip</t>
        </is>
      </c>
      <c r="E93" s="6" t="n">
        <v>250000</v>
      </c>
      <c r="F93" s="6" t="n">
        <v>35</v>
      </c>
      <c r="G93" t="inlineStr">
        <is>
          <t>Superheavy</t>
        </is>
      </c>
      <c r="H93" s="6" t="n">
        <v>1</v>
      </c>
      <c r="I93" s="6" t="n">
        <v>1</v>
      </c>
      <c r="J93" s="6" t="n">
        <v>1</v>
      </c>
      <c r="P93">
        <f>MAX(P94,P95,P96)</f>
        <v/>
      </c>
      <c r="S93">
        <f>S94+S95+S96</f>
        <v/>
      </c>
      <c r="T93">
        <f>(E93/100000+F93/100+(P93/1000)*J93/5+S93/200)*200*I93*H93</f>
        <v/>
      </c>
      <c r="U93">
        <f>((E93*F93/25000)+((P93/1000)*J93*S93/2.5))*I93*H93</f>
        <v/>
      </c>
      <c r="V93">
        <f>(E93*F93*(P93/1000)*J93*S93*I93*H93)/12500000</f>
        <v/>
      </c>
      <c r="W93">
        <f>(T93+U93+V93)/3</f>
        <v/>
      </c>
      <c r="X93" s="6" t="n">
        <v>2200</v>
      </c>
      <c r="Y93">
        <f>IFERROR(W93-X93,"")</f>
        <v/>
      </c>
      <c r="Z93">
        <f>IFERROR(ABS(Y93)/MAX(X93,1),"")</f>
        <v/>
      </c>
      <c r="AA93">
        <f>IFERROR((X93-(((E93/100000+F93/100+S93/200)*200*I93*H93)+((E93*F93/25000)*I93*H93))/3)/(((J93/5)*200*I93*H93)+((J93*S93/2.5)*I93*H93)+((E93*F93*J93*S93*I93*H93)/12500000))/3*1000,"")</f>
        <v/>
      </c>
    </row>
    <row r="94">
      <c r="B94" s="7" t="inlineStr">
        <is>
          <t xml:space="preserve">  ↳ YamatoCannon</t>
        </is>
      </c>
      <c r="C94" s="7" t="inlineStr">
        <is>
          <t>Armament@PRIMARY</t>
        </is>
      </c>
      <c r="L94" s="6" t="n">
        <v>40000</v>
      </c>
      <c r="M94" s="6" t="n">
        <v>125</v>
      </c>
      <c r="N94" s="6" t="n">
        <v>2</v>
      </c>
      <c r="O94" s="6" t="n"/>
      <c r="P94" s="6" t="n">
        <v>12500</v>
      </c>
      <c r="Q94" s="6" t="n">
        <v>1.25</v>
      </c>
      <c r="R94">
        <f>M94+IF(MAX(N94-1,0)&gt;0,IF(ISBLANK(O94),5*MAX(N94-1,0),IF(ISNUMBER(O94),O94*MAX(N94-1,0),SUM(IFERROR(VALUE(TEXTSPLIT(O94,",")),0)))),0)</f>
        <v/>
      </c>
      <c r="S94">
        <f>IFERROR(L94*MAX(N94,1)/R94*IF(ISBLANK(K93),1,K93),0)</f>
        <v/>
      </c>
      <c r="AB94" s="7" t="inlineStr">
        <is>
          <t>^Warhead_Demolition_Heavy, ^Warhead_CannonHE_Heavy</t>
        </is>
      </c>
    </row>
    <row r="95">
      <c r="B95" s="7" t="inlineStr">
        <is>
          <t xml:space="preserve">  ↳ YamatoCannon</t>
        </is>
      </c>
      <c r="C95" s="7" t="inlineStr">
        <is>
          <t>Armament@SECONDARY</t>
        </is>
      </c>
      <c r="L95" s="6" t="n">
        <v>40000</v>
      </c>
      <c r="M95" s="6" t="n">
        <v>125</v>
      </c>
      <c r="N95" s="6" t="n">
        <v>2</v>
      </c>
      <c r="O95" s="6" t="n"/>
      <c r="P95" s="6" t="n">
        <v>12500</v>
      </c>
      <c r="Q95" s="6" t="n">
        <v>1.25</v>
      </c>
      <c r="R95">
        <f>M95+IF(MAX(N95-1,0)&gt;0,IF(ISBLANK(O95),5*MAX(N95-1,0),IF(ISNUMBER(O95),O95*MAX(N95-1,0),SUM(IFERROR(VALUE(TEXTSPLIT(O95,",")),0)))),0)</f>
        <v/>
      </c>
      <c r="S95">
        <f>IFERROR(L95*MAX(N95,1)/R95*IF(ISBLANK(K93),1,K93),0)</f>
        <v/>
      </c>
      <c r="AB95" s="7" t="inlineStr">
        <is>
          <t>^Warhead_Demolition_Heavy, ^Warhead_CannonHE_Heavy</t>
        </is>
      </c>
    </row>
    <row r="96">
      <c r="B96" s="7" t="inlineStr">
        <is>
          <t xml:space="preserve">  ↳ YamatoFlak</t>
        </is>
      </c>
      <c r="C96" s="7" t="inlineStr">
        <is>
          <t>Armament@AA</t>
        </is>
      </c>
      <c r="L96" s="6" t="n">
        <v>2000</v>
      </c>
      <c r="M96" s="6" t="n">
        <v>4</v>
      </c>
      <c r="N96" s="6" t="n">
        <v>1</v>
      </c>
      <c r="O96" s="6" t="n"/>
      <c r="P96" s="6" t="n">
        <v>12500</v>
      </c>
      <c r="Q96" s="6" t="n">
        <v>1</v>
      </c>
      <c r="R96">
        <f>M96+IF(MAX(N96-1,0)&gt;0,IF(ISBLANK(O96),5*MAX(N96-1,0),IF(ISNUMBER(O96),O96*MAX(N96-1,0),SUM(IFERROR(VALUE(TEXTSPLIT(O96,",")),0)))),0)</f>
        <v/>
      </c>
      <c r="S96">
        <f>IFERROR(L96*MAX(N96,1)/R96*IF(ISBLANK(K93),1,K93),0)</f>
        <v/>
      </c>
      <c r="AB96" s="7" t="inlineStr">
        <is>
          <t>^Warhead_Flak_Medium</t>
        </is>
      </c>
    </row>
    <row r="97">
      <c r="A97" t="inlineStr">
        <is>
          <t>shared</t>
        </is>
      </c>
      <c r="B97" t="inlineStr">
        <is>
          <t>ra1_allies_destroyer</t>
        </is>
      </c>
      <c r="C97" t="inlineStr">
        <is>
          <t>Destroyer</t>
        </is>
      </c>
      <c r="D97" s="6" t="inlineStr">
        <is>
          <t>BattleShip</t>
        </is>
      </c>
      <c r="E97" s="6" t="n">
        <v>125000</v>
      </c>
      <c r="F97" s="6" t="n">
        <v>85</v>
      </c>
      <c r="G97" t="inlineStr">
        <is>
          <t>Heavy</t>
        </is>
      </c>
      <c r="H97" s="6" t="n">
        <v>1</v>
      </c>
      <c r="I97" s="6" t="n">
        <v>1</v>
      </c>
      <c r="J97" s="6" t="n">
        <v>1</v>
      </c>
      <c r="P97">
        <f>MAX(P98,P99,P100,P101,P102,P103)</f>
        <v/>
      </c>
      <c r="S97">
        <f>S98+S99+S100+S101+S102+S103</f>
        <v/>
      </c>
      <c r="T97">
        <f>(E97/100000+F97/100+(P97/1000)*J97/5+S97/200)*200*I97*H97</f>
        <v/>
      </c>
      <c r="U97">
        <f>((E97*F97/25000)+((P97/1000)*J97*S97/2.5))*I97*H97</f>
        <v/>
      </c>
      <c r="V97">
        <f>(E97*F97*(P97/1000)*J97*S97*I97*H97)/12500000</f>
        <v/>
      </c>
      <c r="W97">
        <f>(T97+U97+V97)/3</f>
        <v/>
      </c>
      <c r="X97" s="6" t="n">
        <v>1600</v>
      </c>
      <c r="Y97">
        <f>IFERROR(W97-X97,"")</f>
        <v/>
      </c>
      <c r="Z97">
        <f>IFERROR(ABS(Y97)/MAX(X97,1),"")</f>
        <v/>
      </c>
      <c r="AA97">
        <f>IFERROR((X97-(((E97/100000+F97/100+S97/200)*200*I97*H97)+((E97*F97/25000)*I97*H97))/3)/(((J97/5)*200*I97*H97)+((J97*S97/2.5)*I97*H97)+((E97*F97*J97*S97*I97*H97)/12500000))/3*1000,"")</f>
        <v/>
      </c>
    </row>
    <row r="98">
      <c r="B98" s="7" t="inlineStr">
        <is>
          <t xml:space="preserve">  ↳ Stinger</t>
        </is>
      </c>
      <c r="C98" s="7" t="inlineStr">
        <is>
          <t>Armament</t>
        </is>
      </c>
      <c r="L98" s="6" t="n">
        <v>10000</v>
      </c>
      <c r="M98" s="6" t="n">
        <v>27</v>
      </c>
      <c r="N98" s="6" t="n">
        <v>2</v>
      </c>
      <c r="O98" s="6" t="n">
        <v>7</v>
      </c>
      <c r="P98" s="6" t="n">
        <v>8000</v>
      </c>
      <c r="Q98" s="6" t="n">
        <v>1.25</v>
      </c>
      <c r="R98">
        <f>M98+IF(MAX(N98-1,0)&gt;0,IF(ISBLANK(O98),5*MAX(N98-1,0),IF(ISNUMBER(O98),O98*MAX(N98-1,0),SUM(IFERROR(VALUE(TEXTSPLIT(O98,",")),0)))),0)</f>
        <v/>
      </c>
      <c r="S98">
        <f>IFERROR(L98*MAX(N98,1)/R98*IF(ISBLANK(K97),1,K97),0)</f>
        <v/>
      </c>
      <c r="AB98" s="7" t="inlineStr">
        <is>
          <t>^Warhead_MissileAP_Heavy</t>
        </is>
      </c>
    </row>
    <row r="99">
      <c r="B99" s="7" t="inlineStr">
        <is>
          <t xml:space="preserve">  ↳ StingerCryo</t>
        </is>
      </c>
      <c r="C99" s="7" t="inlineStr">
        <is>
          <t>Armament@Upgrade</t>
        </is>
      </c>
      <c r="L99" s="6" t="n">
        <v>10000</v>
      </c>
      <c r="M99" s="6" t="n">
        <v>27</v>
      </c>
      <c r="N99" s="6" t="n">
        <v>2</v>
      </c>
      <c r="O99" s="6" t="n">
        <v>7</v>
      </c>
      <c r="P99" s="6" t="n">
        <v>8000</v>
      </c>
      <c r="Q99" s="6" t="n">
        <v>1.25</v>
      </c>
      <c r="R99">
        <f>M99+IF(MAX(N99-1,0)&gt;0,IF(ISBLANK(O99),5*MAX(N99-1,0),IF(ISNUMBER(O99),O99*MAX(N99-1,0),SUM(IFERROR(VALUE(TEXTSPLIT(O99,",")),0)))),0)</f>
        <v/>
      </c>
      <c r="S99">
        <f>IFERROR(L99*MAX(N99,1)/R99*IF(ISBLANK(K97),1,K97),0)</f>
        <v/>
      </c>
      <c r="AB99" s="7" t="inlineStr">
        <is>
          <t>^Warhead_MissileCryo_Heavy</t>
        </is>
      </c>
    </row>
    <row r="100">
      <c r="B100" s="7" t="inlineStr">
        <is>
          <t xml:space="preserve">  ↳ DepthCharge</t>
        </is>
      </c>
      <c r="C100" s="7" t="inlineStr">
        <is>
          <t>Armament@DC1</t>
        </is>
      </c>
      <c r="L100" s="6" t="n">
        <v>60000</v>
      </c>
      <c r="M100" s="6" t="n">
        <v>60</v>
      </c>
      <c r="N100" s="6" t="n">
        <v>1</v>
      </c>
      <c r="O100" s="6" t="n"/>
      <c r="P100" s="6" t="n">
        <v>6000</v>
      </c>
      <c r="Q100" s="6" t="n">
        <v>0.75</v>
      </c>
      <c r="R100">
        <f>M100+IF(MAX(N100-1,0)&gt;0,IF(ISBLANK(O100),5*MAX(N100-1,0),IF(ISNUMBER(O100),O100*MAX(N100-1,0),SUM(IFERROR(VALUE(TEXTSPLIT(O100,",")),0)))),0)</f>
        <v/>
      </c>
      <c r="S100">
        <f>IFERROR(L100*MAX(N100,1)/R100*IF(ISBLANK(K97),1,K97),0)</f>
        <v/>
      </c>
      <c r="AB100" s="7" t="inlineStr">
        <is>
          <t>^Warhead_Demolition_Light</t>
        </is>
      </c>
    </row>
    <row r="101">
      <c r="B101" s="7" t="inlineStr">
        <is>
          <t xml:space="preserve">  ↳ DepthCharge</t>
        </is>
      </c>
      <c r="C101" s="7" t="inlineStr">
        <is>
          <t>Armament@DC2</t>
        </is>
      </c>
      <c r="L101" s="6" t="n">
        <v>60000</v>
      </c>
      <c r="M101" s="6" t="n">
        <v>60</v>
      </c>
      <c r="N101" s="6" t="n">
        <v>1</v>
      </c>
      <c r="O101" s="6" t="n"/>
      <c r="P101" s="6" t="n">
        <v>6000</v>
      </c>
      <c r="Q101" s="6" t="n">
        <v>0.75</v>
      </c>
      <c r="R101">
        <f>M101+IF(MAX(N101-1,0)&gt;0,IF(ISBLANK(O101),5*MAX(N101-1,0),IF(ISNUMBER(O101),O101*MAX(N101-1,0),SUM(IFERROR(VALUE(TEXTSPLIT(O101,",")),0)))),0)</f>
        <v/>
      </c>
      <c r="S101">
        <f>IFERROR(L101*MAX(N101,1)/R101*IF(ISBLANK(K97),1,K97),0)</f>
        <v/>
      </c>
      <c r="AB101" s="7" t="inlineStr">
        <is>
          <t>^Warhead_Demolition_Light</t>
        </is>
      </c>
    </row>
    <row r="102">
      <c r="B102" s="7" t="inlineStr">
        <is>
          <t xml:space="preserve">  ↳ DepthChargeCryo</t>
        </is>
      </c>
      <c r="C102" s="7" t="inlineStr">
        <is>
          <t>Armament@DC1Cryo</t>
        </is>
      </c>
      <c r="L102" s="6" t="n">
        <v>60000</v>
      </c>
      <c r="M102" s="6" t="n">
        <v>60</v>
      </c>
      <c r="N102" s="6" t="n">
        <v>1</v>
      </c>
      <c r="O102" s="6" t="n"/>
      <c r="P102" s="6" t="n">
        <v>6000</v>
      </c>
      <c r="Q102" s="6" t="n">
        <v>0.75</v>
      </c>
      <c r="R102">
        <f>M102+IF(MAX(N102-1,0)&gt;0,IF(ISBLANK(O102),5*MAX(N102-1,0),IF(ISNUMBER(O102),O102*MAX(N102-1,0),SUM(IFERROR(VALUE(TEXTSPLIT(O102,",")),0)))),0)</f>
        <v/>
      </c>
      <c r="S102">
        <f>IFERROR(L102*MAX(N102,1)/R102*IF(ISBLANK(K97),1,K97),0)</f>
        <v/>
      </c>
      <c r="AB102" s="7" t="inlineStr">
        <is>
          <t>^Warhead_CryoBlast_Light</t>
        </is>
      </c>
    </row>
    <row r="103">
      <c r="B103" s="7" t="inlineStr">
        <is>
          <t xml:space="preserve">  ↳ DepthChargeCryo</t>
        </is>
      </c>
      <c r="C103" s="7" t="inlineStr">
        <is>
          <t>Armament@DC2Cryo</t>
        </is>
      </c>
      <c r="L103" s="6" t="n">
        <v>60000</v>
      </c>
      <c r="M103" s="6" t="n">
        <v>60</v>
      </c>
      <c r="N103" s="6" t="n">
        <v>1</v>
      </c>
      <c r="O103" s="6" t="n"/>
      <c r="P103" s="6" t="n">
        <v>6000</v>
      </c>
      <c r="Q103" s="6" t="n">
        <v>0.75</v>
      </c>
      <c r="R103">
        <f>M103+IF(MAX(N103-1,0)&gt;0,IF(ISBLANK(O103),5*MAX(N103-1,0),IF(ISNUMBER(O103),O103*MAX(N103-1,0),SUM(IFERROR(VALUE(TEXTSPLIT(O103,",")),0)))),0)</f>
        <v/>
      </c>
      <c r="S103">
        <f>IFERROR(L103*MAX(N103,1)/R103*IF(ISBLANK(K97),1,K97),0)</f>
        <v/>
      </c>
      <c r="AB103" s="7" t="inlineStr">
        <is>
          <t>^Warhead_CryoBlast_Light</t>
        </is>
      </c>
    </row>
    <row r="104">
      <c r="A104" t="inlineStr">
        <is>
          <t>tiberiansun</t>
        </is>
      </c>
      <c r="B104" t="inlineStr">
        <is>
          <t>ts_gdi_destroyer</t>
        </is>
      </c>
      <c r="C104" t="inlineStr">
        <is>
          <t>GDI Destroyer</t>
        </is>
      </c>
      <c r="D104" s="6" t="inlineStr">
        <is>
          <t>BattleShip</t>
        </is>
      </c>
      <c r="E104" s="6" t="n">
        <v>125000</v>
      </c>
      <c r="F104" s="6" t="n">
        <v>85</v>
      </c>
      <c r="G104" t="inlineStr">
        <is>
          <t>Heavy</t>
        </is>
      </c>
      <c r="H104" s="6" t="n">
        <v>1</v>
      </c>
      <c r="I104" s="6" t="n">
        <v>1</v>
      </c>
      <c r="J104" s="6" t="n">
        <v>1</v>
      </c>
      <c r="P104">
        <f>MAX(P105,P106,P107)</f>
        <v/>
      </c>
      <c r="S104">
        <f>S105+S106+S107</f>
        <v/>
      </c>
      <c r="T104">
        <f>(E104/100000+F104/100+(P104/1000)*J104/5+S104/200)*200*I104*H104</f>
        <v/>
      </c>
      <c r="U104">
        <f>((E104*F104/25000)+((P104/1000)*J104*S104/2.5))*I104*H104</f>
        <v/>
      </c>
      <c r="V104">
        <f>(E104*F104*(P104/1000)*J104*S104*I104*H104)/12500000</f>
        <v/>
      </c>
      <c r="W104">
        <f>(T104+U104+V104)/3</f>
        <v/>
      </c>
      <c r="X104" s="6" t="n">
        <v>1600</v>
      </c>
      <c r="Y104">
        <f>IFERROR(W104-X104,"")</f>
        <v/>
      </c>
      <c r="Z104">
        <f>IFERROR(ABS(Y104)/MAX(X104,1),"")</f>
        <v/>
      </c>
      <c r="AA104">
        <f>IFERROR((X104-(((E104/100000+F104/100+S104/200)*200*I104*H104)+((E104*F104/25000)*I104*H104))/3)/(((J104/5)*200*I104*H104)+((J104*S104/2.5)*I104*H104)+((E104*F104*J104*S104*I104*H104)/12500000))/3*1000,"")</f>
        <v/>
      </c>
    </row>
    <row r="105">
      <c r="B105" s="7" t="inlineStr">
        <is>
          <t xml:space="preserve">  ↳ TSDestroyerMissiles</t>
        </is>
      </c>
      <c r="C105" s="7" t="inlineStr">
        <is>
          <t>Armament</t>
        </is>
      </c>
      <c r="L105" s="6" t="n">
        <v>12000</v>
      </c>
      <c r="M105" s="6" t="n">
        <v>60</v>
      </c>
      <c r="N105" s="6" t="n">
        <v>4</v>
      </c>
      <c r="O105" s="6" t="n">
        <v>4</v>
      </c>
      <c r="P105" s="6" t="n">
        <v>8159</v>
      </c>
      <c r="Q105" s="6" t="n">
        <v>1</v>
      </c>
      <c r="R105">
        <f>M105+IF(MAX(N105-1,0)&gt;0,IF(ISBLANK(O105),5*MAX(N105-1,0),IF(ISNUMBER(O105),O105*MAX(N105-1,0),SUM(IFERROR(VALUE(TEXTSPLIT(O105,",")),0)))),0)</f>
        <v/>
      </c>
      <c r="S105">
        <f>IFERROR(L105*MAX(N105,1)/R105*IF(ISBLANK(K104),1,K104),0)</f>
        <v/>
      </c>
      <c r="AB105" s="7" t="inlineStr">
        <is>
          <t>^FlakWeapon, ^MediumMissile, ^ShrapnelWeapon</t>
        </is>
      </c>
    </row>
    <row r="106">
      <c r="B106" s="7" t="inlineStr">
        <is>
          <t xml:space="preserve">  ↳ DepthCharge</t>
        </is>
      </c>
      <c r="C106" s="7" t="inlineStr">
        <is>
          <t>Armament@DC1</t>
        </is>
      </c>
      <c r="L106" s="6" t="n">
        <v>60000</v>
      </c>
      <c r="M106" s="6" t="n">
        <v>60</v>
      </c>
      <c r="N106" s="6" t="n">
        <v>1</v>
      </c>
      <c r="O106" s="6" t="n"/>
      <c r="P106" s="6" t="n">
        <v>6000</v>
      </c>
      <c r="Q106" s="6" t="n">
        <v>0.75</v>
      </c>
      <c r="R106">
        <f>M106+IF(MAX(N106-1,0)&gt;0,IF(ISBLANK(O106),5*MAX(N106-1,0),IF(ISNUMBER(O106),O106*MAX(N106-1,0),SUM(IFERROR(VALUE(TEXTSPLIT(O106,",")),0)))),0)</f>
        <v/>
      </c>
      <c r="S106">
        <f>IFERROR(L106*MAX(N106,1)/R106*IF(ISBLANK(K104),1,K104),0)</f>
        <v/>
      </c>
      <c r="AB106" s="7" t="inlineStr">
        <is>
          <t>^Warhead_Demolition_Light</t>
        </is>
      </c>
    </row>
    <row r="107">
      <c r="B107" s="7" t="inlineStr">
        <is>
          <t xml:space="preserve">  ↳ DepthCharge</t>
        </is>
      </c>
      <c r="C107" s="7" t="inlineStr">
        <is>
          <t>Armament@DC2</t>
        </is>
      </c>
      <c r="L107" s="6" t="n">
        <v>60000</v>
      </c>
      <c r="M107" s="6" t="n">
        <v>60</v>
      </c>
      <c r="N107" s="6" t="n">
        <v>1</v>
      </c>
      <c r="O107" s="6" t="n"/>
      <c r="P107" s="6" t="n">
        <v>6000</v>
      </c>
      <c r="Q107" s="6" t="n">
        <v>0.75</v>
      </c>
      <c r="R107">
        <f>M107+IF(MAX(N107-1,0)&gt;0,IF(ISBLANK(O107),5*MAX(N107-1,0),IF(ISNUMBER(O107),O107*MAX(N107-1,0),SUM(IFERROR(VALUE(TEXTSPLIT(O107,",")),0)))),0)</f>
        <v/>
      </c>
      <c r="S107">
        <f>IFERROR(L107*MAX(N107,1)/R107*IF(ISBLANK(K104),1,K104),0)</f>
        <v/>
      </c>
      <c r="AB107" s="7" t="inlineStr">
        <is>
          <t>^Warhead_Demolition_Light</t>
        </is>
      </c>
    </row>
    <row r="108">
      <c r="A108" t="inlineStr">
        <is>
          <t>tiberiansun</t>
        </is>
      </c>
      <c r="B108" t="inlineStr">
        <is>
          <t>forgotten_cannonboat</t>
        </is>
      </c>
      <c r="C108" t="inlineStr">
        <is>
          <t>Cannon Tug</t>
        </is>
      </c>
      <c r="D108" s="6" t="inlineStr">
        <is>
          <t>BattleShip</t>
        </is>
      </c>
      <c r="E108" s="6" t="n">
        <v>125000</v>
      </c>
      <c r="F108" s="6" t="n">
        <v>85</v>
      </c>
      <c r="G108" t="inlineStr">
        <is>
          <t>Heavy</t>
        </is>
      </c>
      <c r="H108" s="6" t="n">
        <v>1</v>
      </c>
      <c r="I108" s="6" t="n">
        <v>1</v>
      </c>
      <c r="J108" s="6" t="n">
        <v>1</v>
      </c>
      <c r="P108">
        <f>MAX(P109,P110,P111,P112)</f>
        <v/>
      </c>
      <c r="S108">
        <f>S109+S110+S111+S112</f>
        <v/>
      </c>
      <c r="T108">
        <f>(E108/100000+F108/100+(P108/1000)*J108/5+S108/200)*200*I108*H108</f>
        <v/>
      </c>
      <c r="U108">
        <f>((E108*F108/25000)+((P108/1000)*J108*S108/2.5))*I108*H108</f>
        <v/>
      </c>
      <c r="V108">
        <f>(E108*F108*(P108/1000)*J108*S108*I108*H108)/12500000</f>
        <v/>
      </c>
      <c r="W108">
        <f>(T108+U108+V108)/3</f>
        <v/>
      </c>
      <c r="X108" s="6" t="n">
        <v>1600</v>
      </c>
      <c r="Y108">
        <f>IFERROR(W108-X108,"")</f>
        <v/>
      </c>
      <c r="Z108">
        <f>IFERROR(ABS(Y108)/MAX(X108,1),"")</f>
        <v/>
      </c>
      <c r="AA108">
        <f>IFERROR((X108-(((E108/100000+F108/100+S108/200)*200*I108*H108)+((E108*F108/25000)*I108*H108))/3)/(((J108/5)*200*I108*H108)+((J108*S108/2.5)*I108*H108)+((E108*F108*J108*S108*I108*H108)/12500000))/3*1000,"")</f>
        <v/>
      </c>
    </row>
    <row r="109">
      <c r="B109" s="7" t="inlineStr">
        <is>
          <t xml:space="preserve">  ↳ TSBoatcannon</t>
        </is>
      </c>
      <c r="C109" s="7" t="inlineStr">
        <is>
          <t>Armament</t>
        </is>
      </c>
      <c r="L109" s="6" t="n">
        <v>18000</v>
      </c>
      <c r="M109" s="6" t="n">
        <v>80</v>
      </c>
      <c r="N109" s="6" t="n">
        <v>2</v>
      </c>
      <c r="O109" s="6" t="n">
        <v>3</v>
      </c>
      <c r="P109" s="6" t="n">
        <v>8000</v>
      </c>
      <c r="Q109" s="6" t="n">
        <v>1.125</v>
      </c>
      <c r="R109">
        <f>M109+IF(MAX(N109-1,0)&gt;0,IF(ISBLANK(O109),5*MAX(N109-1,0),IF(ISNUMBER(O109),O109*MAX(N109-1,0),SUM(IFERROR(VALUE(TEXTSPLIT(O109,",")),0)))),0)</f>
        <v/>
      </c>
      <c r="S109">
        <f>IFERROR(L109*MAX(N109,1)/R109*IF(ISBLANK(K108),1,K108),0)</f>
        <v/>
      </c>
      <c r="AB109" s="7" t="inlineStr">
        <is>
          <t>^Warhead_Concussion_Medium, ^Warhead_Demolition_Heavy</t>
        </is>
      </c>
    </row>
    <row r="110">
      <c r="B110" s="7" t="inlineStr">
        <is>
          <t xml:space="preserve">  ↳ TSChemBoatcannon</t>
        </is>
      </c>
      <c r="C110" s="7" t="inlineStr">
        <is>
          <t>Armament@UPGRADE</t>
        </is>
      </c>
      <c r="L110" s="6" t="n">
        <v>25000</v>
      </c>
      <c r="M110" s="6" t="n">
        <v>80</v>
      </c>
      <c r="N110" s="6" t="n">
        <v>2</v>
      </c>
      <c r="O110" s="6" t="n">
        <v>3</v>
      </c>
      <c r="P110" s="6" t="n">
        <v>8000</v>
      </c>
      <c r="Q110" s="6" t="n">
        <v>1</v>
      </c>
      <c r="R110">
        <f>M110+IF(MAX(N110-1,0)&gt;0,IF(ISBLANK(O110),5*MAX(N110-1,0),IF(ISNUMBER(O110),O110*MAX(N110-1,0),SUM(IFERROR(VALUE(TEXTSPLIT(O110,",")),0)))),0)</f>
        <v/>
      </c>
      <c r="S110">
        <f>IFERROR(L110*MAX(N110,1)/R110*IF(ISBLANK(K108),1,K108),0)</f>
        <v/>
      </c>
      <c r="AB110" s="7" t="inlineStr">
        <is>
          <t>^ShrapnelWeapon, ^HeavyBomb, ^MediumChemicalWeapon</t>
        </is>
      </c>
    </row>
    <row r="111">
      <c r="B111" s="7" t="inlineStr">
        <is>
          <t xml:space="preserve">  ↳ DepthCharge</t>
        </is>
      </c>
      <c r="C111" s="7" t="inlineStr">
        <is>
          <t>Armament@DC1</t>
        </is>
      </c>
      <c r="L111" s="6" t="n">
        <v>60000</v>
      </c>
      <c r="M111" s="6" t="n">
        <v>60</v>
      </c>
      <c r="N111" s="6" t="n">
        <v>1</v>
      </c>
      <c r="O111" s="6" t="n"/>
      <c r="P111" s="6" t="n">
        <v>6000</v>
      </c>
      <c r="Q111" s="6" t="n">
        <v>0.75</v>
      </c>
      <c r="R111">
        <f>M111+IF(MAX(N111-1,0)&gt;0,IF(ISBLANK(O111),5*MAX(N111-1,0),IF(ISNUMBER(O111),O111*MAX(N111-1,0),SUM(IFERROR(VALUE(TEXTSPLIT(O111,",")),0)))),0)</f>
        <v/>
      </c>
      <c r="S111">
        <f>IFERROR(L111*MAX(N111,1)/R111*IF(ISBLANK(K108),1,K108),0)</f>
        <v/>
      </c>
      <c r="AB111" s="7" t="inlineStr">
        <is>
          <t>^Warhead_Demolition_Light</t>
        </is>
      </c>
    </row>
    <row r="112">
      <c r="B112" s="7" t="inlineStr">
        <is>
          <t xml:space="preserve">  ↳ DepthCharge</t>
        </is>
      </c>
      <c r="C112" s="7" t="inlineStr">
        <is>
          <t>Armament@DC2</t>
        </is>
      </c>
      <c r="L112" s="6" t="n">
        <v>60000</v>
      </c>
      <c r="M112" s="6" t="n">
        <v>60</v>
      </c>
      <c r="N112" s="6" t="n">
        <v>1</v>
      </c>
      <c r="O112" s="6" t="n"/>
      <c r="P112" s="6" t="n">
        <v>6000</v>
      </c>
      <c r="Q112" s="6" t="n">
        <v>0.75</v>
      </c>
      <c r="R112">
        <f>M112+IF(MAX(N112-1,0)&gt;0,IF(ISBLANK(O112),5*MAX(N112-1,0),IF(ISNUMBER(O112),O112*MAX(N112-1,0),SUM(IFERROR(VALUE(TEXTSPLIT(O112,",")),0)))),0)</f>
        <v/>
      </c>
      <c r="S112">
        <f>IFERROR(L112*MAX(N112,1)/R112*IF(ISBLANK(K108),1,K108),0)</f>
        <v/>
      </c>
      <c r="AB112" s="7" t="inlineStr">
        <is>
          <t>^Warhead_Demolition_Light</t>
        </is>
      </c>
    </row>
    <row r="113">
      <c r="A113" t="inlineStr">
        <is>
          <t>redalert2</t>
        </is>
      </c>
      <c r="B113" t="inlineStr">
        <is>
          <t>ra2_allies_aegiscruiser</t>
        </is>
      </c>
      <c r="C113" t="inlineStr">
        <is>
          <t>actor_aegis.name</t>
        </is>
      </c>
      <c r="D113" s="6" t="inlineStr">
        <is>
          <t>BattleShip</t>
        </is>
      </c>
      <c r="E113" s="6" t="n">
        <v>90000</v>
      </c>
      <c r="F113" s="6" t="n">
        <v>90</v>
      </c>
      <c r="G113" t="inlineStr">
        <is>
          <t>Medium</t>
        </is>
      </c>
      <c r="H113" s="6" t="n">
        <v>0.8639</v>
      </c>
      <c r="I113" s="6" t="n">
        <v>1</v>
      </c>
      <c r="J113" s="6" t="n">
        <v>1</v>
      </c>
      <c r="P113">
        <f>MAX(P114,P115)</f>
        <v/>
      </c>
      <c r="S113">
        <f>S114+S115</f>
        <v/>
      </c>
      <c r="T113">
        <f>(E113/100000+F113/100+(P113/1000)*J113/5+S113/200)*200*I113*H113</f>
        <v/>
      </c>
      <c r="U113">
        <f>((E113*F113/25000)+((P113/1000)*J113*S113/2.5))*I113*H113</f>
        <v/>
      </c>
      <c r="V113">
        <f>(E113*F113*(P113/1000)*J113*S113*I113*H113)/12500000</f>
        <v/>
      </c>
      <c r="W113">
        <f>(T113+U113+V113)/3</f>
        <v/>
      </c>
      <c r="X113" s="6" t="n">
        <v>1500</v>
      </c>
      <c r="Y113">
        <f>IFERROR(W113-X113,"")</f>
        <v/>
      </c>
      <c r="Z113">
        <f>IFERROR(ABS(Y113)/MAX(X113,1),"")</f>
        <v/>
      </c>
      <c r="AA113">
        <f>IFERROR((X113-(((E113/100000+F113/100+S113/200)*200*I113*H113)+((E113*F113/25000)*I113*H113))/3)/(((J113/5)*200*I113*H113)+((J113*S113/2.5)*I113*H113)+((E113*F113*J113*S113*I113*H113)/12500000))/3*1000,"")</f>
        <v/>
      </c>
    </row>
    <row r="114">
      <c r="B114" s="7" t="inlineStr">
        <is>
          <t xml:space="preserve">  ↳ RA2Medusa_AA</t>
        </is>
      </c>
      <c r="C114" s="7" t="inlineStr">
        <is>
          <t>Armament@AA</t>
        </is>
      </c>
      <c r="L114" s="6" t="n">
        <v>30000</v>
      </c>
      <c r="M114" s="6" t="n">
        <v>100</v>
      </c>
      <c r="N114" s="6" t="n">
        <v>3</v>
      </c>
      <c r="O114" s="6" t="n">
        <v>13</v>
      </c>
      <c r="P114" s="6" t="n">
        <v>13500</v>
      </c>
      <c r="Q114" s="6" t="n">
        <v>1</v>
      </c>
      <c r="R114">
        <f>M114+IF(MAX(N114-1,0)&gt;0,IF(ISBLANK(O114),5*MAX(N114-1,0),IF(ISNUMBER(O114),O114*MAX(N114-1,0),SUM(IFERROR(VALUE(TEXTSPLIT(O114,",")),0)))),0)</f>
        <v/>
      </c>
      <c r="S114">
        <f>IFERROR(L114*MAX(N114,1)/R114*IF(ISBLANK(K113),1,K113),0)</f>
        <v/>
      </c>
      <c r="AB114" s="7" t="inlineStr">
        <is>
          <t>^Warhead_MissileAP_Medium</t>
        </is>
      </c>
    </row>
    <row r="115">
      <c r="B115" s="7" t="inlineStr">
        <is>
          <t xml:space="preserve">  ↳ RA2MedusaAG</t>
        </is>
      </c>
      <c r="C115" s="7" t="inlineStr">
        <is>
          <t>Armament@AG</t>
        </is>
      </c>
      <c r="L115" s="6" t="n">
        <v>30000</v>
      </c>
      <c r="M115" s="6" t="n">
        <v>100</v>
      </c>
      <c r="N115" s="6" t="n">
        <v>3</v>
      </c>
      <c r="O115" s="6" t="n">
        <v>13</v>
      </c>
      <c r="P115" s="6" t="n">
        <v>9000</v>
      </c>
      <c r="Q115" s="6" t="n">
        <v>1</v>
      </c>
      <c r="R115">
        <f>M115+IF(MAX(N115-1,0)&gt;0,IF(ISBLANK(O115),5*MAX(N115-1,0),IF(ISNUMBER(O115),O115*MAX(N115-1,0),SUM(IFERROR(VALUE(TEXTSPLIT(O115,",")),0)))),0)</f>
        <v/>
      </c>
      <c r="S115">
        <f>IFERROR(L115*MAX(N115,1)/R115*IF(ISBLANK(K113),1,K113),0)</f>
        <v/>
      </c>
      <c r="AB115" s="7" t="inlineStr">
        <is>
          <t>^Warhead_MissileAP_Medium</t>
        </is>
      </c>
    </row>
    <row r="116">
      <c r="A116" t="inlineStr">
        <is>
          <t>redalert2</t>
        </is>
      </c>
      <c r="B116" t="inlineStr">
        <is>
          <t>ra2_soviets_seascorpion</t>
        </is>
      </c>
      <c r="C116" t="inlineStr">
        <is>
          <t>actor_hyd.name</t>
        </is>
      </c>
      <c r="D116" s="6" t="inlineStr">
        <is>
          <t>BattleShip</t>
        </is>
      </c>
      <c r="E116" s="6" t="n">
        <v>25000</v>
      </c>
      <c r="F116" s="6" t="n">
        <v>120</v>
      </c>
      <c r="G116" t="inlineStr">
        <is>
          <t>Light</t>
        </is>
      </c>
      <c r="H116" s="6" t="n">
        <v>0.9322</v>
      </c>
      <c r="I116" s="6" t="n">
        <v>1</v>
      </c>
      <c r="J116" s="6" t="n">
        <v>1</v>
      </c>
      <c r="P116">
        <f>MAX(P117,P118)</f>
        <v/>
      </c>
      <c r="S116">
        <f>S117+S118</f>
        <v/>
      </c>
      <c r="T116">
        <f>(E116/100000+F116/100+(P116/1000)*J116/5+S116/200)*200*I116*H116</f>
        <v/>
      </c>
      <c r="U116">
        <f>((E116*F116/25000)+((P116/1000)*J116*S116/2.5))*I116*H116</f>
        <v/>
      </c>
      <c r="V116">
        <f>(E116*F116*(P116/1000)*J116*S116*I116*H116)/12500000</f>
        <v/>
      </c>
      <c r="W116">
        <f>(T116+U116+V116)/3</f>
        <v/>
      </c>
      <c r="X116" s="6" t="n">
        <v>600</v>
      </c>
      <c r="Y116">
        <f>IFERROR(W116-X116,"")</f>
        <v/>
      </c>
      <c r="Z116">
        <f>IFERROR(ABS(Y116)/MAX(X116,1),"")</f>
        <v/>
      </c>
      <c r="AA116">
        <f>IFERROR((X116-(((E116/100000+F116/100+S116/200)*200*I116*H116)+((E116*F116/25000)*I116*H116))/3)/(((J116/5)*200*I116*H116)+((J116*S116/2.5)*I116*H116)+((E116*F116*J116*S116*I116*H116)/12500000))/3*1000,"")</f>
        <v/>
      </c>
    </row>
    <row r="117">
      <c r="B117" s="7" t="inlineStr">
        <is>
          <t xml:space="preserve">  ↳ SeaScorpion_AA</t>
        </is>
      </c>
      <c r="C117" s="7" t="inlineStr">
        <is>
          <t>Armament@AA</t>
        </is>
      </c>
      <c r="L117" s="6" t="n">
        <v>8000</v>
      </c>
      <c r="M117" s="6" t="n">
        <v>17</v>
      </c>
      <c r="N117" s="6" t="n">
        <v>1</v>
      </c>
      <c r="O117" s="6" t="n"/>
      <c r="P117" s="6" t="n">
        <v>13500</v>
      </c>
      <c r="Q117" s="6" t="n">
        <v>1</v>
      </c>
      <c r="R117">
        <f>M117+IF(MAX(N117-1,0)&gt;0,IF(ISBLANK(O117),5*MAX(N117-1,0),IF(ISNUMBER(O117),O117*MAX(N117-1,0),SUM(IFERROR(VALUE(TEXTSPLIT(O117,",")),0)))),0)</f>
        <v/>
      </c>
      <c r="S117">
        <f>IFERROR(L117*MAX(N117,1)/R117*IF(ISBLANK(K116),1,K116),0)</f>
        <v/>
      </c>
      <c r="AB117" s="7" t="inlineStr">
        <is>
          <t>^Warhead_Flak_Medium</t>
        </is>
      </c>
    </row>
    <row r="118">
      <c r="B118" s="7" t="inlineStr">
        <is>
          <t xml:space="preserve">  ↳ RA2FlakTrackGun</t>
        </is>
      </c>
      <c r="C118" s="7" t="inlineStr">
        <is>
          <t>Armament@AG</t>
        </is>
      </c>
      <c r="L118" s="6" t="n">
        <v>8000</v>
      </c>
      <c r="M118" s="6" t="n">
        <v>18</v>
      </c>
      <c r="N118" s="6" t="n">
        <v>1</v>
      </c>
      <c r="O118" s="6" t="n"/>
      <c r="P118" s="6" t="n">
        <v>5528</v>
      </c>
      <c r="Q118" s="6" t="n">
        <v>1</v>
      </c>
      <c r="R118">
        <f>M118+IF(MAX(N118-1,0)&gt;0,IF(ISBLANK(O118),5*MAX(N118-1,0),IF(ISNUMBER(O118),O118*MAX(N118-1,0),SUM(IFERROR(VALUE(TEXTSPLIT(O118,",")),0)))),0)</f>
        <v/>
      </c>
      <c r="S118">
        <f>IFERROR(L118*MAX(N118,1)/R118*IF(ISBLANK(K116),1,K116),0)</f>
        <v/>
      </c>
      <c r="AB118" s="7" t="inlineStr">
        <is>
          <t>^Warhead_Flak_Medium</t>
        </is>
      </c>
    </row>
    <row r="119">
      <c r="A119" t="inlineStr">
        <is>
          <t>redalert2mod</t>
        </is>
      </c>
      <c r="B119" t="inlineStr">
        <is>
          <t>quasfrig.asian</t>
        </is>
      </c>
      <c r="C119" t="inlineStr">
        <is>
          <t>Quasar Frigate</t>
        </is>
      </c>
      <c r="D119" s="6" t="inlineStr">
        <is>
          <t>BattleShip</t>
        </is>
      </c>
      <c r="E119" s="6" t="n">
        <v>137500</v>
      </c>
      <c r="F119" s="6" t="n">
        <v>75</v>
      </c>
      <c r="G119" t="inlineStr">
        <is>
          <t>Heavy</t>
        </is>
      </c>
      <c r="H119" s="6" t="n">
        <v>0.6346000000000001</v>
      </c>
      <c r="I119" s="6" t="n">
        <v>1</v>
      </c>
      <c r="J119" s="6" t="n">
        <v>1</v>
      </c>
      <c r="P119">
        <f>MAX(P120,P121,P122,P123)</f>
        <v/>
      </c>
      <c r="S119">
        <f>S120+S121+S122+S123</f>
        <v/>
      </c>
      <c r="T119">
        <f>(E119/100000+F119/100+(P119/1000)*J119/5+S119/200)*200*I119*H119</f>
        <v/>
      </c>
      <c r="U119">
        <f>((E119*F119/25000)+((P119/1000)*J119*S119/2.5))*I119*H119</f>
        <v/>
      </c>
      <c r="V119">
        <f>(E119*F119*(P119/1000)*J119*S119*I119*H119)/12500000</f>
        <v/>
      </c>
      <c r="W119">
        <f>(T119+U119+V119)/3</f>
        <v/>
      </c>
      <c r="X119" s="6" t="n">
        <v>2000</v>
      </c>
      <c r="Y119">
        <f>IFERROR(W119-X119,"")</f>
        <v/>
      </c>
      <c r="Z119">
        <f>IFERROR(ABS(Y119)/MAX(X119,1),"")</f>
        <v/>
      </c>
      <c r="AA119">
        <f>IFERROR((X119-(((E119/100000+F119/100+S119/200)*200*I119*H119)+((E119*F119/25000)*I119*H119))/3)/(((J119/5)*200*I119*H119)+((J119*S119/2.5)*I119*H119)+((E119*F119*J119*S119*I119*H119)/12500000))/3*1000,"")</f>
        <v/>
      </c>
    </row>
    <row r="120">
      <c r="B120" s="7" t="inlineStr">
        <is>
          <t xml:space="preserve">  ↳ AsianQuasarBoatAG</t>
        </is>
      </c>
      <c r="C120" s="7" t="inlineStr">
        <is>
          <t>Armament@AG</t>
        </is>
      </c>
      <c r="L120" s="6" t="n">
        <v>8000</v>
      </c>
      <c r="M120" s="6" t="n">
        <v>22</v>
      </c>
      <c r="N120" s="6" t="n">
        <v>3</v>
      </c>
      <c r="O120" s="6" t="n">
        <v>3</v>
      </c>
      <c r="P120" s="6" t="n">
        <v>7168</v>
      </c>
      <c r="Q120" s="6" t="n">
        <v>1</v>
      </c>
      <c r="R120">
        <f>M120+IF(MAX(N120-1,0)&gt;0,IF(ISBLANK(O120),5*MAX(N120-1,0),IF(ISNUMBER(O120),O120*MAX(N120-1,0),SUM(IFERROR(VALUE(TEXTSPLIT(O120,",")),0)))),0)</f>
        <v/>
      </c>
      <c r="S120">
        <f>IFERROR(L120*MAX(N120,1)/R120*IF(ISBLANK(K119),1,K119),0)</f>
        <v/>
      </c>
      <c r="AB120" s="7" t="inlineStr">
        <is>
          <t>AsianPhotonCannon</t>
        </is>
      </c>
    </row>
    <row r="121">
      <c r="B121" s="7" t="inlineStr">
        <is>
          <t xml:space="preserve">  ↳ AsianQuasarBoatAG_EMP</t>
        </is>
      </c>
      <c r="C121" s="7" t="inlineStr">
        <is>
          <t>Armament@UpgradeAG</t>
        </is>
      </c>
      <c r="L121" s="6" t="n">
        <v>8000</v>
      </c>
      <c r="M121" s="6" t="n">
        <v>22</v>
      </c>
      <c r="N121" s="6" t="n">
        <v>3</v>
      </c>
      <c r="O121" s="6" t="n">
        <v>3</v>
      </c>
      <c r="P121" s="6" t="n">
        <v>7168</v>
      </c>
      <c r="Q121" s="6" t="n">
        <v>1</v>
      </c>
      <c r="R121">
        <f>M121+IF(MAX(N121-1,0)&gt;0,IF(ISBLANK(O121),5*MAX(N121-1,0),IF(ISNUMBER(O121),O121*MAX(N121-1,0),SUM(IFERROR(VALUE(TEXTSPLIT(O121,",")),0)))),0)</f>
        <v/>
      </c>
      <c r="S121">
        <f>IFERROR(L121*MAX(N121,1)/R121*IF(ISBLANK(K119),1,K119),0)</f>
        <v/>
      </c>
      <c r="AB121" s="7" t="inlineStr">
        <is>
          <t>AsianQuasarBoatAG</t>
        </is>
      </c>
    </row>
    <row r="122">
      <c r="B122" s="7" t="inlineStr">
        <is>
          <t xml:space="preserve">  ↳ AsianQuasarBoat_AA</t>
        </is>
      </c>
      <c r="C122" s="7" t="inlineStr">
        <is>
          <t>Armament@AA</t>
        </is>
      </c>
      <c r="L122" s="6" t="n">
        <v>8000</v>
      </c>
      <c r="M122" s="6" t="n">
        <v>22</v>
      </c>
      <c r="N122" s="6" t="n">
        <v>3</v>
      </c>
      <c r="O122" s="6" t="n">
        <v>3</v>
      </c>
      <c r="P122" s="6" t="n">
        <v>7168</v>
      </c>
      <c r="Q122" s="6" t="n">
        <v>1</v>
      </c>
      <c r="R122">
        <f>M122+IF(MAX(N122-1,0)&gt;0,IF(ISBLANK(O122),5*MAX(N122-1,0),IF(ISNUMBER(O122),O122*MAX(N122-1,0),SUM(IFERROR(VALUE(TEXTSPLIT(O122,",")),0)))),0)</f>
        <v/>
      </c>
      <c r="S122">
        <f>IFERROR(L122*MAX(N122,1)/R122*IF(ISBLANK(K119),1,K119),0)</f>
        <v/>
      </c>
      <c r="AB122" s="7" t="inlineStr">
        <is>
          <t>AsianPhotonCannon</t>
        </is>
      </c>
    </row>
    <row r="123">
      <c r="B123" s="7" t="inlineStr">
        <is>
          <t xml:space="preserve">  ↳ AsianQuasarBoat_EMP_AA</t>
        </is>
      </c>
      <c r="C123" s="7" t="inlineStr">
        <is>
          <t>Armament@UpgradeAA</t>
        </is>
      </c>
      <c r="L123" s="6" t="n">
        <v>8000</v>
      </c>
      <c r="M123" s="6" t="n">
        <v>22</v>
      </c>
      <c r="N123" s="6" t="n">
        <v>3</v>
      </c>
      <c r="O123" s="6" t="n">
        <v>3</v>
      </c>
      <c r="P123" s="6" t="n">
        <v>7168</v>
      </c>
      <c r="Q123" s="6" t="n">
        <v>1</v>
      </c>
      <c r="R123">
        <f>M123+IF(MAX(N123-1,0)&gt;0,IF(ISBLANK(O123),5*MAX(N123-1,0),IF(ISNUMBER(O123),O123*MAX(N123-1,0),SUM(IFERROR(VALUE(TEXTSPLIT(O123,",")),0)))),0)</f>
        <v/>
      </c>
      <c r="S123">
        <f>IFERROR(L123*MAX(N123,1)/R123*IF(ISBLANK(K119),1,K119),0)</f>
        <v/>
      </c>
      <c r="AB123" s="7" t="inlineStr">
        <is>
          <t>AsianQuasarBoat_AA</t>
        </is>
      </c>
    </row>
    <row r="124">
      <c r="A124" t="inlineStr">
        <is>
          <t>redalert2mod</t>
        </is>
      </c>
      <c r="B124" t="inlineStr">
        <is>
          <t>triton.latin</t>
        </is>
      </c>
      <c r="C124" t="inlineStr">
        <is>
          <t>Triton Speedboat</t>
        </is>
      </c>
      <c r="D124" s="6" t="inlineStr">
        <is>
          <t>BattleShip</t>
        </is>
      </c>
      <c r="E124" s="6" t="n">
        <v>37500</v>
      </c>
      <c r="F124" s="6" t="n">
        <v>125</v>
      </c>
      <c r="G124" t="inlineStr">
        <is>
          <t>Light</t>
        </is>
      </c>
      <c r="H124" s="6" t="n">
        <v>0.9429</v>
      </c>
      <c r="I124" s="6" t="n">
        <v>1</v>
      </c>
      <c r="J124" s="6" t="n">
        <v>1</v>
      </c>
      <c r="P124">
        <f>MAX(P125,P126)</f>
        <v/>
      </c>
      <c r="S124">
        <f>S125+S126</f>
        <v/>
      </c>
      <c r="T124">
        <f>(E124/100000+F124/100+(P124/1000)*J124/5+S124/200)*200*I124*H124</f>
        <v/>
      </c>
      <c r="U124">
        <f>((E124*F124/25000)+((P124/1000)*J124*S124/2.5))*I124*H124</f>
        <v/>
      </c>
      <c r="V124">
        <f>(E124*F124*(P124/1000)*J124*S124*I124*H124)/12500000</f>
        <v/>
      </c>
      <c r="W124">
        <f>(T124+U124+V124)/3</f>
        <v/>
      </c>
      <c r="X124" s="6" t="n">
        <v>700</v>
      </c>
      <c r="Y124">
        <f>IFERROR(W124-X124,"")</f>
        <v/>
      </c>
      <c r="Z124">
        <f>IFERROR(ABS(Y124)/MAX(X124,1),"")</f>
        <v/>
      </c>
      <c r="AA124">
        <f>IFERROR((X124-(((E124/100000+F124/100+S124/200)*200*I124*H124)+((E124*F124/25000)*I124*H124))/3)/(((J124/5)*200*I124*H124)+((J124*S124/2.5)*I124*H124)+((E124*F124*J124*S124*I124*H124)/12500000))/3*1000,"")</f>
        <v/>
      </c>
    </row>
    <row r="125">
      <c r="B125" s="7" t="inlineStr">
        <is>
          <t xml:space="preserve">  ↳ LatinSentryMG</t>
        </is>
      </c>
      <c r="C125" s="7" t="inlineStr">
        <is>
          <t>Armament@PRIMARY</t>
        </is>
      </c>
      <c r="L125" s="6" t="n">
        <v>6000</v>
      </c>
      <c r="M125" s="6" t="n">
        <v>30</v>
      </c>
      <c r="N125" s="6" t="n">
        <v>3</v>
      </c>
      <c r="O125" s="6" t="n">
        <v>3</v>
      </c>
      <c r="P125" s="6" t="n">
        <v>6666</v>
      </c>
      <c r="Q125" s="6" t="n">
        <v>1</v>
      </c>
      <c r="R125">
        <f>M125+IF(MAX(N125-1,0)&gt;0,IF(ISBLANK(O125),5*MAX(N125-1,0),IF(ISNUMBER(O125),O125*MAX(N125-1,0),SUM(IFERROR(VALUE(TEXTSPLIT(O125,",")),0)))),0)</f>
        <v/>
      </c>
      <c r="S125">
        <f>IFERROR(L125*MAX(N125,1)/R125*IF(ISBLANK(K124),1,K124),0)</f>
        <v/>
      </c>
      <c r="AB125" s="7" t="inlineStr">
        <is>
          <t>^Warhead_CannonHE_Heavy, ^Warhead_Bullet_Light, ^Warhead_Bullet_Medium</t>
        </is>
      </c>
    </row>
    <row r="126">
      <c r="B126" s="7" t="inlineStr">
        <is>
          <t xml:space="preserve">  ↳ LatinSentryMG_elite</t>
        </is>
      </c>
      <c r="C126" s="7" t="inlineStr">
        <is>
          <t>Armament@ELITE</t>
        </is>
      </c>
      <c r="L126" s="6" t="n">
        <v>6000</v>
      </c>
      <c r="M126" s="6" t="n">
        <v>30</v>
      </c>
      <c r="N126" s="6" t="n">
        <v>3</v>
      </c>
      <c r="O126" s="6" t="n">
        <v>3</v>
      </c>
      <c r="P126" s="6" t="n">
        <v>7777</v>
      </c>
      <c r="Q126" s="6" t="n">
        <v>1</v>
      </c>
      <c r="R126">
        <f>M126+IF(MAX(N126-1,0)&gt;0,IF(ISBLANK(O126),5*MAX(N126-1,0),IF(ISNUMBER(O126),O126*MAX(N126-1,0),SUM(IFERROR(VALUE(TEXTSPLIT(O126,",")),0)))),0)</f>
        <v/>
      </c>
      <c r="S126">
        <f>IFERROR(L126*MAX(N126,1)/R126*IF(ISBLANK(K124),1,K124),0)</f>
        <v/>
      </c>
      <c r="AB126" s="7" t="inlineStr">
        <is>
          <t>^Warhead_CannonHE_Heavy, ^Warhead_Bullet_Light, ^Warhead_Bullet_Medium</t>
        </is>
      </c>
    </row>
    <row r="127">
      <c r="A127" s="4" t="inlineStr">
        <is>
          <t>ArtilleryShip</t>
        </is>
      </c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</row>
    <row r="128">
      <c r="A128" t="inlineStr">
        <is>
          <t>tiberiandawn</t>
        </is>
      </c>
      <c r="B128" t="inlineStr">
        <is>
          <t>gdicarrier</t>
        </is>
      </c>
      <c r="C128" t="inlineStr">
        <is>
          <t>GDI Super Carrier</t>
        </is>
      </c>
      <c r="D128" s="6" t="inlineStr">
        <is>
          <t>ArtilleryShip</t>
        </is>
      </c>
      <c r="E128" s="6" t="n">
        <v>300000</v>
      </c>
      <c r="F128" s="6" t="n">
        <v>50</v>
      </c>
      <c r="G128" t="inlineStr">
        <is>
          <t>Superheavy</t>
        </is>
      </c>
      <c r="H128" s="6" t="n">
        <v>0.3626</v>
      </c>
      <c r="I128" s="6" t="n">
        <v>1</v>
      </c>
      <c r="J128" s="6" t="n">
        <v>1</v>
      </c>
      <c r="X128" s="6" t="n">
        <v>4000</v>
      </c>
    </row>
    <row r="129">
      <c r="B129" s="7" t="inlineStr">
        <is>
          <t xml:space="preserve">  ↳ JapanCarrierTarget</t>
        </is>
      </c>
      <c r="C129" s="7" t="inlineStr">
        <is>
          <t>Armament@PRIMARY</t>
        </is>
      </c>
      <c r="M129" s="6" t="n">
        <v>25</v>
      </c>
      <c r="N129" s="6" t="n">
        <v>1</v>
      </c>
      <c r="O129" s="6" t="n"/>
      <c r="P129" s="6" t="n">
        <v>20000</v>
      </c>
      <c r="Q129" s="6" t="n">
        <v>1</v>
      </c>
      <c r="R129">
        <f>M129+IF(MAX(N129-1,0)&gt;0,IF(ISBLANK(O129),5*MAX(N129-1,0),IF(ISNUMBER(O129),O129*MAX(N129-1,0),SUM(IFERROR(VALUE(TEXTSPLIT(O129,",")),0)))),0)</f>
        <v/>
      </c>
      <c r="S129">
        <f>IFERROR(L129*MAX(N129,1)/R129*IF(ISBLANK(K128),1,K128),0)</f>
        <v/>
      </c>
      <c r="AB129" s="7" t="inlineStr"/>
    </row>
    <row r="130">
      <c r="A130" t="inlineStr">
        <is>
          <t>tiberiandawn</t>
        </is>
      </c>
      <c r="B130" t="inlineStr">
        <is>
          <t>ssmsub</t>
        </is>
      </c>
      <c r="C130" t="inlineStr">
        <is>
          <t>Ballistic Missile Submarine</t>
        </is>
      </c>
      <c r="D130" s="6" t="inlineStr">
        <is>
          <t>ArtilleryShip</t>
        </is>
      </c>
      <c r="E130" s="6" t="n">
        <v>200000</v>
      </c>
      <c r="F130" s="6" t="n">
        <v>60</v>
      </c>
      <c r="G130" t="inlineStr">
        <is>
          <t>Medium</t>
        </is>
      </c>
      <c r="H130" s="6" t="n">
        <v>0.782</v>
      </c>
      <c r="I130" s="6" t="n">
        <v>1</v>
      </c>
      <c r="J130" s="6" t="n">
        <v>1</v>
      </c>
      <c r="K130" t="n">
        <v>0.02</v>
      </c>
      <c r="P130">
        <f>MAX(P131)</f>
        <v/>
      </c>
      <c r="S130">
        <f>S131</f>
        <v/>
      </c>
      <c r="T130">
        <f>(E130/100000+F130/100+(P130/1000)*J130/5+S130/200)*200*I130*H130</f>
        <v/>
      </c>
      <c r="U130">
        <f>((E130*F130/25000)+((P130/1000)*J130*S130/2.5))*I130*H130</f>
        <v/>
      </c>
      <c r="V130">
        <f>(E130*F130*(P130/1000)*J130*S130*I130*H130)/12500000</f>
        <v/>
      </c>
      <c r="W130">
        <f>(T130+U130+V130)/3</f>
        <v/>
      </c>
      <c r="X130" s="6" t="n">
        <v>2800</v>
      </c>
      <c r="Y130">
        <f>IFERROR(W130-X130,"")</f>
        <v/>
      </c>
      <c r="Z130">
        <f>IFERROR(ABS(Y130)/MAX(X130,1),"")</f>
        <v/>
      </c>
      <c r="AA130">
        <f>IFERROR((X130-(((E130/100000+F130/100+S130/200)*200*I130*H130)+((E130*F130/25000)*I130*H130))/3)/(((J130/5)*200*I130*H130)+((J130*S130/2.5)*I130*H130)+((E130*F130*J130*S130*I130*H130)/12500000))/3*1000,"")</f>
        <v/>
      </c>
    </row>
    <row r="131">
      <c r="B131" s="7" t="inlineStr">
        <is>
          <t xml:space="preserve">  ↳ HonestJohn</t>
        </is>
      </c>
      <c r="C131" s="7" t="inlineStr">
        <is>
          <t>Armament</t>
        </is>
      </c>
      <c r="L131" s="6" t="n">
        <v>50000</v>
      </c>
      <c r="M131" s="6" t="n">
        <v>225</v>
      </c>
      <c r="N131" s="6" t="n">
        <v>2</v>
      </c>
      <c r="O131" s="6" t="n">
        <v>25</v>
      </c>
      <c r="P131" s="6" t="n">
        <v>8940</v>
      </c>
      <c r="Q131" s="6" t="n">
        <v>1.25</v>
      </c>
      <c r="R131">
        <f>M131+IF(MAX(N131-1,0)&gt;0,IF(ISBLANK(O131),5*MAX(N131-1,0),IF(ISNUMBER(O131),O131*MAX(N131-1,0),SUM(IFERROR(VALUE(TEXTSPLIT(O131,",")),0)))),0)</f>
        <v/>
      </c>
      <c r="S131">
        <f>IFERROR(L131*MAX(N131,1)/R131*IF(ISBLANK(K130),1,K130),0)</f>
        <v/>
      </c>
      <c r="AB131" s="7" t="inlineStr">
        <is>
          <t>^Warhead_MissileFire_Heavy</t>
        </is>
      </c>
    </row>
    <row r="132">
      <c r="A132" t="inlineStr">
        <is>
          <t>shared</t>
        </is>
      </c>
      <c r="B132" t="inlineStr">
        <is>
          <t>japan_japanesecarrier</t>
        </is>
      </c>
      <c r="C132" t="inlineStr">
        <is>
          <t>actor_japan_japanesecarrier.name</t>
        </is>
      </c>
      <c r="D132" s="6" t="inlineStr">
        <is>
          <t>ArtilleryShip</t>
        </is>
      </c>
      <c r="E132" s="6" t="n">
        <v>225000</v>
      </c>
      <c r="F132" s="6" t="n">
        <v>45</v>
      </c>
      <c r="G132" t="inlineStr">
        <is>
          <t>Superheavy</t>
        </is>
      </c>
      <c r="H132" s="6" t="n">
        <v>1</v>
      </c>
      <c r="I132" s="6" t="n">
        <v>1</v>
      </c>
      <c r="J132" s="6" t="n">
        <v>1</v>
      </c>
      <c r="X132" s="6" t="n">
        <v>3000</v>
      </c>
    </row>
    <row r="133">
      <c r="B133" s="7" t="inlineStr">
        <is>
          <t xml:space="preserve">  ↳ JapanCarrierTarget</t>
        </is>
      </c>
      <c r="C133" s="7" t="inlineStr">
        <is>
          <t>Armament@PRIMARY</t>
        </is>
      </c>
      <c r="M133" s="6" t="n">
        <v>25</v>
      </c>
      <c r="N133" s="6" t="n">
        <v>1</v>
      </c>
      <c r="O133" s="6" t="n"/>
      <c r="P133" s="6" t="n">
        <v>20000</v>
      </c>
      <c r="Q133" s="6" t="n">
        <v>1</v>
      </c>
      <c r="R133">
        <f>M133+IF(MAX(N133-1,0)&gt;0,IF(ISBLANK(O133),5*MAX(N133-1,0),IF(ISNUMBER(O133),O133*MAX(N133-1,0),SUM(IFERROR(VALUE(TEXTSPLIT(O133,",")),0)))),0)</f>
        <v/>
      </c>
      <c r="S133">
        <f>IFERROR(L133*MAX(N133,1)/R133*IF(ISBLANK(K132),1,K132),0)</f>
        <v/>
      </c>
      <c r="AB133" s="7" t="inlineStr"/>
    </row>
    <row r="134">
      <c r="A134" t="inlineStr">
        <is>
          <t>shared</t>
        </is>
      </c>
      <c r="B134" t="inlineStr">
        <is>
          <t>ra1_allies_cruiser</t>
        </is>
      </c>
      <c r="C134" t="inlineStr">
        <is>
          <t>Cruiser</t>
        </is>
      </c>
      <c r="D134" s="6" t="inlineStr">
        <is>
          <t>ArtilleryShip</t>
        </is>
      </c>
      <c r="E134" s="6" t="n">
        <v>225000</v>
      </c>
      <c r="F134" s="6" t="n">
        <v>40</v>
      </c>
      <c r="G134" t="inlineStr">
        <is>
          <t>Superheavy</t>
        </is>
      </c>
      <c r="H134" s="6" t="n">
        <v>1</v>
      </c>
      <c r="I134" s="6" t="n">
        <v>1</v>
      </c>
      <c r="J134" s="6" t="n">
        <v>1</v>
      </c>
      <c r="P134">
        <f>MAX(P135,P136,P137,P138)</f>
        <v/>
      </c>
      <c r="S134">
        <f>S135+S136+S137+S138</f>
        <v/>
      </c>
      <c r="T134">
        <f>(E134/100000+F134/100+(P134/1000)*J134/5+S134/200)*200*I134*H134</f>
        <v/>
      </c>
      <c r="U134">
        <f>((E134*F134/25000)+((P134/1000)*J134*S134/2.5))*I134*H134</f>
        <v/>
      </c>
      <c r="V134">
        <f>(E134*F134*(P134/1000)*J134*S134*I134*H134)/12500000</f>
        <v/>
      </c>
      <c r="W134">
        <f>(T134+U134+V134)/3</f>
        <v/>
      </c>
      <c r="X134" s="6" t="n">
        <v>3000</v>
      </c>
      <c r="Y134">
        <f>IFERROR(W134-X134,"")</f>
        <v/>
      </c>
      <c r="Z134">
        <f>IFERROR(ABS(Y134)/MAX(X134,1),"")</f>
        <v/>
      </c>
      <c r="AA134">
        <f>IFERROR((X134-(((E134/100000+F134/100+S134/200)*200*I134*H134)+((E134*F134/25000)*I134*H134))/3)/(((J134/5)*200*I134*H134)+((J134*S134/2.5)*I134*H134)+((E134*F134*J134*S134*I134*H134)/12500000))/3*1000,"")</f>
        <v/>
      </c>
    </row>
    <row r="135">
      <c r="B135" s="7" t="inlineStr">
        <is>
          <t xml:space="preserve">  ↳ 8Inch</t>
        </is>
      </c>
      <c r="C135" s="7" t="inlineStr">
        <is>
          <t>Armament@PRIMARY</t>
        </is>
      </c>
      <c r="L135" s="6" t="n">
        <v>80000</v>
      </c>
      <c r="M135" s="6" t="n">
        <v>250</v>
      </c>
      <c r="N135" s="6" t="n">
        <v>2</v>
      </c>
      <c r="O135" s="6" t="n"/>
      <c r="P135" s="6" t="n">
        <v>15000</v>
      </c>
      <c r="Q135" s="6" t="n">
        <v>1</v>
      </c>
      <c r="R135">
        <f>M135+IF(MAX(N135-1,0)&gt;0,IF(ISBLANK(O135),5*MAX(N135-1,0),IF(ISNUMBER(O135),O135*MAX(N135-1,0),SUM(IFERROR(VALUE(TEXTSPLIT(O135,",")),0)))),0)</f>
        <v/>
      </c>
      <c r="S135">
        <f>IFERROR(L135*MAX(N135,1)/R135*IF(ISBLANK(K134),1,K134),0)</f>
        <v/>
      </c>
      <c r="AB135" s="7" t="inlineStr">
        <is>
          <t>^Warhead_Demolition_Heavy, ^Warhead_Demolition_Light</t>
        </is>
      </c>
    </row>
    <row r="136">
      <c r="B136" s="7" t="inlineStr">
        <is>
          <t xml:space="preserve">  ↳ 8Inch</t>
        </is>
      </c>
      <c r="C136" s="7" t="inlineStr">
        <is>
          <t>Armament@SECONDARY</t>
        </is>
      </c>
      <c r="L136" s="6" t="n">
        <v>80000</v>
      </c>
      <c r="M136" s="6" t="n">
        <v>250</v>
      </c>
      <c r="N136" s="6" t="n">
        <v>2</v>
      </c>
      <c r="O136" s="6" t="n"/>
      <c r="P136" s="6" t="n">
        <v>15000</v>
      </c>
      <c r="Q136" s="6" t="n">
        <v>1</v>
      </c>
      <c r="R136">
        <f>M136+IF(MAX(N136-1,0)&gt;0,IF(ISBLANK(O136),5*MAX(N136-1,0),IF(ISNUMBER(O136),O136*MAX(N136-1,0),SUM(IFERROR(VALUE(TEXTSPLIT(O136,",")),0)))),0)</f>
        <v/>
      </c>
      <c r="S136">
        <f>IFERROR(L136*MAX(N136,1)/R136*IF(ISBLANK(K134),1,K134),0)</f>
        <v/>
      </c>
      <c r="AB136" s="7" t="inlineStr">
        <is>
          <t>^Warhead_Demolition_Heavy, ^Warhead_Demolition_Light</t>
        </is>
      </c>
    </row>
    <row r="137">
      <c r="B137" s="7" t="inlineStr">
        <is>
          <t xml:space="preserve">  ↳ 8InchCryo</t>
        </is>
      </c>
      <c r="C137" s="7" t="inlineStr">
        <is>
          <t>Armament@PRIMARYCryo</t>
        </is>
      </c>
      <c r="L137" s="6" t="n">
        <v>80000</v>
      </c>
      <c r="M137" s="6" t="n">
        <v>250</v>
      </c>
      <c r="N137" s="6" t="n">
        <v>2</v>
      </c>
      <c r="O137" s="6" t="n"/>
      <c r="P137" s="6" t="n">
        <v>15000</v>
      </c>
      <c r="Q137" s="6" t="n">
        <v>1.25</v>
      </c>
      <c r="R137">
        <f>M137+IF(MAX(N137-1,0)&gt;0,IF(ISBLANK(O137),5*MAX(N137-1,0),IF(ISNUMBER(O137),O137*MAX(N137-1,0),SUM(IFERROR(VALUE(TEXTSPLIT(O137,",")),0)))),0)</f>
        <v/>
      </c>
      <c r="S137">
        <f>IFERROR(L137*MAX(N137,1)/R137*IF(ISBLANK(K134),1,K134),0)</f>
        <v/>
      </c>
      <c r="AB137" s="7" t="inlineStr">
        <is>
          <t>^Warhead_CryoBlast_Heavy</t>
        </is>
      </c>
    </row>
    <row r="138">
      <c r="B138" s="7" t="inlineStr">
        <is>
          <t xml:space="preserve">  ↳ 8InchCryo</t>
        </is>
      </c>
      <c r="C138" s="7" t="inlineStr">
        <is>
          <t>Armament@SECONDARYCryo</t>
        </is>
      </c>
      <c r="L138" s="6" t="n">
        <v>80000</v>
      </c>
      <c r="M138" s="6" t="n">
        <v>250</v>
      </c>
      <c r="N138" s="6" t="n">
        <v>2</v>
      </c>
      <c r="O138" s="6" t="n"/>
      <c r="P138" s="6" t="n">
        <v>15000</v>
      </c>
      <c r="Q138" s="6" t="n">
        <v>1.25</v>
      </c>
      <c r="R138">
        <f>M138+IF(MAX(N138-1,0)&gt;0,IF(ISBLANK(O138),5*MAX(N138-1,0),IF(ISNUMBER(O138),O138*MAX(N138-1,0),SUM(IFERROR(VALUE(TEXTSPLIT(O138,",")),0)))),0)</f>
        <v/>
      </c>
      <c r="S138">
        <f>IFERROR(L138*MAX(N138,1)/R138*IF(ISBLANK(K134),1,K134),0)</f>
        <v/>
      </c>
      <c r="AB138" s="7" t="inlineStr">
        <is>
          <t>^Warhead_CryoBlast_Heavy</t>
        </is>
      </c>
    </row>
    <row r="139">
      <c r="A139" t="inlineStr">
        <is>
          <t>shared</t>
        </is>
      </c>
      <c r="B139" t="inlineStr">
        <is>
          <t>ra1_soviets_missilesubmarine</t>
        </is>
      </c>
      <c r="C139" t="inlineStr">
        <is>
          <t>Missile Submarine</t>
        </is>
      </c>
      <c r="D139" s="6" t="inlineStr">
        <is>
          <t>ArtilleryShip</t>
        </is>
      </c>
      <c r="E139" s="6" t="n">
        <v>70000</v>
      </c>
      <c r="F139" s="6" t="n">
        <v>60</v>
      </c>
      <c r="G139" t="inlineStr">
        <is>
          <t>Medium</t>
        </is>
      </c>
      <c r="H139" s="6" t="n">
        <v>1</v>
      </c>
      <c r="I139" s="6" t="n">
        <v>1</v>
      </c>
      <c r="J139" s="6" t="n">
        <v>1</v>
      </c>
      <c r="K139" t="n">
        <v>0.02</v>
      </c>
      <c r="P139">
        <f>MAX(P140)</f>
        <v/>
      </c>
      <c r="S139">
        <f>S140</f>
        <v/>
      </c>
      <c r="T139">
        <f>(E139/100000+F139/100+(P139/1000)*J139/5+S139/200)*200*I139*H139</f>
        <v/>
      </c>
      <c r="U139">
        <f>((E139*F139/25000)+((P139/1000)*J139*S139/2.5))*I139*H139</f>
        <v/>
      </c>
      <c r="V139">
        <f>(E139*F139*(P139/1000)*J139*S139*I139*H139)/12500000</f>
        <v/>
      </c>
      <c r="W139">
        <f>(T139+U139+V139)/3</f>
        <v/>
      </c>
      <c r="X139" s="6" t="n">
        <v>3000</v>
      </c>
      <c r="Y139">
        <f>IFERROR(W139-X139,"")</f>
        <v/>
      </c>
      <c r="Z139">
        <f>IFERROR(ABS(Y139)/MAX(X139,1),"")</f>
        <v/>
      </c>
      <c r="AA139">
        <f>IFERROR((X139-(((E139/100000+F139/100+S139/200)*200*I139*H139)+((E139*F139/25000)*I139*H139))/3)/(((J139/5)*200*I139*H139)+((J139*S139/2.5)*I139*H139)+((E139*F139*J139*S139*I139*H139)/12500000))/3*1000,"")</f>
        <v/>
      </c>
    </row>
    <row r="140">
      <c r="B140" s="7" t="inlineStr">
        <is>
          <t xml:space="preserve">  ↳ 227mm</t>
        </is>
      </c>
      <c r="C140" s="7" t="inlineStr">
        <is>
          <t>Armament@PRIMARY</t>
        </is>
      </c>
      <c r="L140" s="6" t="n">
        <v>8000</v>
      </c>
      <c r="M140" s="6" t="n">
        <v>111</v>
      </c>
      <c r="N140" s="6" t="n">
        <v>6</v>
      </c>
      <c r="O140" s="6" t="n">
        <v>5</v>
      </c>
      <c r="P140" s="6" t="n">
        <v>9920</v>
      </c>
      <c r="Q140" s="6" t="n">
        <v>1</v>
      </c>
      <c r="R140">
        <f>M140+IF(MAX(N140-1,0)&gt;0,IF(ISBLANK(O140),5*MAX(N140-1,0),IF(ISNUMBER(O140),O140*MAX(N140-1,0),SUM(IFERROR(VALUE(TEXTSPLIT(O140,",")),0)))),0)</f>
        <v/>
      </c>
      <c r="S140">
        <f>IFERROR(L140*MAX(N140,1)/R140*IF(ISBLANK(K139),1,K139),0)</f>
        <v/>
      </c>
      <c r="AB140" s="7" t="inlineStr">
        <is>
          <t>^Warhead_MissileHE_Medium</t>
        </is>
      </c>
    </row>
    <row r="141">
      <c r="A141" t="inlineStr">
        <is>
          <t>tiberiansun</t>
        </is>
      </c>
      <c r="B141" t="inlineStr">
        <is>
          <t>cabal_plasmasub</t>
        </is>
      </c>
      <c r="C141" t="inlineStr">
        <is>
          <t>Plasma Submarine</t>
        </is>
      </c>
      <c r="D141" s="6" t="inlineStr">
        <is>
          <t>ArtilleryShip</t>
        </is>
      </c>
      <c r="E141" s="6" t="n">
        <v>200000</v>
      </c>
      <c r="F141" s="6" t="n">
        <v>60</v>
      </c>
      <c r="G141" t="inlineStr">
        <is>
          <t>Medium</t>
        </is>
      </c>
      <c r="H141" s="6" t="n">
        <v>1</v>
      </c>
      <c r="I141" s="6" t="n">
        <v>1</v>
      </c>
      <c r="J141" s="6" t="n">
        <v>1</v>
      </c>
      <c r="K141" t="n">
        <v>0.02</v>
      </c>
      <c r="P141">
        <f>MAX(P142)</f>
        <v/>
      </c>
      <c r="S141">
        <f>S142</f>
        <v/>
      </c>
      <c r="T141">
        <f>(E141/100000+F141/100+(P141/1000)*J141/5+S141/200)*200*I141*H141</f>
        <v/>
      </c>
      <c r="U141">
        <f>((E141*F141/25000)+((P141/1000)*J141*S141/2.5))*I141*H141</f>
        <v/>
      </c>
      <c r="V141">
        <f>(E141*F141*(P141/1000)*J141*S141*I141*H141)/12500000</f>
        <v/>
      </c>
      <c r="W141">
        <f>(T141+U141+V141)/3</f>
        <v/>
      </c>
      <c r="X141" s="6" t="n">
        <v>2500</v>
      </c>
      <c r="Y141">
        <f>IFERROR(W141-X141,"")</f>
        <v/>
      </c>
      <c r="Z141">
        <f>IFERROR(ABS(Y141)/MAX(X141,1),"")</f>
        <v/>
      </c>
      <c r="AA141">
        <f>IFERROR((X141-(((E141/100000+F141/100+S141/200)*200*I141*H141)+((E141*F141/25000)*I141*H141))/3)/(((J141/5)*200*I141*H141)+((J141*S141/2.5)*I141*H141)+((E141*F141*J141*S141*I141*H141)/12500000))/3*1000,"")</f>
        <v/>
      </c>
    </row>
    <row r="142">
      <c r="B142" s="7" t="inlineStr">
        <is>
          <t xml:space="preserve">  ↳ CabalSubmarinePlasma</t>
        </is>
      </c>
      <c r="C142" s="7" t="inlineStr">
        <is>
          <t>Armament</t>
        </is>
      </c>
      <c r="L142" s="6" t="n">
        <v>75000</v>
      </c>
      <c r="M142" s="6" t="n">
        <v>45</v>
      </c>
      <c r="N142" s="6" t="n">
        <v>1</v>
      </c>
      <c r="O142" s="6" t="n"/>
      <c r="P142" s="6" t="n">
        <v>12000</v>
      </c>
      <c r="Q142" s="6" t="n">
        <v>1</v>
      </c>
      <c r="R142">
        <f>M142+IF(MAX(N142-1,0)&gt;0,IF(ISBLANK(O142),5*MAX(N142-1,0),IF(ISNUMBER(O142),O142*MAX(N142-1,0),SUM(IFERROR(VALUE(TEXTSPLIT(O142,",")),0)))),0)</f>
        <v/>
      </c>
      <c r="S142">
        <f>IFERROR(L142*MAX(N142,1)/R142*IF(ISBLANK(K141),1,K141),0)</f>
        <v/>
      </c>
      <c r="AB142" s="7" t="inlineStr">
        <is>
          <t>^HeavyCannon, ^MediumFlameWeapon, ^MediumChemicalWeapon</t>
        </is>
      </c>
    </row>
    <row r="143">
      <c r="A143" t="inlineStr">
        <is>
          <t>tiberiansun</t>
        </is>
      </c>
      <c r="B143" t="inlineStr">
        <is>
          <t>ts_nod_cruiser</t>
        </is>
      </c>
      <c r="C143" t="inlineStr">
        <is>
          <t>Nod Battleship</t>
        </is>
      </c>
      <c r="D143" s="6" t="inlineStr">
        <is>
          <t>ArtilleryShip</t>
        </is>
      </c>
      <c r="E143" s="6" t="n">
        <v>350000</v>
      </c>
      <c r="F143" s="6" t="n">
        <v>40</v>
      </c>
      <c r="G143" t="inlineStr">
        <is>
          <t>Superheavy</t>
        </is>
      </c>
      <c r="H143" s="6" t="n">
        <v>0.5749</v>
      </c>
      <c r="I143" s="6" t="n">
        <v>1</v>
      </c>
      <c r="J143" s="6" t="n">
        <v>1</v>
      </c>
      <c r="P143">
        <f>MAX(P144,P145,P146,P147,P148)</f>
        <v/>
      </c>
      <c r="S143">
        <f>S144+S145+S146+S147+S148</f>
        <v/>
      </c>
      <c r="T143">
        <f>(E143/100000+F143/100+(P143/1000)*J143/5+S143/200)*200*I143*H143</f>
        <v/>
      </c>
      <c r="U143">
        <f>((E143*F143/25000)+((P143/1000)*J143*S143/2.5))*I143*H143</f>
        <v/>
      </c>
      <c r="V143">
        <f>(E143*F143*(P143/1000)*J143*S143*I143*H143)/12500000</f>
        <v/>
      </c>
      <c r="W143">
        <f>(T143+U143+V143)/3</f>
        <v/>
      </c>
      <c r="X143" s="6" t="n">
        <v>4000</v>
      </c>
      <c r="Y143">
        <f>IFERROR(W143-X143,"")</f>
        <v/>
      </c>
      <c r="Z143">
        <f>IFERROR(ABS(Y143)/MAX(X143,1),"")</f>
        <v/>
      </c>
      <c r="AA143">
        <f>IFERROR((X143-(((E143/100000+F143/100+S143/200)*200*I143*H143)+((E143*F143/25000)*I143*H143))/3)/(((J143/5)*200*I143*H143)+((J143*S143/2.5)*I143*H143)+((E143*F143*J143*S143*I143*H143)/12500000))/3*1000,"")</f>
        <v/>
      </c>
    </row>
    <row r="144">
      <c r="B144" s="7" t="inlineStr">
        <is>
          <t xml:space="preserve">  ↳ 8Inch</t>
        </is>
      </c>
      <c r="C144" s="7" t="inlineStr">
        <is>
          <t>Armament@PRIMARY</t>
        </is>
      </c>
      <c r="L144" s="6" t="n">
        <v>80000</v>
      </c>
      <c r="M144" s="6" t="n">
        <v>250</v>
      </c>
      <c r="N144" s="6" t="n">
        <v>2</v>
      </c>
      <c r="O144" s="6" t="n"/>
      <c r="P144" s="6" t="n">
        <v>15000</v>
      </c>
      <c r="Q144" s="6" t="n">
        <v>1</v>
      </c>
      <c r="R144">
        <f>M144+IF(MAX(N144-1,0)&gt;0,IF(ISBLANK(O144),5*MAX(N144-1,0),IF(ISNUMBER(O144),O144*MAX(N144-1,0),SUM(IFERROR(VALUE(TEXTSPLIT(O144,",")),0)))),0)</f>
        <v/>
      </c>
      <c r="S144">
        <f>IFERROR(L144*MAX(N144,1)/R144*IF(ISBLANK(K143),1,K143),0)</f>
        <v/>
      </c>
      <c r="AB144" s="7" t="inlineStr">
        <is>
          <t>^Warhead_Demolition_Heavy, ^Warhead_Demolition_Light</t>
        </is>
      </c>
    </row>
    <row r="145">
      <c r="B145" s="7" t="inlineStr">
        <is>
          <t xml:space="preserve">  ↳ 8Inch</t>
        </is>
      </c>
      <c r="C145" s="7" t="inlineStr">
        <is>
          <t>Armament@SECONDARY</t>
        </is>
      </c>
      <c r="L145" s="6" t="n">
        <v>80000</v>
      </c>
      <c r="M145" s="6" t="n">
        <v>250</v>
      </c>
      <c r="N145" s="6" t="n">
        <v>2</v>
      </c>
      <c r="O145" s="6" t="n"/>
      <c r="P145" s="6" t="n">
        <v>15000</v>
      </c>
      <c r="Q145" s="6" t="n">
        <v>1</v>
      </c>
      <c r="R145">
        <f>M145+IF(MAX(N145-1,0)&gt;0,IF(ISBLANK(O145),5*MAX(N145-1,0),IF(ISNUMBER(O145),O145*MAX(N145-1,0),SUM(IFERROR(VALUE(TEXTSPLIT(O145,",")),0)))),0)</f>
        <v/>
      </c>
      <c r="S145">
        <f>IFERROR(L145*MAX(N145,1)/R145*IF(ISBLANK(K143),1,K143),0)</f>
        <v/>
      </c>
      <c r="AB145" s="7" t="inlineStr">
        <is>
          <t>^Warhead_Demolition_Heavy, ^Warhead_Demolition_Light</t>
        </is>
      </c>
    </row>
    <row r="146">
      <c r="B146" s="7" t="inlineStr">
        <is>
          <t xml:space="preserve">  ↳ 8Inch</t>
        </is>
      </c>
      <c r="C146" s="7" t="inlineStr">
        <is>
          <t>Armament@TERCERA</t>
        </is>
      </c>
      <c r="L146" s="6" t="n">
        <v>80000</v>
      </c>
      <c r="M146" s="6" t="n">
        <v>250</v>
      </c>
      <c r="N146" s="6" t="n">
        <v>2</v>
      </c>
      <c r="O146" s="6" t="n"/>
      <c r="P146" s="6" t="n">
        <v>15000</v>
      </c>
      <c r="Q146" s="6" t="n">
        <v>1</v>
      </c>
      <c r="R146">
        <f>M146+IF(MAX(N146-1,0)&gt;0,IF(ISBLANK(O146),5*MAX(N146-1,0),IF(ISNUMBER(O146),O146*MAX(N146-1,0),SUM(IFERROR(VALUE(TEXTSPLIT(O146,",")),0)))),0)</f>
        <v/>
      </c>
      <c r="S146">
        <f>IFERROR(L146*MAX(N146,1)/R146*IF(ISBLANK(K143),1,K143),0)</f>
        <v/>
      </c>
      <c r="AB146" s="7" t="inlineStr">
        <is>
          <t>^Warhead_Demolition_Heavy, ^Warhead_Demolition_Light</t>
        </is>
      </c>
    </row>
    <row r="147">
      <c r="B147" s="7" t="inlineStr">
        <is>
          <t xml:space="preserve">  ↳ 8Inch</t>
        </is>
      </c>
      <c r="C147" s="7" t="inlineStr">
        <is>
          <t>Armament@CUARTA</t>
        </is>
      </c>
      <c r="L147" s="6" t="n">
        <v>80000</v>
      </c>
      <c r="M147" s="6" t="n">
        <v>250</v>
      </c>
      <c r="N147" s="6" t="n">
        <v>2</v>
      </c>
      <c r="O147" s="6" t="n"/>
      <c r="P147" s="6" t="n">
        <v>15000</v>
      </c>
      <c r="Q147" s="6" t="n">
        <v>1</v>
      </c>
      <c r="R147">
        <f>M147+IF(MAX(N147-1,0)&gt;0,IF(ISBLANK(O147),5*MAX(N147-1,0),IF(ISNUMBER(O147),O147*MAX(N147-1,0),SUM(IFERROR(VALUE(TEXTSPLIT(O147,",")),0)))),0)</f>
        <v/>
      </c>
      <c r="S147">
        <f>IFERROR(L147*MAX(N147,1)/R147*IF(ISBLANK(K143),1,K143),0)</f>
        <v/>
      </c>
      <c r="AB147" s="7" t="inlineStr">
        <is>
          <t>^Warhead_Demolition_Heavy, ^Warhead_Demolition_Light</t>
        </is>
      </c>
    </row>
    <row r="148">
      <c r="B148" s="7" t="inlineStr">
        <is>
          <t xml:space="preserve">  ↳ 8Inch</t>
        </is>
      </c>
      <c r="C148" s="7" t="inlineStr">
        <is>
          <t>Armament@QUINTA</t>
        </is>
      </c>
      <c r="L148" s="6" t="n">
        <v>80000</v>
      </c>
      <c r="M148" s="6" t="n">
        <v>250</v>
      </c>
      <c r="N148" s="6" t="n">
        <v>2</v>
      </c>
      <c r="O148" s="6" t="n"/>
      <c r="P148" s="6" t="n">
        <v>15000</v>
      </c>
      <c r="Q148" s="6" t="n">
        <v>1</v>
      </c>
      <c r="R148">
        <f>M148+IF(MAX(N148-1,0)&gt;0,IF(ISBLANK(O148),5*MAX(N148-1,0),IF(ISNUMBER(O148),O148*MAX(N148-1,0),SUM(IFERROR(VALUE(TEXTSPLIT(O148,",")),0)))),0)</f>
        <v/>
      </c>
      <c r="S148">
        <f>IFERROR(L148*MAX(N148,1)/R148*IF(ISBLANK(K143),1,K143),0)</f>
        <v/>
      </c>
      <c r="AB148" s="7" t="inlineStr">
        <is>
          <t>^Warhead_Demolition_Heavy, ^Warhead_Demolition_Light</t>
        </is>
      </c>
    </row>
    <row r="149">
      <c r="A149" t="inlineStr">
        <is>
          <t>tiberiansun</t>
        </is>
      </c>
      <c r="B149" t="inlineStr">
        <is>
          <t>ts_gdi_carrier</t>
        </is>
      </c>
      <c r="C149" t="inlineStr">
        <is>
          <t>GDI Carrier</t>
        </is>
      </c>
      <c r="D149" s="6" t="inlineStr">
        <is>
          <t>ArtilleryShip</t>
        </is>
      </c>
      <c r="E149" s="6" t="n">
        <v>350000</v>
      </c>
      <c r="F149" s="6" t="n">
        <v>40</v>
      </c>
      <c r="G149" t="inlineStr">
        <is>
          <t>Superheavy</t>
        </is>
      </c>
      <c r="H149" s="6" t="n">
        <v>0.5789</v>
      </c>
      <c r="I149" s="6" t="n">
        <v>1</v>
      </c>
      <c r="J149" s="6" t="n">
        <v>1</v>
      </c>
      <c r="P149">
        <f>MAX(P150,P151,P152,P153)</f>
        <v/>
      </c>
      <c r="S149">
        <f>S150+S151+S152+S153</f>
        <v/>
      </c>
      <c r="T149">
        <f>(E149/100000+F149/100+(P149/1000)*J149/5+S149/200)*200*I149*H149</f>
        <v/>
      </c>
      <c r="U149">
        <f>((E149*F149/25000)+((P149/1000)*J149*S149/2.5))*I149*H149</f>
        <v/>
      </c>
      <c r="V149">
        <f>(E149*F149*(P149/1000)*J149*S149*I149*H149)/12500000</f>
        <v/>
      </c>
      <c r="W149">
        <f>(T149+U149+V149)/3</f>
        <v/>
      </c>
      <c r="X149" s="6" t="n">
        <v>4000</v>
      </c>
      <c r="Y149">
        <f>IFERROR(W149-X149,"")</f>
        <v/>
      </c>
      <c r="Z149">
        <f>IFERROR(ABS(Y149)/MAX(X149,1),"")</f>
        <v/>
      </c>
      <c r="AA149">
        <f>IFERROR((X149-(((E149/100000+F149/100+S149/200)*200*I149*H149)+((E149*F149/25000)*I149*H149))/3)/(((J149/5)*200*I149*H149)+((J149*S149/2.5)*I149*H149)+((E149*F149*J149*S149*I149*H149)/12500000))/3*1000,"")</f>
        <v/>
      </c>
    </row>
    <row r="150">
      <c r="B150" s="7" t="inlineStr">
        <is>
          <t xml:space="preserve">  ↳ APCGun</t>
        </is>
      </c>
      <c r="C150" s="7" t="inlineStr">
        <is>
          <t>Armament@PRIMARY</t>
        </is>
      </c>
      <c r="L150" s="6" t="n">
        <v>4000</v>
      </c>
      <c r="M150" s="6" t="n">
        <v>10</v>
      </c>
      <c r="N150" s="6" t="n">
        <v>1</v>
      </c>
      <c r="O150" s="6" t="n"/>
      <c r="P150" s="6" t="n">
        <v>5668</v>
      </c>
      <c r="Q150" s="6" t="n">
        <v>1</v>
      </c>
      <c r="R150">
        <f>M150+IF(MAX(N150-1,0)&gt;0,IF(ISBLANK(O150),5*MAX(N150-1,0),IF(ISNUMBER(O150),O150*MAX(N150-1,0),SUM(IFERROR(VALUE(TEXTSPLIT(O150,",")),0)))),0)</f>
        <v/>
      </c>
      <c r="S150">
        <f>IFERROR(L150*MAX(N150,1)/R150*IF(ISBLANK(K149),1,K149),0)</f>
        <v/>
      </c>
      <c r="AB150" s="7" t="inlineStr">
        <is>
          <t>^Warhead_Bullet_Medium, ^Warhead_Flak_Medium</t>
        </is>
      </c>
    </row>
    <row r="151">
      <c r="B151" s="7" t="inlineStr">
        <is>
          <t xml:space="preserve">  ↳ APCGun</t>
        </is>
      </c>
      <c r="C151" s="7" t="inlineStr">
        <is>
          <t>Armament@SECONDARY</t>
        </is>
      </c>
      <c r="L151" s="6" t="n">
        <v>4000</v>
      </c>
      <c r="M151" s="6" t="n">
        <v>10</v>
      </c>
      <c r="N151" s="6" t="n">
        <v>1</v>
      </c>
      <c r="O151" s="6" t="n"/>
      <c r="P151" s="6" t="n">
        <v>5668</v>
      </c>
      <c r="Q151" s="6" t="n">
        <v>1</v>
      </c>
      <c r="R151">
        <f>M151+IF(MAX(N151-1,0)&gt;0,IF(ISBLANK(O151),5*MAX(N151-1,0),IF(ISNUMBER(O151),O151*MAX(N151-1,0),SUM(IFERROR(VALUE(TEXTSPLIT(O151,",")),0)))),0)</f>
        <v/>
      </c>
      <c r="S151">
        <f>IFERROR(L151*MAX(N151,1)/R151*IF(ISBLANK(K149),1,K149),0)</f>
        <v/>
      </c>
      <c r="AB151" s="7" t="inlineStr">
        <is>
          <t>^Warhead_Bullet_Medium, ^Warhead_Flak_Medium</t>
        </is>
      </c>
    </row>
    <row r="152">
      <c r="B152" s="7" t="inlineStr">
        <is>
          <t xml:space="preserve">  ↳ APCGun</t>
        </is>
      </c>
      <c r="C152" s="7" t="inlineStr">
        <is>
          <t>Armament@TERCERA</t>
        </is>
      </c>
      <c r="L152" s="6" t="n">
        <v>4000</v>
      </c>
      <c r="M152" s="6" t="n">
        <v>10</v>
      </c>
      <c r="N152" s="6" t="n">
        <v>1</v>
      </c>
      <c r="O152" s="6" t="n"/>
      <c r="P152" s="6" t="n">
        <v>5668</v>
      </c>
      <c r="Q152" s="6" t="n">
        <v>1</v>
      </c>
      <c r="R152">
        <f>M152+IF(MAX(N152-1,0)&gt;0,IF(ISBLANK(O152),5*MAX(N152-1,0),IF(ISNUMBER(O152),O152*MAX(N152-1,0),SUM(IFERROR(VALUE(TEXTSPLIT(O152,",")),0)))),0)</f>
        <v/>
      </c>
      <c r="S152">
        <f>IFERROR(L152*MAX(N152,1)/R152*IF(ISBLANK(K149),1,K149),0)</f>
        <v/>
      </c>
      <c r="AB152" s="7" t="inlineStr">
        <is>
          <t>^Warhead_Bullet_Medium, ^Warhead_Flak_Medium</t>
        </is>
      </c>
    </row>
    <row r="153">
      <c r="B153" s="7" t="inlineStr">
        <is>
          <t xml:space="preserve">  ↳ APCGun</t>
        </is>
      </c>
      <c r="C153" s="7" t="inlineStr">
        <is>
          <t>Armament@CUARTA</t>
        </is>
      </c>
      <c r="L153" s="6" t="n">
        <v>4000</v>
      </c>
      <c r="M153" s="6" t="n">
        <v>10</v>
      </c>
      <c r="N153" s="6" t="n">
        <v>1</v>
      </c>
      <c r="O153" s="6" t="n"/>
      <c r="P153" s="6" t="n">
        <v>5668</v>
      </c>
      <c r="Q153" s="6" t="n">
        <v>1</v>
      </c>
      <c r="R153">
        <f>M153+IF(MAX(N153-1,0)&gt;0,IF(ISBLANK(O153),5*MAX(N153-1,0),IF(ISNUMBER(O153),O153*MAX(N153-1,0),SUM(IFERROR(VALUE(TEXTSPLIT(O153,",")),0)))),0)</f>
        <v/>
      </c>
      <c r="S153">
        <f>IFERROR(L153*MAX(N153,1)/R153*IF(ISBLANK(K149),1,K149),0)</f>
        <v/>
      </c>
      <c r="AB153" s="7" t="inlineStr">
        <is>
          <t>^Warhead_Bullet_Medium, ^Warhead_Flak_Medium</t>
        </is>
      </c>
    </row>
    <row r="154">
      <c r="B154" s="7" t="inlineStr">
        <is>
          <t xml:space="preserve">  ↳ RA2CarrierTarget</t>
        </is>
      </c>
      <c r="C154" s="7" t="inlineStr">
        <is>
          <t>Armament@QUINTA</t>
        </is>
      </c>
      <c r="M154" s="6" t="n">
        <v>50</v>
      </c>
      <c r="N154" s="6" t="n">
        <v>1</v>
      </c>
      <c r="O154" s="6" t="n"/>
      <c r="P154" s="6" t="n">
        <v>17500</v>
      </c>
      <c r="Q154" s="6" t="n">
        <v>1</v>
      </c>
      <c r="R154">
        <f>M154+IF(MAX(N154-1,0)&gt;0,IF(ISBLANK(O154),5*MAX(N154-1,0),IF(ISNUMBER(O154),O154*MAX(N154-1,0),SUM(IFERROR(VALUE(TEXTSPLIT(O154,",")),0)))),0)</f>
        <v/>
      </c>
      <c r="S154">
        <f>IFERROR(L154*MAX(N154,1)/R154*IF(ISBLANK(K149),1,K149),0)</f>
        <v/>
      </c>
      <c r="AB154" s="7" t="inlineStr"/>
    </row>
    <row r="155">
      <c r="A155" t="inlineStr">
        <is>
          <t>tiberiansun</t>
        </is>
      </c>
      <c r="B155" t="inlineStr">
        <is>
          <t>ts_gdi_cruiser</t>
        </is>
      </c>
      <c r="C155" t="inlineStr">
        <is>
          <t>GDI Battleship</t>
        </is>
      </c>
      <c r="D155" s="6" t="inlineStr">
        <is>
          <t>ArtilleryShip</t>
        </is>
      </c>
      <c r="E155" s="6" t="n">
        <v>350000</v>
      </c>
      <c r="F155" s="6" t="n">
        <v>40</v>
      </c>
      <c r="G155" t="inlineStr">
        <is>
          <t>Superheavy</t>
        </is>
      </c>
      <c r="H155" s="6" t="n">
        <v>0.5789</v>
      </c>
      <c r="I155" s="6" t="n">
        <v>1</v>
      </c>
      <c r="J155" s="6" t="n">
        <v>1</v>
      </c>
      <c r="P155">
        <f>MAX(P156,P157,P158,P159,P160,P161)</f>
        <v/>
      </c>
      <c r="S155">
        <f>S156+S157+S158+S159+S160+S161</f>
        <v/>
      </c>
      <c r="T155">
        <f>(E155/100000+F155/100+(P155/1000)*J155/5+S155/200)*200*I155*H155</f>
        <v/>
      </c>
      <c r="U155">
        <f>((E155*F155/25000)+((P155/1000)*J155*S155/2.5))*I155*H155</f>
        <v/>
      </c>
      <c r="V155">
        <f>(E155*F155*(P155/1000)*J155*S155*I155*H155)/12500000</f>
        <v/>
      </c>
      <c r="W155">
        <f>(T155+U155+V155)/3</f>
        <v/>
      </c>
      <c r="X155" s="6" t="n">
        <v>4000</v>
      </c>
      <c r="Y155">
        <f>IFERROR(W155-X155,"")</f>
        <v/>
      </c>
      <c r="Z155">
        <f>IFERROR(ABS(Y155)/MAX(X155,1),"")</f>
        <v/>
      </c>
      <c r="AA155">
        <f>IFERROR((X155-(((E155/100000+F155/100+S155/200)*200*I155*H155)+((E155*F155/25000)*I155*H155))/3)/(((J155/5)*200*I155*H155)+((J155*S155/2.5)*I155*H155)+((E155*F155*J155*S155*I155*H155)/12500000))/3*1000,"")</f>
        <v/>
      </c>
    </row>
    <row r="156">
      <c r="B156" s="7" t="inlineStr">
        <is>
          <t xml:space="preserve">  ↳ 8Inch</t>
        </is>
      </c>
      <c r="C156" s="7" t="inlineStr">
        <is>
          <t>Armament@PRIMARY</t>
        </is>
      </c>
      <c r="L156" s="6" t="n">
        <v>80000</v>
      </c>
      <c r="M156" s="6" t="n">
        <v>250</v>
      </c>
      <c r="N156" s="6" t="n">
        <v>2</v>
      </c>
      <c r="O156" s="6" t="n"/>
      <c r="P156" s="6" t="n">
        <v>15000</v>
      </c>
      <c r="Q156" s="6" t="n">
        <v>1</v>
      </c>
      <c r="R156">
        <f>M156+IF(MAX(N156-1,0)&gt;0,IF(ISBLANK(O156),5*MAX(N156-1,0),IF(ISNUMBER(O156),O156*MAX(N156-1,0),SUM(IFERROR(VALUE(TEXTSPLIT(O156,",")),0)))),0)</f>
        <v/>
      </c>
      <c r="S156">
        <f>IFERROR(L156*MAX(N156,1)/R156*IF(ISBLANK(K155),1,K155),0)</f>
        <v/>
      </c>
      <c r="AB156" s="7" t="inlineStr">
        <is>
          <t>^Warhead_Demolition_Heavy, ^Warhead_Demolition_Light</t>
        </is>
      </c>
    </row>
    <row r="157">
      <c r="B157" s="7" t="inlineStr">
        <is>
          <t xml:space="preserve">  ↳ 8Inch</t>
        </is>
      </c>
      <c r="C157" s="7" t="inlineStr">
        <is>
          <t>Armament@SECONDARY</t>
        </is>
      </c>
      <c r="L157" s="6" t="n">
        <v>80000</v>
      </c>
      <c r="M157" s="6" t="n">
        <v>250</v>
      </c>
      <c r="N157" s="6" t="n">
        <v>2</v>
      </c>
      <c r="O157" s="6" t="n"/>
      <c r="P157" s="6" t="n">
        <v>15000</v>
      </c>
      <c r="Q157" s="6" t="n">
        <v>1</v>
      </c>
      <c r="R157">
        <f>M157+IF(MAX(N157-1,0)&gt;0,IF(ISBLANK(O157),5*MAX(N157-1,0),IF(ISNUMBER(O157),O157*MAX(N157-1,0),SUM(IFERROR(VALUE(TEXTSPLIT(O157,",")),0)))),0)</f>
        <v/>
      </c>
      <c r="S157">
        <f>IFERROR(L157*MAX(N157,1)/R157*IF(ISBLANK(K155),1,K155),0)</f>
        <v/>
      </c>
      <c r="AB157" s="7" t="inlineStr">
        <is>
          <t>^Warhead_Demolition_Heavy, ^Warhead_Demolition_Light</t>
        </is>
      </c>
    </row>
    <row r="158">
      <c r="B158" s="7" t="inlineStr">
        <is>
          <t xml:space="preserve">  ↳ 8Inch</t>
        </is>
      </c>
      <c r="C158" s="7" t="inlineStr">
        <is>
          <t>Armament@TERCERA</t>
        </is>
      </c>
      <c r="L158" s="6" t="n">
        <v>80000</v>
      </c>
      <c r="M158" s="6" t="n">
        <v>250</v>
      </c>
      <c r="N158" s="6" t="n">
        <v>2</v>
      </c>
      <c r="O158" s="6" t="n"/>
      <c r="P158" s="6" t="n">
        <v>15000</v>
      </c>
      <c r="Q158" s="6" t="n">
        <v>1</v>
      </c>
      <c r="R158">
        <f>M158+IF(MAX(N158-1,0)&gt;0,IF(ISBLANK(O158),5*MAX(N158-1,0),IF(ISNUMBER(O158),O158*MAX(N158-1,0),SUM(IFERROR(VALUE(TEXTSPLIT(O158,",")),0)))),0)</f>
        <v/>
      </c>
      <c r="S158">
        <f>IFERROR(L158*MAX(N158,1)/R158*IF(ISBLANK(K155),1,K155),0)</f>
        <v/>
      </c>
      <c r="AB158" s="7" t="inlineStr">
        <is>
          <t>^Warhead_Demolition_Heavy, ^Warhead_Demolition_Light</t>
        </is>
      </c>
    </row>
    <row r="159">
      <c r="B159" s="7" t="inlineStr">
        <is>
          <t xml:space="preserve">  ↳ 8Inch</t>
        </is>
      </c>
      <c r="C159" s="7" t="inlineStr">
        <is>
          <t>Armament@CUARTA</t>
        </is>
      </c>
      <c r="L159" s="6" t="n">
        <v>80000</v>
      </c>
      <c r="M159" s="6" t="n">
        <v>250</v>
      </c>
      <c r="N159" s="6" t="n">
        <v>2</v>
      </c>
      <c r="O159" s="6" t="n"/>
      <c r="P159" s="6" t="n">
        <v>15000</v>
      </c>
      <c r="Q159" s="6" t="n">
        <v>1</v>
      </c>
      <c r="R159">
        <f>M159+IF(MAX(N159-1,0)&gt;0,IF(ISBLANK(O159),5*MAX(N159-1,0),IF(ISNUMBER(O159),O159*MAX(N159-1,0),SUM(IFERROR(VALUE(TEXTSPLIT(O159,",")),0)))),0)</f>
        <v/>
      </c>
      <c r="S159">
        <f>IFERROR(L159*MAX(N159,1)/R159*IF(ISBLANK(K155),1,K155),0)</f>
        <v/>
      </c>
      <c r="AB159" s="7" t="inlineStr">
        <is>
          <t>^Warhead_Demolition_Heavy, ^Warhead_Demolition_Light</t>
        </is>
      </c>
    </row>
    <row r="160">
      <c r="B160" s="7" t="inlineStr">
        <is>
          <t xml:space="preserve">  ↳ TSHoverMissile</t>
        </is>
      </c>
      <c r="C160" s="7" t="inlineStr">
        <is>
          <t>Armament@QUINTA</t>
        </is>
      </c>
      <c r="L160" s="6" t="n">
        <v>12000</v>
      </c>
      <c r="M160" s="6" t="n">
        <v>60</v>
      </c>
      <c r="N160" s="6" t="n">
        <v>2</v>
      </c>
      <c r="O160" s="6" t="n">
        <v>8</v>
      </c>
      <c r="P160" s="6" t="n">
        <v>8159</v>
      </c>
      <c r="Q160" s="6" t="n">
        <v>1</v>
      </c>
      <c r="R160">
        <f>M160+IF(MAX(N160-1,0)&gt;0,IF(ISBLANK(O160),5*MAX(N160-1,0),IF(ISNUMBER(O160),O160*MAX(N160-1,0),SUM(IFERROR(VALUE(TEXTSPLIT(O160,",")),0)))),0)</f>
        <v/>
      </c>
      <c r="S160">
        <f>IFERROR(L160*MAX(N160,1)/R160*IF(ISBLANK(K155),1,K155),0)</f>
        <v/>
      </c>
      <c r="AB160" s="7" t="inlineStr">
        <is>
          <t>^FlakWeapon, ^MediumMissile, ^ShrapnelWeapon</t>
        </is>
      </c>
    </row>
    <row r="161">
      <c r="B161" s="7" t="inlineStr">
        <is>
          <t xml:space="preserve">  ↳ TSHoverMissile</t>
        </is>
      </c>
      <c r="C161" s="7" t="inlineStr">
        <is>
          <t>Armament@SEXTA</t>
        </is>
      </c>
      <c r="L161" s="6" t="n">
        <v>12000</v>
      </c>
      <c r="M161" s="6" t="n">
        <v>60</v>
      </c>
      <c r="N161" s="6" t="n">
        <v>2</v>
      </c>
      <c r="O161" s="6" t="n">
        <v>8</v>
      </c>
      <c r="P161" s="6" t="n">
        <v>8159</v>
      </c>
      <c r="Q161" s="6" t="n">
        <v>1</v>
      </c>
      <c r="R161">
        <f>M161+IF(MAX(N161-1,0)&gt;0,IF(ISBLANK(O161),5*MAX(N161-1,0),IF(ISNUMBER(O161),O161*MAX(N161-1,0),SUM(IFERROR(VALUE(TEXTSPLIT(O161,",")),0)))),0)</f>
        <v/>
      </c>
      <c r="S161">
        <f>IFERROR(L161*MAX(N161,1)/R161*IF(ISBLANK(K155),1,K155),0)</f>
        <v/>
      </c>
      <c r="AB161" s="7" t="inlineStr">
        <is>
          <t>^FlakWeapon, ^MediumMissile, ^ShrapnelWeapon</t>
        </is>
      </c>
    </row>
    <row r="162">
      <c r="A162" t="inlineStr">
        <is>
          <t>shared</t>
        </is>
      </c>
      <c r="B162" t="inlineStr">
        <is>
          <t>ra2carrier</t>
        </is>
      </c>
      <c r="C162" t="inlineStr">
        <is>
          <t>actor_ra2carrier.name</t>
        </is>
      </c>
      <c r="D162" s="6" t="inlineStr">
        <is>
          <t>ArtilleryShip</t>
        </is>
      </c>
      <c r="E162" s="6" t="n">
        <v>250000</v>
      </c>
      <c r="F162" s="6" t="n">
        <v>40</v>
      </c>
      <c r="G162" t="inlineStr">
        <is>
          <t>Superheavy</t>
        </is>
      </c>
      <c r="H162" s="6" t="n">
        <v>1</v>
      </c>
      <c r="I162" s="6" t="n">
        <v>1</v>
      </c>
      <c r="J162" s="6" t="n">
        <v>1</v>
      </c>
      <c r="X162" s="6" t="n">
        <v>2500</v>
      </c>
    </row>
    <row r="163">
      <c r="B163" s="7" t="inlineStr">
        <is>
          <t xml:space="preserve">  ↳ RA2CarrierTarget</t>
        </is>
      </c>
      <c r="C163" s="7" t="inlineStr">
        <is>
          <t>Armament@PRIMARY</t>
        </is>
      </c>
      <c r="M163" s="6" t="n">
        <v>50</v>
      </c>
      <c r="N163" s="6" t="n">
        <v>1</v>
      </c>
      <c r="O163" s="6" t="n"/>
      <c r="P163" s="6" t="n">
        <v>17500</v>
      </c>
      <c r="Q163" s="6" t="n">
        <v>1</v>
      </c>
      <c r="R163">
        <f>M163+IF(MAX(N163-1,0)&gt;0,IF(ISBLANK(O163),5*MAX(N163-1,0),IF(ISNUMBER(O163),O163*MAX(N163-1,0),SUM(IFERROR(VALUE(TEXTSPLIT(O163,",")),0)))),0)</f>
        <v/>
      </c>
      <c r="S163">
        <f>IFERROR(L163*MAX(N163,1)/R163*IF(ISBLANK(K162),1,K162),0)</f>
        <v/>
      </c>
      <c r="AB163" s="7" t="inlineStr"/>
    </row>
    <row r="164">
      <c r="A164" t="inlineStr">
        <is>
          <t>shared</t>
        </is>
      </c>
      <c r="B164" t="inlineStr">
        <is>
          <t>ra2dred</t>
        </is>
      </c>
      <c r="C164" t="inlineStr">
        <is>
          <t>actor_dred.name</t>
        </is>
      </c>
      <c r="D164" s="6" t="inlineStr">
        <is>
          <t>ArtilleryShip</t>
        </is>
      </c>
      <c r="E164" s="6" t="n">
        <v>250000</v>
      </c>
      <c r="F164" s="6" t="n">
        <v>50</v>
      </c>
      <c r="G164" t="inlineStr">
        <is>
          <t>Superheavy</t>
        </is>
      </c>
      <c r="H164" s="6" t="n">
        <v>1</v>
      </c>
      <c r="I164" s="6" t="n">
        <v>1</v>
      </c>
      <c r="J164" s="6" t="n">
        <v>1</v>
      </c>
      <c r="K164" t="n">
        <v>0.0125</v>
      </c>
      <c r="X164" s="6" t="n">
        <v>4000</v>
      </c>
    </row>
    <row r="165">
      <c r="B165" s="7" t="inlineStr">
        <is>
          <t xml:space="preserve">  ↳ DreadnoughtLaunch</t>
        </is>
      </c>
      <c r="C165" s="7" t="inlineStr">
        <is>
          <t>Armament@AG</t>
        </is>
      </c>
      <c r="M165" s="6" t="n">
        <v>75</v>
      </c>
      <c r="N165" s="6" t="n">
        <v>2</v>
      </c>
      <c r="O165" s="6" t="n">
        <v>10</v>
      </c>
      <c r="P165" s="6" t="n">
        <v>25000</v>
      </c>
      <c r="Q165" s="6" t="n">
        <v>1</v>
      </c>
      <c r="R165">
        <f>M165+IF(MAX(N165-1,0)&gt;0,IF(ISBLANK(O165),5*MAX(N165-1,0),IF(ISNUMBER(O165),O165*MAX(N165-1,0),SUM(IFERROR(VALUE(TEXTSPLIT(O165,",")),0)))),0)</f>
        <v/>
      </c>
      <c r="S165">
        <f>IFERROR(L165*MAX(N165,1)/R165*IF(ISBLANK(K164),1,K164),0)</f>
        <v/>
      </c>
      <c r="AB165" s="7" t="inlineStr">
        <is>
          <t>V3Launch</t>
        </is>
      </c>
    </row>
    <row r="166">
      <c r="A166" t="inlineStr">
        <is>
          <t>redalert2</t>
        </is>
      </c>
      <c r="B166" t="inlineStr">
        <is>
          <t>yuri_boomersubmarine</t>
        </is>
      </c>
      <c r="C166" t="inlineStr">
        <is>
          <t>actor_bsub.name</t>
        </is>
      </c>
      <c r="D166" s="6" t="inlineStr">
        <is>
          <t>ArtilleryShip</t>
        </is>
      </c>
      <c r="E166" s="6" t="n">
        <v>100000</v>
      </c>
      <c r="F166" s="6" t="n">
        <v>50</v>
      </c>
      <c r="G166" t="inlineStr">
        <is>
          <t>Medium</t>
        </is>
      </c>
      <c r="H166" s="6" t="n">
        <v>0.8824</v>
      </c>
      <c r="I166" s="6" t="n">
        <v>1</v>
      </c>
      <c r="J166" s="6" t="n">
        <v>1</v>
      </c>
      <c r="K166" t="n">
        <v>0.0125</v>
      </c>
      <c r="P166">
        <f>MAX(P167)</f>
        <v/>
      </c>
      <c r="S166">
        <f>S167</f>
        <v/>
      </c>
      <c r="T166">
        <f>(E166/100000+F166/100+(P166/1000)*J166/5+S166/200)*200*I166*H166</f>
        <v/>
      </c>
      <c r="U166">
        <f>((E166*F166/25000)+((P166/1000)*J166*S166/2.5))*I166*H166</f>
        <v/>
      </c>
      <c r="V166">
        <f>(E166*F166*(P166/1000)*J166*S166*I166*H166)/12500000</f>
        <v/>
      </c>
      <c r="W166">
        <f>(T166+U166+V166)/3</f>
        <v/>
      </c>
      <c r="X166" s="6" t="n">
        <v>3350</v>
      </c>
      <c r="Y166">
        <f>IFERROR(W166-X166,"")</f>
        <v/>
      </c>
      <c r="Z166">
        <f>IFERROR(ABS(Y166)/MAX(X166,1),"")</f>
        <v/>
      </c>
      <c r="AA166">
        <f>IFERROR((X166-(((E166/100000+F166/100+S166/200)*200*I166*H166)+((E166*F166/25000)*I166*H166))/3)/(((J166/5)*200*I166*H166)+((J166*S166/2.5)*I166*H166)+((E166*F166*J166*S166*I166*H166)/12500000))/3*1000,"")</f>
        <v/>
      </c>
    </row>
    <row r="167">
      <c r="B167" s="7" t="inlineStr">
        <is>
          <t xml:space="preserve">  ↳ YRBoomerTorpedo</t>
        </is>
      </c>
      <c r="C167" s="7" t="inlineStr">
        <is>
          <t>Armament@PRIMARY</t>
        </is>
      </c>
      <c r="L167" s="6" t="n">
        <v>40000</v>
      </c>
      <c r="M167" s="6" t="n">
        <v>176</v>
      </c>
      <c r="N167" s="6" t="n">
        <v>4</v>
      </c>
      <c r="O167" s="6" t="n">
        <v>8</v>
      </c>
      <c r="P167" s="6" t="n">
        <v>15000</v>
      </c>
      <c r="Q167" s="6" t="n">
        <v>1</v>
      </c>
      <c r="R167">
        <f>M167+IF(MAX(N167-1,0)&gt;0,IF(ISBLANK(O167),5*MAX(N167-1,0),IF(ISNUMBER(O167),O167*MAX(N167-1,0),SUM(IFERROR(VALUE(TEXTSPLIT(O167,",")),0)))),0)</f>
        <v/>
      </c>
      <c r="S167">
        <f>IFERROR(L167*MAX(N167,1)/R167*IF(ISBLANK(K166),1,K166),0)</f>
        <v/>
      </c>
      <c r="AB167" s="7" t="inlineStr">
        <is>
          <t>^Warhead_Demolition_Light, ^Warhead_MissileAP_Heavy</t>
        </is>
      </c>
    </row>
    <row r="168">
      <c r="B168" s="7" t="inlineStr">
        <is>
          <t xml:space="preserve">  ↳ BoomerLaunch</t>
        </is>
      </c>
      <c r="C168" s="7" t="inlineStr">
        <is>
          <t>Armament@LAUNCH</t>
        </is>
      </c>
      <c r="M168" s="6" t="n">
        <v>50</v>
      </c>
      <c r="N168" s="6" t="n">
        <v>2</v>
      </c>
      <c r="O168" s="6" t="n">
        <v>8</v>
      </c>
      <c r="P168" s="6" t="n">
        <v>15000</v>
      </c>
      <c r="Q168" s="6" t="n">
        <v>1</v>
      </c>
      <c r="R168">
        <f>M168+IF(MAX(N168-1,0)&gt;0,IF(ISBLANK(O168),5*MAX(N168-1,0),IF(ISNUMBER(O168),O168*MAX(N168-1,0),SUM(IFERROR(VALUE(TEXTSPLIT(O168,",")),0)))),0)</f>
        <v/>
      </c>
      <c r="S168">
        <f>IFERROR(L168*MAX(N168,1)/R168*IF(ISBLANK(K166),1,K166),0)</f>
        <v/>
      </c>
      <c r="AB168" s="7" t="inlineStr">
        <is>
          <t>V3Launch</t>
        </is>
      </c>
    </row>
    <row r="169">
      <c r="A169" t="inlineStr">
        <is>
          <t>redalert2mod</t>
        </is>
      </c>
      <c r="B169" t="inlineStr">
        <is>
          <t>karrier.asian</t>
        </is>
      </c>
      <c r="C169" t="inlineStr">
        <is>
          <t>Kamikaze Carrier</t>
        </is>
      </c>
      <c r="D169" s="6" t="inlineStr">
        <is>
          <t>ArtilleryShip</t>
        </is>
      </c>
      <c r="E169" s="6" t="n">
        <v>175000</v>
      </c>
      <c r="F169" s="6" t="n">
        <v>55</v>
      </c>
      <c r="G169" t="inlineStr">
        <is>
          <t>Heavy</t>
        </is>
      </c>
      <c r="H169" s="6" t="n">
        <v>0.4583</v>
      </c>
      <c r="I169" s="6" t="n">
        <v>1</v>
      </c>
      <c r="J169" s="6" t="n">
        <v>1</v>
      </c>
      <c r="X169" s="6" t="n">
        <v>1750</v>
      </c>
    </row>
    <row r="170">
      <c r="B170" s="7" t="inlineStr">
        <is>
          <t xml:space="preserve">  ↳ KamikazeCarrierTarget</t>
        </is>
      </c>
      <c r="C170" s="7" t="inlineStr">
        <is>
          <t>Armament@PRIMARY</t>
        </is>
      </c>
      <c r="M170" s="6" t="n">
        <v>25</v>
      </c>
      <c r="N170" s="6" t="n">
        <v>1</v>
      </c>
      <c r="O170" s="6" t="n"/>
      <c r="P170" s="6" t="n">
        <v>17500</v>
      </c>
      <c r="Q170" s="6" t="n">
        <v>1</v>
      </c>
      <c r="R170">
        <f>M170+IF(MAX(N170-1,0)&gt;0,IF(ISBLANK(O170),5*MAX(N170-1,0),IF(ISNUMBER(O170),O170*MAX(N170-1,0),SUM(IFERROR(VALUE(TEXTSPLIT(O170,",")),0)))),0)</f>
        <v/>
      </c>
      <c r="S170">
        <f>IFERROR(L170*MAX(N170,1)/R170*IF(ISBLANK(K169),1,K169),0)</f>
        <v/>
      </c>
      <c r="AB170" s="7" t="inlineStr"/>
    </row>
    <row r="171">
      <c r="A171" t="inlineStr">
        <is>
          <t>redalert2mod</t>
        </is>
      </c>
      <c r="B171" t="inlineStr">
        <is>
          <t>tsun.asian</t>
        </is>
      </c>
      <c r="C171" t="inlineStr">
        <is>
          <t>Tsunami Carrier</t>
        </is>
      </c>
      <c r="D171" s="6" t="inlineStr">
        <is>
          <t>ArtilleryShip</t>
        </is>
      </c>
      <c r="E171" s="6" t="n">
        <v>275000</v>
      </c>
      <c r="F171" s="6" t="n">
        <v>65</v>
      </c>
      <c r="G171" t="inlineStr">
        <is>
          <t>Superheavy</t>
        </is>
      </c>
      <c r="H171" s="6" t="n">
        <v>0.3587</v>
      </c>
      <c r="I171" s="6" t="n">
        <v>1</v>
      </c>
      <c r="J171" s="6" t="n">
        <v>1</v>
      </c>
      <c r="X171" s="6" t="n">
        <v>4500</v>
      </c>
    </row>
    <row r="172">
      <c r="B172" s="7" t="inlineStr">
        <is>
          <t xml:space="preserve">  ↳ TsunamiCarrierTarget</t>
        </is>
      </c>
      <c r="C172" s="7" t="inlineStr">
        <is>
          <t>Armament@PRIMARY</t>
        </is>
      </c>
      <c r="M172" s="6" t="n">
        <v>25</v>
      </c>
      <c r="N172" s="6" t="n">
        <v>1</v>
      </c>
      <c r="O172" s="6" t="n"/>
      <c r="P172" s="6" t="n">
        <v>17500</v>
      </c>
      <c r="Q172" s="6" t="n">
        <v>1</v>
      </c>
      <c r="R172">
        <f>M172+IF(MAX(N172-1,0)&gt;0,IF(ISBLANK(O172),5*MAX(N172-1,0),IF(ISNUMBER(O172),O172*MAX(N172-1,0),SUM(IFERROR(VALUE(TEXTSPLIT(O172,",")),0)))),0)</f>
        <v/>
      </c>
      <c r="S172">
        <f>IFERROR(L172*MAX(N172,1)/R172*IF(ISBLANK(K171),1,K171),0)</f>
        <v/>
      </c>
      <c r="AB172" s="7" t="inlineStr"/>
    </row>
    <row r="173">
      <c r="A173" t="inlineStr">
        <is>
          <t>redalert2mod</t>
        </is>
      </c>
      <c r="B173" t="inlineStr">
        <is>
          <t>muboat.nax</t>
        </is>
      </c>
      <c r="C173" t="inlineStr">
        <is>
          <t>Heavy Missile U boat</t>
        </is>
      </c>
      <c r="D173" s="6" t="inlineStr">
        <is>
          <t>ArtilleryShip</t>
        </is>
      </c>
      <c r="E173" s="6" t="n">
        <v>200000</v>
      </c>
      <c r="F173" s="6" t="n">
        <v>60</v>
      </c>
      <c r="G173" t="inlineStr">
        <is>
          <t>Medium</t>
        </is>
      </c>
      <c r="H173" s="6" t="n">
        <v>0.4331</v>
      </c>
      <c r="I173" s="6" t="n">
        <v>1</v>
      </c>
      <c r="J173" s="6" t="n">
        <v>1</v>
      </c>
      <c r="K173" t="n">
        <v>0.02</v>
      </c>
      <c r="P173">
        <f>MAX(P174)</f>
        <v/>
      </c>
      <c r="S173">
        <f>S174</f>
        <v/>
      </c>
      <c r="T173">
        <f>(E173/100000+F173/100+(P173/1000)*J173/5+S173/200)*200*I173*H173</f>
        <v/>
      </c>
      <c r="U173">
        <f>((E173*F173/25000)+((P173/1000)*J173*S173/2.5))*I173*H173</f>
        <v/>
      </c>
      <c r="V173">
        <f>(E173*F173*(P173/1000)*J173*S173*I173*H173)/12500000</f>
        <v/>
      </c>
      <c r="W173">
        <f>(T173+U173+V173)/3</f>
        <v/>
      </c>
      <c r="X173" s="6" t="n">
        <v>2400</v>
      </c>
      <c r="Y173">
        <f>IFERROR(W173-X173,"")</f>
        <v/>
      </c>
      <c r="Z173">
        <f>IFERROR(ABS(Y173)/MAX(X173,1),"")</f>
        <v/>
      </c>
      <c r="AA173">
        <f>IFERROR((X173-(((E173/100000+F173/100+S173/200)*200*I173*H173)+((E173*F173/25000)*I173*H173))/3)/(((J173/5)*200*I173*H173)+((J173*S173/2.5)*I173*H173)+((E173*F173*J173*S173*I173*H173)/12500000))/3*1000,"")</f>
        <v/>
      </c>
    </row>
    <row r="174">
      <c r="B174" s="7" t="inlineStr">
        <is>
          <t xml:space="preserve">  ↳ NaxiMissileUboat</t>
        </is>
      </c>
      <c r="C174" s="7" t="inlineStr">
        <is>
          <t>Armament</t>
        </is>
      </c>
      <c r="L174" s="6" t="n">
        <v>48000</v>
      </c>
      <c r="M174" s="6" t="n">
        <v>125</v>
      </c>
      <c r="N174" s="6" t="n">
        <v>2</v>
      </c>
      <c r="O174" s="6" t="n">
        <v>6</v>
      </c>
      <c r="P174" s="6" t="n">
        <v>15000</v>
      </c>
      <c r="Q174" s="6" t="n">
        <v>1</v>
      </c>
      <c r="R174">
        <f>M174+IF(MAX(N174-1,0)&gt;0,IF(ISBLANK(O174),5*MAX(N174-1,0),IF(ISNUMBER(O174),O174*MAX(N174-1,0),SUM(IFERROR(VALUE(TEXTSPLIT(O174,",")),0)))),0)</f>
        <v/>
      </c>
      <c r="S174">
        <f>IFERROR(L174*MAX(N174,1)/R174*IF(ISBLANK(K173),1,K173),0)</f>
        <v/>
      </c>
      <c r="AB174" s="7" t="inlineStr">
        <is>
          <t>^Warhead_Demolition_Light, ^Warhead_Demolition_Heavy, ^Warhead_MissileAP_Medium</t>
        </is>
      </c>
    </row>
    <row r="175">
      <c r="A175" t="inlineStr">
        <is>
          <t>redalert2mod</t>
        </is>
      </c>
      <c r="B175" t="inlineStr">
        <is>
          <t>nax_bitsmark</t>
        </is>
      </c>
      <c r="C175" t="inlineStr">
        <is>
          <t>Bitsmark Cruiser</t>
        </is>
      </c>
      <c r="D175" s="6" t="inlineStr">
        <is>
          <t>ArtilleryShip</t>
        </is>
      </c>
      <c r="E175" s="6" t="n">
        <v>335000</v>
      </c>
      <c r="F175" s="6" t="n">
        <v>40</v>
      </c>
      <c r="G175" t="inlineStr">
        <is>
          <t>Superheavy</t>
        </is>
      </c>
      <c r="H175" s="6" t="n">
        <v>0.4331</v>
      </c>
      <c r="I175" s="6" t="n">
        <v>1</v>
      </c>
      <c r="J175" s="6" t="n">
        <v>1</v>
      </c>
      <c r="P175">
        <f>MAX(P176,P177,P178,P179)</f>
        <v/>
      </c>
      <c r="S175">
        <f>S176+S177+S178+S179</f>
        <v/>
      </c>
      <c r="T175">
        <f>(E175/100000+F175/100+(P175/1000)*J175/5+S175/200)*200*I175*H175</f>
        <v/>
      </c>
      <c r="U175">
        <f>((E175*F175/25000)+((P175/1000)*J175*S175/2.5))*I175*H175</f>
        <v/>
      </c>
      <c r="V175">
        <f>(E175*F175*(P175/1000)*J175*S175*I175*H175)/12500000</f>
        <v/>
      </c>
      <c r="W175">
        <f>(T175+U175+V175)/3</f>
        <v/>
      </c>
      <c r="X175" s="6" t="n">
        <v>4000</v>
      </c>
      <c r="Y175">
        <f>IFERROR(W175-X175,"")</f>
        <v/>
      </c>
      <c r="Z175">
        <f>IFERROR(ABS(Y175)/MAX(X175,1),"")</f>
        <v/>
      </c>
      <c r="AA175">
        <f>IFERROR((X175-(((E175/100000+F175/100+S175/200)*200*I175*H175)+((E175*F175/25000)*I175*H175))/3)/(((J175/5)*200*I175*H175)+((J175*S175/2.5)*I175*H175)+((E175*F175*J175*S175*I175*H175)/12500000))/3*1000,"")</f>
        <v/>
      </c>
    </row>
    <row r="176">
      <c r="B176" s="7" t="inlineStr">
        <is>
          <t xml:space="preserve">  ↳ 8Inch</t>
        </is>
      </c>
      <c r="C176" s="7" t="inlineStr">
        <is>
          <t>Armament@PRIMARY</t>
        </is>
      </c>
      <c r="L176" s="6" t="n">
        <v>80000</v>
      </c>
      <c r="M176" s="6" t="n">
        <v>250</v>
      </c>
      <c r="N176" s="6" t="n">
        <v>2</v>
      </c>
      <c r="O176" s="6" t="n"/>
      <c r="P176" s="6" t="n">
        <v>15000</v>
      </c>
      <c r="Q176" s="6" t="n">
        <v>1</v>
      </c>
      <c r="R176">
        <f>M176+IF(MAX(N176-1,0)&gt;0,IF(ISBLANK(O176),5*MAX(N176-1,0),IF(ISNUMBER(O176),O176*MAX(N176-1,0),SUM(IFERROR(VALUE(TEXTSPLIT(O176,",")),0)))),0)</f>
        <v/>
      </c>
      <c r="S176">
        <f>IFERROR(L176*MAX(N176,1)/R176*IF(ISBLANK(K175),1,K175),0)</f>
        <v/>
      </c>
      <c r="AB176" s="7" t="inlineStr">
        <is>
          <t>^Warhead_Demolition_Heavy, ^Warhead_Demolition_Light</t>
        </is>
      </c>
    </row>
    <row r="177">
      <c r="B177" s="7" t="inlineStr">
        <is>
          <t xml:space="preserve">  ↳ 8Inch</t>
        </is>
      </c>
      <c r="C177" s="7" t="inlineStr">
        <is>
          <t>Armament@SECONDARY</t>
        </is>
      </c>
      <c r="L177" s="6" t="n">
        <v>80000</v>
      </c>
      <c r="M177" s="6" t="n">
        <v>250</v>
      </c>
      <c r="N177" s="6" t="n">
        <v>2</v>
      </c>
      <c r="O177" s="6" t="n"/>
      <c r="P177" s="6" t="n">
        <v>15000</v>
      </c>
      <c r="Q177" s="6" t="n">
        <v>1</v>
      </c>
      <c r="R177">
        <f>M177+IF(MAX(N177-1,0)&gt;0,IF(ISBLANK(O177),5*MAX(N177-1,0),IF(ISNUMBER(O177),O177*MAX(N177-1,0),SUM(IFERROR(VALUE(TEXTSPLIT(O177,",")),0)))),0)</f>
        <v/>
      </c>
      <c r="S177">
        <f>IFERROR(L177*MAX(N177,1)/R177*IF(ISBLANK(K175),1,K175),0)</f>
        <v/>
      </c>
      <c r="AB177" s="7" t="inlineStr">
        <is>
          <t>^Warhead_Demolition_Heavy, ^Warhead_Demolition_Light</t>
        </is>
      </c>
    </row>
    <row r="178">
      <c r="B178" s="7" t="inlineStr">
        <is>
          <t xml:space="preserve">  ↳ 8Inch</t>
        </is>
      </c>
      <c r="C178" s="7" t="inlineStr">
        <is>
          <t>Armament@TERCERA</t>
        </is>
      </c>
      <c r="L178" s="6" t="n">
        <v>80000</v>
      </c>
      <c r="M178" s="6" t="n">
        <v>250</v>
      </c>
      <c r="N178" s="6" t="n">
        <v>2</v>
      </c>
      <c r="O178" s="6" t="n"/>
      <c r="P178" s="6" t="n">
        <v>15000</v>
      </c>
      <c r="Q178" s="6" t="n">
        <v>1</v>
      </c>
      <c r="R178">
        <f>M178+IF(MAX(N178-1,0)&gt;0,IF(ISBLANK(O178),5*MAX(N178-1,0),IF(ISNUMBER(O178),O178*MAX(N178-1,0),SUM(IFERROR(VALUE(TEXTSPLIT(O178,",")),0)))),0)</f>
        <v/>
      </c>
      <c r="S178">
        <f>IFERROR(L178*MAX(N178,1)/R178*IF(ISBLANK(K175),1,K175),0)</f>
        <v/>
      </c>
      <c r="AB178" s="7" t="inlineStr">
        <is>
          <t>^Warhead_Demolition_Heavy, ^Warhead_Demolition_Light</t>
        </is>
      </c>
    </row>
    <row r="179">
      <c r="B179" s="7" t="inlineStr">
        <is>
          <t xml:space="preserve">  ↳ 8Inch</t>
        </is>
      </c>
      <c r="C179" s="7" t="inlineStr">
        <is>
          <t>Armament@CUARTA</t>
        </is>
      </c>
      <c r="L179" s="6" t="n">
        <v>80000</v>
      </c>
      <c r="M179" s="6" t="n">
        <v>250</v>
      </c>
      <c r="N179" s="6" t="n">
        <v>2</v>
      </c>
      <c r="O179" s="6" t="n"/>
      <c r="P179" s="6" t="n">
        <v>15000</v>
      </c>
      <c r="Q179" s="6" t="n">
        <v>1</v>
      </c>
      <c r="R179">
        <f>M179+IF(MAX(N179-1,0)&gt;0,IF(ISBLANK(O179),5*MAX(N179-1,0),IF(ISNUMBER(O179),O179*MAX(N179-1,0),SUM(IFERROR(VALUE(TEXTSPLIT(O179,",")),0)))),0)</f>
        <v/>
      </c>
      <c r="S179">
        <f>IFERROR(L179*MAX(N179,1)/R179*IF(ISBLANK(K175),1,K175),0)</f>
        <v/>
      </c>
      <c r="AB179" s="7" t="inlineStr">
        <is>
          <t>^Warhead_Demolition_Heavy, ^Warhead_Demolition_Light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Z2:Z180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2026-08-25T05:54:10Z</dcterms:created>
  <dcterms:modified xmlns:dcterms="http://purl.org/dc/terms/" xmlns:xsi="http://www.w3.org/2001/XMLSchema-instance" xsi:type="dcterms:W3CDTF">2026-08-25T05:54:11Z</dcterms:modified>
</cp:coreProperties>
</file>